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.9 Dataset_limpio_A1" sheetId="1" r:id="rId5"/>
    <sheet state="visible" name="Dataset_limpio_A2" sheetId="2" r:id="rId6"/>
    <sheet state="visible" name="Hoja 10" sheetId="3" r:id="rId7"/>
    <sheet state="visible" name="Tabla dinámica" sheetId="4" r:id="rId8"/>
    <sheet state="visible" name="2.10_A3_Ventas" sheetId="5" r:id="rId9"/>
    <sheet state="visible" name="Tabla dinámica 7" sheetId="6" r:id="rId10"/>
    <sheet state="visible" name="2.10 Clientes" sheetId="7" r:id="rId11"/>
    <sheet state="visible" name="2.10_Productos" sheetId="8" r:id="rId12"/>
    <sheet state="visible" name="2.10_A3_Sucursales" sheetId="9" r:id="rId13"/>
    <sheet state="visible" name="Consulta_Dinamica" sheetId="10" r:id="rId14"/>
    <sheet state="visible" name="Bitácora Higiene" sheetId="11" r:id="rId15"/>
  </sheets>
  <definedNames>
    <definedName hidden="1" localSheetId="1" name="_xlnm._FilterDatabase">Dataset_limpio_A2!$A$1:$L$958</definedName>
    <definedName hidden="1" localSheetId="4" name="_xlnm._FilterDatabase">'2.10_A3_Ventas'!$A$1:$F$301</definedName>
  </definedNames>
  <calcPr/>
  <pivotCaches>
    <pivotCache cacheId="0" r:id="rId16"/>
    <pivotCache cacheId="1" r:id="rId17"/>
  </pivotCaches>
</workbook>
</file>

<file path=xl/sharedStrings.xml><?xml version="1.0" encoding="utf-8"?>
<sst xmlns="http://schemas.openxmlformats.org/spreadsheetml/2006/main" count="18929" uniqueCount="4946">
  <si>
    <t>ID_Cliente</t>
  </si>
  <si>
    <t>RUT_Cliente</t>
  </si>
  <si>
    <t>Nombre_Completo</t>
  </si>
  <si>
    <t>Email_Contacto</t>
  </si>
  <si>
    <t>Comuna</t>
  </si>
  <si>
    <t>Ciudad</t>
  </si>
  <si>
    <t>Region</t>
  </si>
  <si>
    <t>Monto_Facturado_CLP</t>
  </si>
  <si>
    <t>Dias_Morosidad</t>
  </si>
  <si>
    <t>Estado_Cuenta</t>
  </si>
  <si>
    <t>Fecha_Registro</t>
  </si>
  <si>
    <t>Nombre Limpio</t>
  </si>
  <si>
    <t>Rut Estandarizados</t>
  </si>
  <si>
    <t>Dirección Completa</t>
  </si>
  <si>
    <t>CLI-0001</t>
  </si>
  <si>
    <t>12.857.780-8</t>
  </si>
  <si>
    <t>MACARENA TAPIA MORALES</t>
  </si>
  <si>
    <t>mac.tapia@gmail.com</t>
  </si>
  <si>
    <t>La Serena</t>
  </si>
  <si>
    <t>Región de Coquimbo</t>
  </si>
  <si>
    <t>En Revisión</t>
  </si>
  <si>
    <t>CLI-0002</t>
  </si>
  <si>
    <t>21773005-0</t>
  </si>
  <si>
    <t>Cristián Valenzuela Araya</t>
  </si>
  <si>
    <t>cri.valenzuela@consultora.cl</t>
  </si>
  <si>
    <t>Viña del Mar</t>
  </si>
  <si>
    <t>Valparaíso</t>
  </si>
  <si>
    <t>Región de Valparaíso</t>
  </si>
  <si>
    <t>Activo</t>
  </si>
  <si>
    <t>CLI-0003</t>
  </si>
  <si>
    <t>14.402.092-1</t>
  </si>
  <si>
    <t>Andrea Silva Morales</t>
  </si>
  <si>
    <t>and.silva@servicios.cl</t>
  </si>
  <si>
    <t>Puerto Montt</t>
  </si>
  <si>
    <t>Región de Los Lagos</t>
  </si>
  <si>
    <t>CLI-0004</t>
  </si>
  <si>
    <t>21.059.002-8</t>
  </si>
  <si>
    <t>IGNACIO ROJAS ESPINOZA</t>
  </si>
  <si>
    <t>ign.rojas@outlook.cl</t>
  </si>
  <si>
    <t>Concepción</t>
  </si>
  <si>
    <t>Región del Biobío</t>
  </si>
  <si>
    <t>CLI-0005</t>
  </si>
  <si>
    <t>22320514-8</t>
  </si>
  <si>
    <t>FRANCISCA SOTO SOTO</t>
  </si>
  <si>
    <t>fra.soto@empresa.cl</t>
  </si>
  <si>
    <t>Temuco</t>
  </si>
  <si>
    <t>Región de la Araucanía</t>
  </si>
  <si>
    <t>activo</t>
  </si>
  <si>
    <t>CLI-0006</t>
  </si>
  <si>
    <t>11.045.450-1</t>
  </si>
  <si>
    <t>Ignacio Soto Vergara</t>
  </si>
  <si>
    <t>ign.soto@gmail.com</t>
  </si>
  <si>
    <t>CLI-0007</t>
  </si>
  <si>
    <t>17.684.442-7</t>
  </si>
  <si>
    <t>Beatriz Tapia Silva</t>
  </si>
  <si>
    <t>bea.tapia@sura.cl</t>
  </si>
  <si>
    <t>Talcahuano</t>
  </si>
  <si>
    <t>CLI-0008</t>
  </si>
  <si>
    <t>20.205.046-2</t>
  </si>
  <si>
    <t>Mauricio Araya Tapia</t>
  </si>
  <si>
    <t>mau.araya@outlook.cl</t>
  </si>
  <si>
    <t>Santiago Centro</t>
  </si>
  <si>
    <t>Santiago</t>
  </si>
  <si>
    <t>Región Metropolitana</t>
  </si>
  <si>
    <t>CLI-0009</t>
  </si>
  <si>
    <t>13660995-K</t>
  </si>
  <si>
    <t>carolina vergara valenzuela</t>
  </si>
  <si>
    <t>car.vergara@gmail.com</t>
  </si>
  <si>
    <t>CLI-0010</t>
  </si>
  <si>
    <t>11.050.232-K</t>
  </si>
  <si>
    <t>TOMAS LÓPEZ RODRÍGUEZ</t>
  </si>
  <si>
    <t>tom.lópez@gmail.com</t>
  </si>
  <si>
    <t>Providencia</t>
  </si>
  <si>
    <t>EN REVISIÓN</t>
  </si>
  <si>
    <t xml:space="preserve">Ingresos totales Facturados </t>
  </si>
  <si>
    <t>CLI-0011</t>
  </si>
  <si>
    <t>14.532.054-2</t>
  </si>
  <si>
    <t>Producto</t>
  </si>
  <si>
    <t>Valentina Araya Rojas</t>
  </si>
  <si>
    <t>val.araya@servicios.cl</t>
  </si>
  <si>
    <t>CLI-0012</t>
  </si>
  <si>
    <t>19.537.899-0</t>
  </si>
  <si>
    <t>ÁLVARO PÉREZ SOTO</t>
  </si>
  <si>
    <t>álv.pérez@consultora.cl</t>
  </si>
  <si>
    <t>Estado de cuenta</t>
  </si>
  <si>
    <t>Nivel Riesgo</t>
  </si>
  <si>
    <t>Nombres</t>
  </si>
  <si>
    <t>CLI-0013</t>
  </si>
  <si>
    <t>20.660.647-1</t>
  </si>
  <si>
    <t>Constanza Vergara Sepúlveda</t>
  </si>
  <si>
    <t>CLI-0666</t>
  </si>
  <si>
    <t>con.vergara@gmail.com</t>
  </si>
  <si>
    <t>17.907.842-1</t>
  </si>
  <si>
    <t>Álvaro Araya Soto</t>
  </si>
  <si>
    <t>álv.araya@gmail.com</t>
  </si>
  <si>
    <t>CLI-0014</t>
  </si>
  <si>
    <t>14.790.263-0</t>
  </si>
  <si>
    <t>Inactivo</t>
  </si>
  <si>
    <t>Diego Fuentes Araya</t>
  </si>
  <si>
    <t>die.fuentes@outlook.cl</t>
  </si>
  <si>
    <t>Hipotecario</t>
  </si>
  <si>
    <t>CLI-0015</t>
  </si>
  <si>
    <t>17847811-6</t>
  </si>
  <si>
    <t>Fernanda López Contreras</t>
  </si>
  <si>
    <t>fer.lópez@servicios.cl</t>
  </si>
  <si>
    <t>CLI-0016</t>
  </si>
  <si>
    <t>18686604-4</t>
  </si>
  <si>
    <t>Mauricio Valenzuela Morales</t>
  </si>
  <si>
    <t>mau.valenzuela@empresa.cl</t>
  </si>
  <si>
    <t>Ñuñoa</t>
  </si>
  <si>
    <t>CLI-0017</t>
  </si>
  <si>
    <t>19518387-3</t>
  </si>
  <si>
    <t>Paula Contreras Morales</t>
  </si>
  <si>
    <t>pau.contreras@servicios.cl</t>
  </si>
  <si>
    <t>CLI-0018</t>
  </si>
  <si>
    <t>21.435.970-1</t>
  </si>
  <si>
    <t>GABRIEL CONTRERAS SOTO</t>
  </si>
  <si>
    <t>gab.contreras@sura.cl</t>
  </si>
  <si>
    <t>Maipú</t>
  </si>
  <si>
    <t>CLI-0019</t>
  </si>
  <si>
    <t>14.972.823-9</t>
  </si>
  <si>
    <t>Sofia Espinoza Tapia</t>
  </si>
  <si>
    <t>sof.espinoza@servicios.cl</t>
  </si>
  <si>
    <t>CLI-0020</t>
  </si>
  <si>
    <t>22.082.736-1</t>
  </si>
  <si>
    <t>Diego Espinoza Valenzuela</t>
  </si>
  <si>
    <t>die.espinoza@sura.cl</t>
  </si>
  <si>
    <t>CLI-0021</t>
  </si>
  <si>
    <t>22051983-2</t>
  </si>
  <si>
    <t>marcela espinoza espinoza</t>
  </si>
  <si>
    <t>mar.espinoza@sura.cl</t>
  </si>
  <si>
    <t>CLI-0022</t>
  </si>
  <si>
    <t>12.322.581-5</t>
  </si>
  <si>
    <t>Rodrigo Valenzuela Espinoza</t>
  </si>
  <si>
    <t>rod.valenzuela@gmail.com</t>
  </si>
  <si>
    <t>CLI-0023</t>
  </si>
  <si>
    <t>11.924.064-K</t>
  </si>
  <si>
    <t>FERNANDA SOTO ARAYA</t>
  </si>
  <si>
    <t>fer.soto@sura.cl</t>
  </si>
  <si>
    <t>CLI-0024</t>
  </si>
  <si>
    <t>13.858.633-3</t>
  </si>
  <si>
    <t>gabriel pérez morales</t>
  </si>
  <si>
    <t>gab.pérez@empresa.cl</t>
  </si>
  <si>
    <t>CLI-0025</t>
  </si>
  <si>
    <t>20.139.202-3</t>
  </si>
  <si>
    <t>beatriz silva morales</t>
  </si>
  <si>
    <t>bea.silva@outlook.cl</t>
  </si>
  <si>
    <t>CLI-0026</t>
  </si>
  <si>
    <t>13205217-8</t>
  </si>
  <si>
    <t>IGNACIO SOTO ROJAS</t>
  </si>
  <si>
    <t>CLI-0734</t>
  </si>
  <si>
    <t>18.661.277-6</t>
  </si>
  <si>
    <t>CLI-0027</t>
  </si>
  <si>
    <t>13.667.446-4</t>
  </si>
  <si>
    <t>Álvaro Contreras Pérez</t>
  </si>
  <si>
    <t>Sofia Díaz Valenzuela</t>
  </si>
  <si>
    <t>álv.contreras@consultora.cl</t>
  </si>
  <si>
    <t>sof.díaz@outlook.cl</t>
  </si>
  <si>
    <t>Antofagasta</t>
  </si>
  <si>
    <t>Región de Antofagasta</t>
  </si>
  <si>
    <t>Línea Débito</t>
  </si>
  <si>
    <t>CLI-0028</t>
  </si>
  <si>
    <t>20.093.525-5</t>
  </si>
  <si>
    <t>Felipe Sepúlveda Rodríguez</t>
  </si>
  <si>
    <t>fel.sepúlveda@sura.cl</t>
  </si>
  <si>
    <t>CLI-0029</t>
  </si>
  <si>
    <t>11562196-8</t>
  </si>
  <si>
    <t>Loreto Pérez Araya</t>
  </si>
  <si>
    <t>lor.pérez@outlook.cl</t>
  </si>
  <si>
    <t>CLI-0030</t>
  </si>
  <si>
    <t>15782346-2</t>
  </si>
  <si>
    <t>Ignacio Fuentes Silva</t>
  </si>
  <si>
    <t>ign.fuentes@servicios.cl</t>
  </si>
  <si>
    <t>CLI-0924</t>
  </si>
  <si>
    <t>19.532.688-1</t>
  </si>
  <si>
    <t>Álvaro Díaz Vergara</t>
  </si>
  <si>
    <t>álv.díaz@consultora.cl</t>
  </si>
  <si>
    <t>CLI-0031</t>
  </si>
  <si>
    <t>21.148.772-3</t>
  </si>
  <si>
    <t>Francisca Araya Tapia</t>
  </si>
  <si>
    <t>fra.araya@servicios.cl</t>
  </si>
  <si>
    <t>Crédito Automotriz</t>
  </si>
  <si>
    <t>CLI-0032</t>
  </si>
  <si>
    <t>12.940.421-3</t>
  </si>
  <si>
    <t>diego gonzález sepúlveda</t>
  </si>
  <si>
    <t>die.gonzález@gmail.com</t>
  </si>
  <si>
    <t>CLI-0033</t>
  </si>
  <si>
    <t>13.937.626-4</t>
  </si>
  <si>
    <t>CATALINA MUÑOZ MORALES</t>
  </si>
  <si>
    <t>cat.muñoz@servicios.cl</t>
  </si>
  <si>
    <t>CLI-0668</t>
  </si>
  <si>
    <t>17.238.764-2</t>
  </si>
  <si>
    <t>Álvaro Fuentes Araya</t>
  </si>
  <si>
    <t>álv.fuentes@empresa.cl</t>
  </si>
  <si>
    <t>Las Condes</t>
  </si>
  <si>
    <t>CLI-0034</t>
  </si>
  <si>
    <t>17840614-1</t>
  </si>
  <si>
    <t>Mauricio Espinoza Muñoz</t>
  </si>
  <si>
    <t>mau.espinoza@servicios.cl</t>
  </si>
  <si>
    <t>Crédito Consumo</t>
  </si>
  <si>
    <t>CLI-0035</t>
  </si>
  <si>
    <t>16582459-2</t>
  </si>
  <si>
    <t>carolina araya pérez</t>
  </si>
  <si>
    <t>car.araya@servicios.cl</t>
  </si>
  <si>
    <t>CLI-0934</t>
  </si>
  <si>
    <t>21.180.527-K</t>
  </si>
  <si>
    <t>álv.fuentes@servicios.cl</t>
  </si>
  <si>
    <t>Crédito Estudios</t>
  </si>
  <si>
    <t>CLI-0036</t>
  </si>
  <si>
    <t>15.180.463-K</t>
  </si>
  <si>
    <t>DIEGO DÍAZ FUENTES</t>
  </si>
  <si>
    <t>die.díaz@servicios.cl</t>
  </si>
  <si>
    <t>CLI-0818</t>
  </si>
  <si>
    <t>15.617.915-5</t>
  </si>
  <si>
    <t>Álvaro Fuentes González</t>
  </si>
  <si>
    <t>álv.fuentes@gmail.com</t>
  </si>
  <si>
    <t>CLI-0037</t>
  </si>
  <si>
    <t>15.325.544-5</t>
  </si>
  <si>
    <t>Fernanda Morales Vergara</t>
  </si>
  <si>
    <t>fer.morales@sura.cl</t>
  </si>
  <si>
    <t>CLI-0364</t>
  </si>
  <si>
    <t>18.809.561-9</t>
  </si>
  <si>
    <t>Álvaro López Araya</t>
  </si>
  <si>
    <t>álv.lópez@outlook.cl</t>
  </si>
  <si>
    <t>CLI-0038</t>
  </si>
  <si>
    <t>15.343.944-1</t>
  </si>
  <si>
    <t>TOMAS ARAYA CONTRERAS</t>
  </si>
  <si>
    <t>tom.araya@empresa.cl</t>
  </si>
  <si>
    <t>CLI-0039</t>
  </si>
  <si>
    <t>18.340.158-8</t>
  </si>
  <si>
    <t>Valentina López Morales</t>
  </si>
  <si>
    <t>CLI-0758</t>
  </si>
  <si>
    <t>21.871.809-9</t>
  </si>
  <si>
    <t>Álvaro López Morales</t>
  </si>
  <si>
    <t>álv.lópez@consultora.cl</t>
  </si>
  <si>
    <t>val.lópez@outlook.cl</t>
  </si>
  <si>
    <t>CLI-0040</t>
  </si>
  <si>
    <t>19.552.605-0</t>
  </si>
  <si>
    <t>sebastián díaz araya</t>
  </si>
  <si>
    <t>seb.díaz@outlook.cl</t>
  </si>
  <si>
    <t>CLI-0386</t>
  </si>
  <si>
    <t>15107618-7</t>
  </si>
  <si>
    <t>Álvaro López Silva</t>
  </si>
  <si>
    <t>álv.lópez@empresa.cl</t>
  </si>
  <si>
    <t>CLI-0041</t>
  </si>
  <si>
    <t>15.068.981-8</t>
  </si>
  <si>
    <t>catalina fuentes espinoza</t>
  </si>
  <si>
    <t>cat.fuentes@consultora.cl</t>
  </si>
  <si>
    <t>CLI-0042</t>
  </si>
  <si>
    <t>22.280.617-7</t>
  </si>
  <si>
    <t>HERNÁN MUÑOZ VALENZUELA</t>
  </si>
  <si>
    <t>CLI-0822</t>
  </si>
  <si>
    <t>her.muñoz@outlook.cl</t>
  </si>
  <si>
    <t>22.476.077-K</t>
  </si>
  <si>
    <t>Álvaro López Vergara</t>
  </si>
  <si>
    <t>álv.lópez@servicios.cl</t>
  </si>
  <si>
    <t>CLI-0043</t>
  </si>
  <si>
    <t>16.747.630-6</t>
  </si>
  <si>
    <t>Macarena Soto Morales</t>
  </si>
  <si>
    <t>mac.soto@sura.cl</t>
  </si>
  <si>
    <t>CLI-0044</t>
  </si>
  <si>
    <t>12.737.571-K</t>
  </si>
  <si>
    <t>cristián vergara soto</t>
  </si>
  <si>
    <t>cri.vergara@empresa.cl</t>
  </si>
  <si>
    <t>CLI-0604</t>
  </si>
  <si>
    <t>13776102-7</t>
  </si>
  <si>
    <t>Álvaro Morales López</t>
  </si>
  <si>
    <t>álv.morales@gmail.com</t>
  </si>
  <si>
    <t>CLI-0045</t>
  </si>
  <si>
    <t>21720037-1</t>
  </si>
  <si>
    <t>BEATRIZ TAPIA VALENZUELA</t>
  </si>
  <si>
    <t>bea.tapia@servicios.cl</t>
  </si>
  <si>
    <t>ID_Transaccion</t>
  </si>
  <si>
    <t>CLI-0046</t>
  </si>
  <si>
    <t>12.133.167-1</t>
  </si>
  <si>
    <t>Cristián Díaz Morales</t>
  </si>
  <si>
    <t>Fecha_Venta</t>
  </si>
  <si>
    <t>cri.díaz@empresa.cl</t>
  </si>
  <si>
    <t>CLI-0842</t>
  </si>
  <si>
    <t>20.297.968-3</t>
  </si>
  <si>
    <t>Álvaro Muñoz Sepúlveda</t>
  </si>
  <si>
    <t>ID_Producto</t>
  </si>
  <si>
    <t>álv.muñoz@outlook.cl</t>
  </si>
  <si>
    <t>ID_Sucursal</t>
  </si>
  <si>
    <t>Cantidad</t>
  </si>
  <si>
    <t>Buscar ID</t>
  </si>
  <si>
    <t>Resultado</t>
  </si>
  <si>
    <t>Explicación</t>
  </si>
  <si>
    <t>CLI-0047</t>
  </si>
  <si>
    <t>18.346.735-2</t>
  </si>
  <si>
    <t>TRX-2072</t>
  </si>
  <si>
    <t>Marcela Díaz Morales</t>
  </si>
  <si>
    <t>mar.díaz@sura.cl</t>
  </si>
  <si>
    <t>CLI-001</t>
  </si>
  <si>
    <t>PROD-115</t>
  </si>
  <si>
    <t>SUC-10</t>
  </si>
  <si>
    <t>Álvaro Pérez Soto</t>
  </si>
  <si>
    <t>CLI-0048</t>
  </si>
  <si>
    <t>18.378.016-2</t>
  </si>
  <si>
    <t>sebastián lópez muñoz</t>
  </si>
  <si>
    <t>seb.lópez@gmail.com</t>
  </si>
  <si>
    <t>CLI-0049</t>
  </si>
  <si>
    <t>20.762.083-9</t>
  </si>
  <si>
    <t>Macarena Rojas Silva</t>
  </si>
  <si>
    <t>CLI-0536</t>
  </si>
  <si>
    <t>mac.rojas@sura.cl</t>
  </si>
  <si>
    <t>17.286.867-9</t>
  </si>
  <si>
    <t>Álvaro Pérez Vergara</t>
  </si>
  <si>
    <t>álv.pérez@gmail.com</t>
  </si>
  <si>
    <t>CLI-0050</t>
  </si>
  <si>
    <t>20.171.486-1</t>
  </si>
  <si>
    <t>felipe araya sepúlveda</t>
  </si>
  <si>
    <t>fel.araya@gmail.com</t>
  </si>
  <si>
    <t>CLI-0792</t>
  </si>
  <si>
    <t>13.189.660-2</t>
  </si>
  <si>
    <t>Álvaro Rodríguez Rodríguez</t>
  </si>
  <si>
    <t>álv.rodríguez@consultora.cl</t>
  </si>
  <si>
    <t>CLI-0051</t>
  </si>
  <si>
    <t>19.107.255-1</t>
  </si>
  <si>
    <t>Camila Vergara Sepúlveda</t>
  </si>
  <si>
    <t>Linkeando los clientes desde la pagina de clientes funciona, aunque son datos independientes no los tomaba</t>
  </si>
  <si>
    <t>cam.vergara@sura.cl</t>
  </si>
  <si>
    <t>COUNTA ID_Cliente</t>
  </si>
  <si>
    <t>SUM de Monto_Facturado_CLP</t>
  </si>
  <si>
    <t>TRX-2100</t>
  </si>
  <si>
    <t>PROD-999</t>
  </si>
  <si>
    <t>CLI-002</t>
  </si>
  <si>
    <t>CLI-0052</t>
  </si>
  <si>
    <t>13.054.944-6</t>
  </si>
  <si>
    <t>CLI-0130</t>
  </si>
  <si>
    <t>IGNACIO CONTRERAS DÍAZ</t>
  </si>
  <si>
    <t>22344182-8</t>
  </si>
  <si>
    <t>ign.contreras@empresa.cl</t>
  </si>
  <si>
    <t>Álvaro Rojas Contreras</t>
  </si>
  <si>
    <t>álv.rojas@outlook.cl</t>
  </si>
  <si>
    <t>CLI-0053</t>
  </si>
  <si>
    <t>21.890.262-5</t>
  </si>
  <si>
    <t>DANIELA RODRÍGUEZ PÉREZ</t>
  </si>
  <si>
    <t>dan.rodríguez@empresa.cl</t>
  </si>
  <si>
    <t>TRX-2144</t>
  </si>
  <si>
    <t>CLI-0926</t>
  </si>
  <si>
    <t>14.191.545-7</t>
  </si>
  <si>
    <t>Álvaro Rojas Morales</t>
  </si>
  <si>
    <t>PROD-104</t>
  </si>
  <si>
    <t>álv.rojas@servicios.cl</t>
  </si>
  <si>
    <t>CLI-003</t>
  </si>
  <si>
    <t>CLI-0054</t>
  </si>
  <si>
    <t>17.449.223-K</t>
  </si>
  <si>
    <t>Sebastián Sepúlveda Soto</t>
  </si>
  <si>
    <t>seb.sepúlveda@servicios.cl</t>
  </si>
  <si>
    <t>CLI-0055</t>
  </si>
  <si>
    <t>CLI-0946</t>
  </si>
  <si>
    <t>11.500.055-5</t>
  </si>
  <si>
    <t>12.390.974-2</t>
  </si>
  <si>
    <t>Valentina Soto Díaz</t>
  </si>
  <si>
    <t>Álvaro Rojas Soto</t>
  </si>
  <si>
    <t>val.soto@servicios.cl</t>
  </si>
  <si>
    <t>TRX-2161</t>
  </si>
  <si>
    <t>PROD-121</t>
  </si>
  <si>
    <t>SUC-04</t>
  </si>
  <si>
    <t>CLI-0056</t>
  </si>
  <si>
    <t>14216753-K</t>
  </si>
  <si>
    <t>rodrigo sepúlveda rodríguez</t>
  </si>
  <si>
    <t>rod.sepúlveda@gmail.com</t>
  </si>
  <si>
    <t>TRX-2196</t>
  </si>
  <si>
    <t>PROD-105</t>
  </si>
  <si>
    <t>SUC-06</t>
  </si>
  <si>
    <t>CLI-0610</t>
  </si>
  <si>
    <t>14.774.123-3</t>
  </si>
  <si>
    <t>TRX-2271</t>
  </si>
  <si>
    <t>Álvaro Sepúlveda López</t>
  </si>
  <si>
    <t>álv.sepúlveda@consultora.cl</t>
  </si>
  <si>
    <t>PROD-119</t>
  </si>
  <si>
    <t>CLI-0057</t>
  </si>
  <si>
    <t>21.122.939-8</t>
  </si>
  <si>
    <t>Beatriz Sepúlveda Morales</t>
  </si>
  <si>
    <t>ID</t>
  </si>
  <si>
    <t>bea.sepúlveda@sura.cl</t>
  </si>
  <si>
    <t>Nombre producto</t>
  </si>
  <si>
    <t>Precio Unitario CLP</t>
  </si>
  <si>
    <t>TRX-2243</t>
  </si>
  <si>
    <t>PROD-122</t>
  </si>
  <si>
    <t>SUC-14</t>
  </si>
  <si>
    <t>PROD-125</t>
  </si>
  <si>
    <t>CLI-0058</t>
  </si>
  <si>
    <t>CLI-0258</t>
  </si>
  <si>
    <t>14443843-0</t>
  </si>
  <si>
    <t>15042157-3</t>
  </si>
  <si>
    <t>Matías Pérez Pérez</t>
  </si>
  <si>
    <t>Álvaro Soto Silva</t>
  </si>
  <si>
    <t>mat.pérez@sura.cl</t>
  </si>
  <si>
    <t>álv.soto@consultora.cl</t>
  </si>
  <si>
    <t>CLI-0059</t>
  </si>
  <si>
    <t>19.745.270-K</t>
  </si>
  <si>
    <t>Camila Vergara Espinoza</t>
  </si>
  <si>
    <t>CLI-0230</t>
  </si>
  <si>
    <t>cam.vergara@empresa.cl</t>
  </si>
  <si>
    <t>16.752.592-9</t>
  </si>
  <si>
    <t>Álvaro Soto Vergara</t>
  </si>
  <si>
    <t>álv.soto@gmail.com</t>
  </si>
  <si>
    <t>CLI-0060</t>
  </si>
  <si>
    <t>20.646.504-5</t>
  </si>
  <si>
    <t>Javier Rojas Soto</t>
  </si>
  <si>
    <t>jav.rojas@outlook.cl</t>
  </si>
  <si>
    <t>CLI-0120</t>
  </si>
  <si>
    <t>TRX-2073</t>
  </si>
  <si>
    <t>16.902.804-3</t>
  </si>
  <si>
    <t>Álvaro Tapia Contreras</t>
  </si>
  <si>
    <t>álv.tapia@gmail.com</t>
  </si>
  <si>
    <t>SUC-15</t>
  </si>
  <si>
    <t>TRX-2104</t>
  </si>
  <si>
    <t>CLI-0061</t>
  </si>
  <si>
    <t>20.366.353-0</t>
  </si>
  <si>
    <t>JAVIERA ARAYA SOTO</t>
  </si>
  <si>
    <t>PROD-110</t>
  </si>
  <si>
    <t>jav.araya@consultora.cl</t>
  </si>
  <si>
    <t>SUC-11</t>
  </si>
  <si>
    <t>TRX-2203</t>
  </si>
  <si>
    <t>PROD-123</t>
  </si>
  <si>
    <t>SUC-12</t>
  </si>
  <si>
    <t>CLI-0692</t>
  </si>
  <si>
    <t>15.508.689-5</t>
  </si>
  <si>
    <t>Álvaro Tapia Díaz</t>
  </si>
  <si>
    <t>álv.tapia@sura.cl</t>
  </si>
  <si>
    <t>CLI-0062</t>
  </si>
  <si>
    <t>TRX-2097</t>
  </si>
  <si>
    <t>19406750-3</t>
  </si>
  <si>
    <t>CLI-004</t>
  </si>
  <si>
    <t>Gabriel López Vergara</t>
  </si>
  <si>
    <t>gab.lópez@sura.cl</t>
  </si>
  <si>
    <t>TRX-2174</t>
  </si>
  <si>
    <t>PROD-124</t>
  </si>
  <si>
    <t>SUC-08</t>
  </si>
  <si>
    <t>TRX-2197</t>
  </si>
  <si>
    <t>PROD-118</t>
  </si>
  <si>
    <t>CLI-0078</t>
  </si>
  <si>
    <t>20.532.244-4</t>
  </si>
  <si>
    <t>CLI-0063</t>
  </si>
  <si>
    <t>Álvaro Tapia Espinoza</t>
  </si>
  <si>
    <t>14.331.264-2</t>
  </si>
  <si>
    <t>TRX-2260</t>
  </si>
  <si>
    <t>Loreto Morales Pérez</t>
  </si>
  <si>
    <t>lor.morales@gmail.com</t>
  </si>
  <si>
    <t>PROD-114</t>
  </si>
  <si>
    <t>TRX-2287</t>
  </si>
  <si>
    <t>PROD-103</t>
  </si>
  <si>
    <t>TRX-2154</t>
  </si>
  <si>
    <t>CLI-005</t>
  </si>
  <si>
    <t>PROD-117</t>
  </si>
  <si>
    <t>TRX-2171</t>
  </si>
  <si>
    <t>PROD-102</t>
  </si>
  <si>
    <t>CLI-0064</t>
  </si>
  <si>
    <t>15748097-K</t>
  </si>
  <si>
    <t>TRX-2215</t>
  </si>
  <si>
    <t>Felipe González López</t>
  </si>
  <si>
    <t>CLI-0570</t>
  </si>
  <si>
    <t>fel.gonzález@consultora.cl</t>
  </si>
  <si>
    <t>21384372-2</t>
  </si>
  <si>
    <t>Álvaro Tapia Morales</t>
  </si>
  <si>
    <t>TRX-2267</t>
  </si>
  <si>
    <t>PROD-120</t>
  </si>
  <si>
    <t>SUC-07</t>
  </si>
  <si>
    <t>TRX-2131</t>
  </si>
  <si>
    <t>CLI-006</t>
  </si>
  <si>
    <t>TRX-2173</t>
  </si>
  <si>
    <t>CLI-0065</t>
  </si>
  <si>
    <t>14.288.488-4</t>
  </si>
  <si>
    <t>FRANCISCA VALENZUELA TAPIA</t>
  </si>
  <si>
    <t>fra.valenzuela@gmail.com</t>
  </si>
  <si>
    <t>TRX-2274</t>
  </si>
  <si>
    <t>TRX-2194</t>
  </si>
  <si>
    <t>CLI-0622</t>
  </si>
  <si>
    <t>CLI-007</t>
  </si>
  <si>
    <t>18.405.031-4</t>
  </si>
  <si>
    <t>PROD-108</t>
  </si>
  <si>
    <t>Álvaro Tapia Rojas</t>
  </si>
  <si>
    <t>álv.tapia@servicios.cl</t>
  </si>
  <si>
    <t>TRX-2108</t>
  </si>
  <si>
    <t>CLI-008</t>
  </si>
  <si>
    <t>SUC-01</t>
  </si>
  <si>
    <t>CLI-0066</t>
  </si>
  <si>
    <t>TRX-2078</t>
  </si>
  <si>
    <t>20.498.090-2</t>
  </si>
  <si>
    <t>CLI-009</t>
  </si>
  <si>
    <t>Mauricio Rodríguez Rojas</t>
  </si>
  <si>
    <t>PROD-101</t>
  </si>
  <si>
    <t>mau.rodríguez@gmail.com</t>
  </si>
  <si>
    <t>TRX-2165</t>
  </si>
  <si>
    <t>SUC-09</t>
  </si>
  <si>
    <t>TRX-2027</t>
  </si>
  <si>
    <t>CLI-0878</t>
  </si>
  <si>
    <t>14.707.341-2</t>
  </si>
  <si>
    <t>CLI-010</t>
  </si>
  <si>
    <t>Álvaro Valenzuela Rodríguez</t>
  </si>
  <si>
    <t>SUC-03</t>
  </si>
  <si>
    <t>álv.valenzuela@empresa.cl</t>
  </si>
  <si>
    <t>TRX-2218</t>
  </si>
  <si>
    <t>PROD-111</t>
  </si>
  <si>
    <t>CLI-0067</t>
  </si>
  <si>
    <t>11.955.434-4</t>
  </si>
  <si>
    <t>andrea gonzález espinoza</t>
  </si>
  <si>
    <t>TRX-2269</t>
  </si>
  <si>
    <t>and.gonzález@empresa.cl</t>
  </si>
  <si>
    <t>TRX-2005</t>
  </si>
  <si>
    <t>CLI-011</t>
  </si>
  <si>
    <t>TRX-2013</t>
  </si>
  <si>
    <t>PROD-112</t>
  </si>
  <si>
    <t>CLI-0182</t>
  </si>
  <si>
    <t>12.466.467-9</t>
  </si>
  <si>
    <t>Álvaro Valenzuela Valenzuela</t>
  </si>
  <si>
    <t>TRX-2092</t>
  </si>
  <si>
    <t>álv.valenzuela@servicios.cl</t>
  </si>
  <si>
    <t>CLI-0068</t>
  </si>
  <si>
    <t>20.069.414-5</t>
  </si>
  <si>
    <t>MATÍAS FUENTES MORALES</t>
  </si>
  <si>
    <t>mat.fuentes@empresa.cl</t>
  </si>
  <si>
    <t>TRX-2166</t>
  </si>
  <si>
    <t>TRX-2247</t>
  </si>
  <si>
    <t>TRX-2286</t>
  </si>
  <si>
    <t>CLI-0447</t>
  </si>
  <si>
    <t>15.737.306-6</t>
  </si>
  <si>
    <t>TRX-2167</t>
  </si>
  <si>
    <t>Andrea Araya Muñoz</t>
  </si>
  <si>
    <t>and.araya@gmail.com</t>
  </si>
  <si>
    <t>CLI-012</t>
  </si>
  <si>
    <t>TRX-2088</t>
  </si>
  <si>
    <t>CLI-013</t>
  </si>
  <si>
    <t>TRX-2148</t>
  </si>
  <si>
    <t>CLI-0069</t>
  </si>
  <si>
    <t>TRX-2156</t>
  </si>
  <si>
    <t>13.859.516-2</t>
  </si>
  <si>
    <t>carolina rojas araya</t>
  </si>
  <si>
    <t>car.rojas@sura.cl</t>
  </si>
  <si>
    <t>CLI-0747</t>
  </si>
  <si>
    <t>TRX-2062</t>
  </si>
  <si>
    <t>14.068.812-0</t>
  </si>
  <si>
    <t>Andrea Contreras Díaz</t>
  </si>
  <si>
    <t>CLI-015</t>
  </si>
  <si>
    <t>and.contreras@empresa.cl</t>
  </si>
  <si>
    <t>TRX-2098</t>
  </si>
  <si>
    <t>TRX-2145</t>
  </si>
  <si>
    <t>CLI-0070</t>
  </si>
  <si>
    <t>20.266.869-8</t>
  </si>
  <si>
    <t>SUC-13</t>
  </si>
  <si>
    <t>MAURICIO ARAYA SOTO</t>
  </si>
  <si>
    <t>mau.araya@sura.cl</t>
  </si>
  <si>
    <t>TRX-2146</t>
  </si>
  <si>
    <t>TRX-2159</t>
  </si>
  <si>
    <t>CLI-016</t>
  </si>
  <si>
    <t>PROD-113</t>
  </si>
  <si>
    <t>SUC-02</t>
  </si>
  <si>
    <t>TRX-2268</t>
  </si>
  <si>
    <t>TRX-2292</t>
  </si>
  <si>
    <t>CLI-0071</t>
  </si>
  <si>
    <t>CLI-0087</t>
  </si>
  <si>
    <t>11364673-7</t>
  </si>
  <si>
    <t>12.715.632-3</t>
  </si>
  <si>
    <t>ANDREA MUÑOZ ARAYA</t>
  </si>
  <si>
    <t>Andrea Contreras González</t>
  </si>
  <si>
    <t>and.muñoz@gmail.com</t>
  </si>
  <si>
    <t>and.contreras@consultora.cl</t>
  </si>
  <si>
    <t>TRX-2040</t>
  </si>
  <si>
    <t>CLI-017</t>
  </si>
  <si>
    <t>TRX-2054</t>
  </si>
  <si>
    <t>TRX-2281</t>
  </si>
  <si>
    <t>CLI-0072</t>
  </si>
  <si>
    <t>16.639.676-7</t>
  </si>
  <si>
    <t>Esteban Valenzuela Díaz</t>
  </si>
  <si>
    <t>TRX-2284</t>
  </si>
  <si>
    <t>est.valenzuela@sura.cl</t>
  </si>
  <si>
    <t>PROD-106</t>
  </si>
  <si>
    <t>TRX-2083</t>
  </si>
  <si>
    <t>CLI-018</t>
  </si>
  <si>
    <t>PROD-107</t>
  </si>
  <si>
    <t>SUC-05</t>
  </si>
  <si>
    <t>TRX-2110</t>
  </si>
  <si>
    <t>CLI-0073</t>
  </si>
  <si>
    <t>16.529.760-7</t>
  </si>
  <si>
    <t>Constanza Fuentes Rodríguez</t>
  </si>
  <si>
    <t>con.fuentes@servicios.cl</t>
  </si>
  <si>
    <t>TRX-2124</t>
  </si>
  <si>
    <t>TRX-2175</t>
  </si>
  <si>
    <t>CLI-019</t>
  </si>
  <si>
    <t>TRX-2015</t>
  </si>
  <si>
    <t>CLI-0074</t>
  </si>
  <si>
    <t>21.681.359-7</t>
  </si>
  <si>
    <t>CLI-020</t>
  </si>
  <si>
    <t>Ignacio Espinoza Araya</t>
  </si>
  <si>
    <t>ign.espinoza@empresa.cl</t>
  </si>
  <si>
    <t>TRX-2101</t>
  </si>
  <si>
    <t>PROD-109</t>
  </si>
  <si>
    <t>CLI-0557</t>
  </si>
  <si>
    <t>21409726-8</t>
  </si>
  <si>
    <t>TRX-2113</t>
  </si>
  <si>
    <t>Andrea Contreras Morales</t>
  </si>
  <si>
    <t>and.contreras@gmail.com</t>
  </si>
  <si>
    <t>TRX-2134</t>
  </si>
  <si>
    <t>CLI-0075</t>
  </si>
  <si>
    <t>17.345.273-4</t>
  </si>
  <si>
    <t>Marcela Sepúlveda Espinoza</t>
  </si>
  <si>
    <t>mar.sepúlveda@consultora.cl</t>
  </si>
  <si>
    <t>CLI-0076</t>
  </si>
  <si>
    <t>18.692.246-4</t>
  </si>
  <si>
    <t>Tomas González Rodríguez</t>
  </si>
  <si>
    <t>tom.gonzález@gmail.com</t>
  </si>
  <si>
    <t>CLI-0909</t>
  </si>
  <si>
    <t>15.114.550-4</t>
  </si>
  <si>
    <t>Andrea Díaz Araya</t>
  </si>
  <si>
    <t>and.díaz@empresa.cl</t>
  </si>
  <si>
    <t>TRX-2069</t>
  </si>
  <si>
    <t>CLI-021</t>
  </si>
  <si>
    <t>CLI-0077</t>
  </si>
  <si>
    <t>14950656-4</t>
  </si>
  <si>
    <t>TRX-2086</t>
  </si>
  <si>
    <t>Constanza Rodríguez Fuentes</t>
  </si>
  <si>
    <t>con.rodríguez@empresa.cl</t>
  </si>
  <si>
    <t>TRX-2127</t>
  </si>
  <si>
    <t>CLI-0391</t>
  </si>
  <si>
    <t>12727815-0</t>
  </si>
  <si>
    <t>TRX-2234</t>
  </si>
  <si>
    <t>Andrea Díaz Tapia</t>
  </si>
  <si>
    <t>and.díaz@servicios.cl</t>
  </si>
  <si>
    <t>ÁLVARO TAPIA ESPINOZA</t>
  </si>
  <si>
    <t>SUM de Dias_Morosidad</t>
  </si>
  <si>
    <t>TRX-2246</t>
  </si>
  <si>
    <t>TRX-2230</t>
  </si>
  <si>
    <t>CLI-022</t>
  </si>
  <si>
    <t>PROD-116</t>
  </si>
  <si>
    <t>CLI-0079</t>
  </si>
  <si>
    <t>TRX-2250</t>
  </si>
  <si>
    <t>13856777-7</t>
  </si>
  <si>
    <t>Marcela Espinoza Díaz</t>
  </si>
  <si>
    <t>CLI-0177</t>
  </si>
  <si>
    <t>12.170.111-9</t>
  </si>
  <si>
    <t>Andrea Espinoza Vergara</t>
  </si>
  <si>
    <t>TRX-2095</t>
  </si>
  <si>
    <t>and.espinoza@consultora.cl</t>
  </si>
  <si>
    <t>CLI-023</t>
  </si>
  <si>
    <t>Total Región de Antofagasta</t>
  </si>
  <si>
    <t>TRX-2164</t>
  </si>
  <si>
    <t>TRX-2240</t>
  </si>
  <si>
    <t>CLI-0080</t>
  </si>
  <si>
    <t>13.263.736-6</t>
  </si>
  <si>
    <t>Mauricio Pérez Espinoza</t>
  </si>
  <si>
    <t>mau.pérez@gmail.com</t>
  </si>
  <si>
    <t>TRX-2190</t>
  </si>
  <si>
    <t>CLI-024</t>
  </si>
  <si>
    <t>TRX-2036</t>
  </si>
  <si>
    <t>CLI-025</t>
  </si>
  <si>
    <t>TRX-2181</t>
  </si>
  <si>
    <t>Total Región de Coquimbo</t>
  </si>
  <si>
    <t>TRX-2242</t>
  </si>
  <si>
    <t>Andrea González Espinoza</t>
  </si>
  <si>
    <t>CLI-0081</t>
  </si>
  <si>
    <t>11.338.107-4</t>
  </si>
  <si>
    <t>Sofia Vergara Contreras</t>
  </si>
  <si>
    <t>TRX-2266</t>
  </si>
  <si>
    <t>sof.vergara@outlook.cl</t>
  </si>
  <si>
    <t>TRX-2064</t>
  </si>
  <si>
    <t>CLI-026</t>
  </si>
  <si>
    <t>Total Región de la Araucanía</t>
  </si>
  <si>
    <t>TRX-2123</t>
  </si>
  <si>
    <t>Suma total</t>
  </si>
  <si>
    <t>TRX-2291</t>
  </si>
  <si>
    <t>CLI-0082</t>
  </si>
  <si>
    <t>17.942.818-3</t>
  </si>
  <si>
    <t>IGNACIO DÍAZ LÓPEZ</t>
  </si>
  <si>
    <t>ign.díaz@consultora.cl</t>
  </si>
  <si>
    <t>TRX-2061</t>
  </si>
  <si>
    <t>CLI-027</t>
  </si>
  <si>
    <t>CLI-0277</t>
  </si>
  <si>
    <t>Total Región de Los Lagos</t>
  </si>
  <si>
    <t>13.451.347-2</t>
  </si>
  <si>
    <t>TRX-2079</t>
  </si>
  <si>
    <t>Andrea González Sepúlveda</t>
  </si>
  <si>
    <t>and.gonzález@outlook.cl</t>
  </si>
  <si>
    <t>TRX-2090</t>
  </si>
  <si>
    <t>CLI-0083</t>
  </si>
  <si>
    <t>TRX-2158</t>
  </si>
  <si>
    <t>15.412.692-4</t>
  </si>
  <si>
    <t>Macarena González Díaz</t>
  </si>
  <si>
    <t>mac.gonzález@gmail.com</t>
  </si>
  <si>
    <t>Total Región de Valparaíso</t>
  </si>
  <si>
    <t>TRX-2193</t>
  </si>
  <si>
    <t>CLI-0171</t>
  </si>
  <si>
    <t>15.481.798-9</t>
  </si>
  <si>
    <t>Andrea González Silva</t>
  </si>
  <si>
    <t>TRX-2212</t>
  </si>
  <si>
    <t>and.gonzález@consultora.cl</t>
  </si>
  <si>
    <t>CLI-0084</t>
  </si>
  <si>
    <t>18.844.773-2</t>
  </si>
  <si>
    <t>javier sepúlveda rojas</t>
  </si>
  <si>
    <t>Total Región del Biobío</t>
  </si>
  <si>
    <t>jav.sepúlveda@servicios.cl</t>
  </si>
  <si>
    <t>TRX-2237</t>
  </si>
  <si>
    <t>TRX-2002</t>
  </si>
  <si>
    <t>CLI-028</t>
  </si>
  <si>
    <t>CLI-0535</t>
  </si>
  <si>
    <t>21204928-8</t>
  </si>
  <si>
    <t>Andrea López Fuentes</t>
  </si>
  <si>
    <t>CLI-0085</t>
  </si>
  <si>
    <t>and.lópez@sura.cl</t>
  </si>
  <si>
    <t>12.449.255-5</t>
  </si>
  <si>
    <t>Macarena Rodríguez Muñoz</t>
  </si>
  <si>
    <t>TRX-2046</t>
  </si>
  <si>
    <t>mac.rodríguez@gmail.com</t>
  </si>
  <si>
    <t>TRX-2188</t>
  </si>
  <si>
    <t>TRX-2010</t>
  </si>
  <si>
    <t>CLI-0086</t>
  </si>
  <si>
    <t>CLI-029</t>
  </si>
  <si>
    <t>20.269.276-3</t>
  </si>
  <si>
    <t>Mauricio Pérez Soto</t>
  </si>
  <si>
    <t>Total Región Metropolitana</t>
  </si>
  <si>
    <t>mau.pérez@sura.cl</t>
  </si>
  <si>
    <t>CLI-0353</t>
  </si>
  <si>
    <t>TRX-2028</t>
  </si>
  <si>
    <t>11.719.561-0</t>
  </si>
  <si>
    <t>Andrea López González</t>
  </si>
  <si>
    <t>and.lópez@empresa.cl</t>
  </si>
  <si>
    <t>TRX-2119</t>
  </si>
  <si>
    <t>TRX-2198</t>
  </si>
  <si>
    <t>TRX-2043</t>
  </si>
  <si>
    <t>CLI-030</t>
  </si>
  <si>
    <t>TRX-2184</t>
  </si>
  <si>
    <t>CLI-0088</t>
  </si>
  <si>
    <t>11.678.385-2</t>
  </si>
  <si>
    <t>CLI-0495</t>
  </si>
  <si>
    <t>TOMAS VALENZUELA ARAYA</t>
  </si>
  <si>
    <t>20.881.696-6</t>
  </si>
  <si>
    <t>TRX-2205</t>
  </si>
  <si>
    <t>tom.valenzuela@gmail.com</t>
  </si>
  <si>
    <t>Andrea López Rojas</t>
  </si>
  <si>
    <t>and.lópez@servicios.cl</t>
  </si>
  <si>
    <t>TRX-2219</t>
  </si>
  <si>
    <t>TRX-2132</t>
  </si>
  <si>
    <t>CLI-032</t>
  </si>
  <si>
    <t>CLI-0089</t>
  </si>
  <si>
    <t>TRX-2180</t>
  </si>
  <si>
    <t>20336972-4</t>
  </si>
  <si>
    <t>DANIELA VALENZUELA RODRÍGUEZ</t>
  </si>
  <si>
    <t>dan.valenzuela@sura.cl</t>
  </si>
  <si>
    <t>TRX-2186</t>
  </si>
  <si>
    <t>TRX-2249</t>
  </si>
  <si>
    <t>CLI-0525</t>
  </si>
  <si>
    <t>17.148.986-5</t>
  </si>
  <si>
    <t>Andrea Morales Díaz</t>
  </si>
  <si>
    <t>and.morales@outlook.cl</t>
  </si>
  <si>
    <t>TRX-2065</t>
  </si>
  <si>
    <t>CLI-033</t>
  </si>
  <si>
    <t>CLI-0090</t>
  </si>
  <si>
    <t>14.197.146-6</t>
  </si>
  <si>
    <t>Felipe González Rodríguez</t>
  </si>
  <si>
    <t>fel.gonzález@gmail.com</t>
  </si>
  <si>
    <t>TRX-2081</t>
  </si>
  <si>
    <t>TRX-2183</t>
  </si>
  <si>
    <t>TRX-2021</t>
  </si>
  <si>
    <t>CLI-034</t>
  </si>
  <si>
    <t>CLI-0091</t>
  </si>
  <si>
    <t>TRX-2038</t>
  </si>
  <si>
    <t>22.160.319-1</t>
  </si>
  <si>
    <t>CAMILA CONTRERAS ESPINOZA</t>
  </si>
  <si>
    <t>cam.contreras@consultora.cl</t>
  </si>
  <si>
    <t>CLI-0635</t>
  </si>
  <si>
    <t>14.910.269-7</t>
  </si>
  <si>
    <t>TRX-2057</t>
  </si>
  <si>
    <t>Andrea Morales Soto</t>
  </si>
  <si>
    <t>and.morales@sura.cl</t>
  </si>
  <si>
    <t>TRX-2208</t>
  </si>
  <si>
    <t>TRX-2294</t>
  </si>
  <si>
    <t>TRX-2022</t>
  </si>
  <si>
    <t>CLI-035</t>
  </si>
  <si>
    <t>TRX-2039</t>
  </si>
  <si>
    <t>TRX-2115</t>
  </si>
  <si>
    <t>CLI-036</t>
  </si>
  <si>
    <t>CLI-0092</t>
  </si>
  <si>
    <t>15199395-K</t>
  </si>
  <si>
    <t>Andrea Muñoz Araya</t>
  </si>
  <si>
    <t>Gabriel Muñoz Soto</t>
  </si>
  <si>
    <t>gab.muñoz@empresa.cl</t>
  </si>
  <si>
    <t>TRX-2202</t>
  </si>
  <si>
    <t>TRX-2252</t>
  </si>
  <si>
    <t>TRX-2106</t>
  </si>
  <si>
    <t>CLI-037</t>
  </si>
  <si>
    <t>TRX-2255</t>
  </si>
  <si>
    <t>CLI-0093</t>
  </si>
  <si>
    <t>17.257.650-4</t>
  </si>
  <si>
    <t>Daniela Sepúlveda Pérez</t>
  </si>
  <si>
    <t>TRX-2060</t>
  </si>
  <si>
    <t>dan.sepúlveda@servicios.cl</t>
  </si>
  <si>
    <t>CLI-038</t>
  </si>
  <si>
    <t>CLI-0657</t>
  </si>
  <si>
    <t>13.008.833-3</t>
  </si>
  <si>
    <t>TRX-2093</t>
  </si>
  <si>
    <t>Andrea Pérez Contreras</t>
  </si>
  <si>
    <t>and.pérez@sura.cl</t>
  </si>
  <si>
    <t>TRX-2117</t>
  </si>
  <si>
    <t>CLI-0094</t>
  </si>
  <si>
    <t>TRX-2235</t>
  </si>
  <si>
    <t>14.827.339-6</t>
  </si>
  <si>
    <t>felipe valenzuela sepúlveda</t>
  </si>
  <si>
    <t>fel.valenzuela@empresa.cl</t>
  </si>
  <si>
    <t>TRX-2248</t>
  </si>
  <si>
    <t>TRX-2262</t>
  </si>
  <si>
    <t>TRX-2151</t>
  </si>
  <si>
    <t>CLI-0095</t>
  </si>
  <si>
    <t>CLI-039</t>
  </si>
  <si>
    <t>15.488.455-5</t>
  </si>
  <si>
    <t>CLI-0543</t>
  </si>
  <si>
    <t>Marcela Tapia Morales</t>
  </si>
  <si>
    <t>18.580.834-7</t>
  </si>
  <si>
    <t>mar.tapia@empresa.cl</t>
  </si>
  <si>
    <t>Andrea Pérez López</t>
  </si>
  <si>
    <t>TRX-2204</t>
  </si>
  <si>
    <t>and.pérez@outlook.cl</t>
  </si>
  <si>
    <t>TRX-2221</t>
  </si>
  <si>
    <t>TRX-2227</t>
  </si>
  <si>
    <t>CLI-0096</t>
  </si>
  <si>
    <t>12.265.019-7</t>
  </si>
  <si>
    <t>Sebastián Tapia Muñoz</t>
  </si>
  <si>
    <t>seb.tapia@empresa.cl</t>
  </si>
  <si>
    <t>TRX-2112</t>
  </si>
  <si>
    <t>CLI-040</t>
  </si>
  <si>
    <t>TRX-2217</t>
  </si>
  <si>
    <t>TRX-2236</t>
  </si>
  <si>
    <t>CLI-0097</t>
  </si>
  <si>
    <t>19.176.462-3</t>
  </si>
  <si>
    <t>CLI-0237</t>
  </si>
  <si>
    <t>francisca araya lópez</t>
  </si>
  <si>
    <t>13019670-2</t>
  </si>
  <si>
    <t>fra.araya@empresa.cl</t>
  </si>
  <si>
    <t>Andrea Rojas Fuentes</t>
  </si>
  <si>
    <t>and.rojas@outlook.cl</t>
  </si>
  <si>
    <t>TRX-2059</t>
  </si>
  <si>
    <t>CLI-041</t>
  </si>
  <si>
    <t>TRX-2025</t>
  </si>
  <si>
    <t>CLI-042</t>
  </si>
  <si>
    <t>CLI-0098</t>
  </si>
  <si>
    <t>20.597.692-K</t>
  </si>
  <si>
    <t>IGNACIO FUENTES SEPÚLVEDA</t>
  </si>
  <si>
    <t>ign.fuentes@consultora.cl</t>
  </si>
  <si>
    <t>TRX-2211</t>
  </si>
  <si>
    <t>CLI-0799</t>
  </si>
  <si>
    <t>11.124.171-2</t>
  </si>
  <si>
    <t>Andrea Sepúlveda Espinoza</t>
  </si>
  <si>
    <t>TRX-2058</t>
  </si>
  <si>
    <t>and.sepúlveda@consultora.cl</t>
  </si>
  <si>
    <t>CLI-043</t>
  </si>
  <si>
    <t>CLI-0099</t>
  </si>
  <si>
    <t>18.898.568-6</t>
  </si>
  <si>
    <t>TRX-2111</t>
  </si>
  <si>
    <t>macarena díaz soto</t>
  </si>
  <si>
    <t>mac.díaz@outlook.cl</t>
  </si>
  <si>
    <t>TRX-2239</t>
  </si>
  <si>
    <t>TRX-2018</t>
  </si>
  <si>
    <t>CLI-044</t>
  </si>
  <si>
    <t>CLI-0100</t>
  </si>
  <si>
    <t>TRX-2066</t>
  </si>
  <si>
    <t>15194399-2</t>
  </si>
  <si>
    <t>Tomas Díaz Valenzuela</t>
  </si>
  <si>
    <t>tom.díaz@servicios.cl</t>
  </si>
  <si>
    <t>TRX-2107</t>
  </si>
  <si>
    <t>TRX-2118</t>
  </si>
  <si>
    <t>CLI-0101</t>
  </si>
  <si>
    <t>TRX-2138</t>
  </si>
  <si>
    <t>15068863-9</t>
  </si>
  <si>
    <t>Catalina Contreras Contreras</t>
  </si>
  <si>
    <t>CLI-0761</t>
  </si>
  <si>
    <t>cat.contreras@servicios.cl</t>
  </si>
  <si>
    <t>17191972-2</t>
  </si>
  <si>
    <t>Andrea Sepúlveda López</t>
  </si>
  <si>
    <t>TRX-2277</t>
  </si>
  <si>
    <t>TRX-2026</t>
  </si>
  <si>
    <t>CLI-045</t>
  </si>
  <si>
    <t>CLI-0102</t>
  </si>
  <si>
    <t>15.833.955-4</t>
  </si>
  <si>
    <t>TRX-2116</t>
  </si>
  <si>
    <t>Diego Silva Araya</t>
  </si>
  <si>
    <t>die.silva@gmail.com</t>
  </si>
  <si>
    <t>TRX-2120</t>
  </si>
  <si>
    <t>TRX-2143</t>
  </si>
  <si>
    <t>CLI-0103</t>
  </si>
  <si>
    <t>22.398.288-8</t>
  </si>
  <si>
    <t>CAMILA VERGARA TAPIA</t>
  </si>
  <si>
    <t>cam.vergara@consultora.cl</t>
  </si>
  <si>
    <t>CLI-0335</t>
  </si>
  <si>
    <t>16494746-5</t>
  </si>
  <si>
    <t>Andrea Sepúlveda Valenzuela</t>
  </si>
  <si>
    <t>TRX-2056</t>
  </si>
  <si>
    <t>CLI-046</t>
  </si>
  <si>
    <t>CLI-0104</t>
  </si>
  <si>
    <t>TRX-2152</t>
  </si>
  <si>
    <t>14.182.624-6</t>
  </si>
  <si>
    <t>Cristián Valenzuela González</t>
  </si>
  <si>
    <t>cri.valenzuela@sura.cl</t>
  </si>
  <si>
    <t>TRX-2155</t>
  </si>
  <si>
    <t>TRX-2162</t>
  </si>
  <si>
    <t>CLI-0105</t>
  </si>
  <si>
    <t>22.467.181-4</t>
  </si>
  <si>
    <t>Sofia Contreras Pérez</t>
  </si>
  <si>
    <t>sof.contreras@outlook.cl</t>
  </si>
  <si>
    <t>CLI-0935</t>
  </si>
  <si>
    <t>TRX-2261</t>
  </si>
  <si>
    <t>20.992.389-9</t>
  </si>
  <si>
    <t>Andrea Silva Díaz</t>
  </si>
  <si>
    <t>TRX-2293</t>
  </si>
  <si>
    <t>CLI-0106</t>
  </si>
  <si>
    <t>15189603-3</t>
  </si>
  <si>
    <t>Gonzalo Vergara Sepúlveda</t>
  </si>
  <si>
    <t>gon.vergara@gmail.com</t>
  </si>
  <si>
    <t>TRX-2089</t>
  </si>
  <si>
    <t>CLI-047</t>
  </si>
  <si>
    <t>TRX-2207</t>
  </si>
  <si>
    <t>TRX-2270</t>
  </si>
  <si>
    <t>CLI-0107</t>
  </si>
  <si>
    <t>15880893-6</t>
  </si>
  <si>
    <t>CAMILA ARAYA ARAYA</t>
  </si>
  <si>
    <t>cam.araya@gmail.com</t>
  </si>
  <si>
    <t>TRX-2275</t>
  </si>
  <si>
    <t>TRX-2126</t>
  </si>
  <si>
    <t>CLI-048</t>
  </si>
  <si>
    <t>TRX-2214</t>
  </si>
  <si>
    <t>CLI-0108</t>
  </si>
  <si>
    <t>11.267.000-7</t>
  </si>
  <si>
    <t>Diego Muñoz Soto</t>
  </si>
  <si>
    <t>die.muñoz@sura.cl</t>
  </si>
  <si>
    <t>TRX-2285</t>
  </si>
  <si>
    <t>TRX-2233</t>
  </si>
  <si>
    <t>CLI-0109</t>
  </si>
  <si>
    <t>CLI-049</t>
  </si>
  <si>
    <t>19.431.960-9</t>
  </si>
  <si>
    <t>Valentina Morales Sepúlveda</t>
  </si>
  <si>
    <t>val.morales@servicios.cl</t>
  </si>
  <si>
    <t>TRX-2014</t>
  </si>
  <si>
    <t>CLI-0623</t>
  </si>
  <si>
    <t>CLI-050</t>
  </si>
  <si>
    <t>19.349.246-8</t>
  </si>
  <si>
    <t>Andrea Silva Silva</t>
  </si>
  <si>
    <t>and.silva@empresa.cl</t>
  </si>
  <si>
    <t>TRX-2031</t>
  </si>
  <si>
    <t>CLI-0110</t>
  </si>
  <si>
    <t>TRX-2047</t>
  </si>
  <si>
    <t>13.520.150-2</t>
  </si>
  <si>
    <t>SEBASTIÁN PÉREZ SOTO</t>
  </si>
  <si>
    <t>seb.pérez@sura.cl</t>
  </si>
  <si>
    <t>TRX-2109</t>
  </si>
  <si>
    <t>TRX-2141</t>
  </si>
  <si>
    <t>CLI-0111</t>
  </si>
  <si>
    <t>TRX-2206</t>
  </si>
  <si>
    <t>16.331.357-3</t>
  </si>
  <si>
    <t>Camila Soto Morales</t>
  </si>
  <si>
    <t>cam.soto@servicios.cl</t>
  </si>
  <si>
    <t>CLI-0853</t>
  </si>
  <si>
    <t>TRX-2105</t>
  </si>
  <si>
    <t>17.550.135-7</t>
  </si>
  <si>
    <t>Andrea Soto Rodríguez</t>
  </si>
  <si>
    <t>CLI-051</t>
  </si>
  <si>
    <t>and.soto@servicios.cl</t>
  </si>
  <si>
    <t>TRX-2128</t>
  </si>
  <si>
    <t>CLI-0112</t>
  </si>
  <si>
    <t>19.485.484-7</t>
  </si>
  <si>
    <t>TRX-2185</t>
  </si>
  <si>
    <t>FELIPE VERGARA VERGARA</t>
  </si>
  <si>
    <t>fel.vergara@gmail.com</t>
  </si>
  <si>
    <t>TRX-2253</t>
  </si>
  <si>
    <t>CLI-052</t>
  </si>
  <si>
    <t>CLI-0113</t>
  </si>
  <si>
    <t>13.760.186-2</t>
  </si>
  <si>
    <t>Carolina Díaz Espinoza</t>
  </si>
  <si>
    <t>TRX-2129</t>
  </si>
  <si>
    <t>car.díaz@gmail.com</t>
  </si>
  <si>
    <t>CLI-053</t>
  </si>
  <si>
    <t>CLI-0281</t>
  </si>
  <si>
    <t>13.913.938-0</t>
  </si>
  <si>
    <t>TRX-2195</t>
  </si>
  <si>
    <t>Andrea Tapia Pérez</t>
  </si>
  <si>
    <t>and.tapia@consultora.cl</t>
  </si>
  <si>
    <t>TRX-2296</t>
  </si>
  <si>
    <t>CLI-0114</t>
  </si>
  <si>
    <t>13.697.302-7</t>
  </si>
  <si>
    <t>HERNÁN CONTRERAS VERGARA</t>
  </si>
  <si>
    <t>her.contreras@gmail.com</t>
  </si>
  <si>
    <t>TRX-2216</t>
  </si>
  <si>
    <t>CLI-054</t>
  </si>
  <si>
    <t>TRX-2103</t>
  </si>
  <si>
    <t>CLI-055</t>
  </si>
  <si>
    <t>TRX-2220</t>
  </si>
  <si>
    <t>CLI-0115</t>
  </si>
  <si>
    <t>19.580.611-4</t>
  </si>
  <si>
    <t>BEATRIZ ESPINOZA SILVA</t>
  </si>
  <si>
    <t>bea.espinoza@consultora.cl</t>
  </si>
  <si>
    <t>TRX-2177</t>
  </si>
  <si>
    <t>CLI-0869</t>
  </si>
  <si>
    <t>CLI-056</t>
  </si>
  <si>
    <t>17035538-0</t>
  </si>
  <si>
    <t>Andrea Vergara López</t>
  </si>
  <si>
    <t>and.vergara@outlook.cl</t>
  </si>
  <si>
    <t>TRX-2229</t>
  </si>
  <si>
    <t>TRX-2256</t>
  </si>
  <si>
    <t>CLI-0116</t>
  </si>
  <si>
    <t>20183945-2</t>
  </si>
  <si>
    <t>MATÍAS SEPÚLVEDA CONTRERAS</t>
  </si>
  <si>
    <t>mat.sepúlveda@consultora.cl</t>
  </si>
  <si>
    <t>TRX-2273</t>
  </si>
  <si>
    <t>TRX-2295</t>
  </si>
  <si>
    <t>CLI-0117</t>
  </si>
  <si>
    <t>17.292.330-0</t>
  </si>
  <si>
    <t>TRX-2051</t>
  </si>
  <si>
    <t>FRANCISCA PÉREZ TAPIA</t>
  </si>
  <si>
    <t>fra.pérez@outlook.cl</t>
  </si>
  <si>
    <t>CLI-057</t>
  </si>
  <si>
    <t>CLI-0209</t>
  </si>
  <si>
    <t>TRX-2099</t>
  </si>
  <si>
    <t>15.447.490-9</t>
  </si>
  <si>
    <t>Beatriz Araya Fuentes</t>
  </si>
  <si>
    <t>bea.araya@consultora.cl</t>
  </si>
  <si>
    <t>TRX-2182</t>
  </si>
  <si>
    <t>CLI-0118</t>
  </si>
  <si>
    <t>21.955.710-0</t>
  </si>
  <si>
    <t>MATÍAS TAPIA FUENTES</t>
  </si>
  <si>
    <t>mat.tapia@sura.cl</t>
  </si>
  <si>
    <t>TRX-2191</t>
  </si>
  <si>
    <t>TRX-2264</t>
  </si>
  <si>
    <t>TRX-2070</t>
  </si>
  <si>
    <t>CLI-058</t>
  </si>
  <si>
    <t>CLI-0119</t>
  </si>
  <si>
    <t>11964091-1</t>
  </si>
  <si>
    <t>marcela pérez fuentes</t>
  </si>
  <si>
    <t>mar.pérez@servicios.cl</t>
  </si>
  <si>
    <t>TRX-2075</t>
  </si>
  <si>
    <t>CLI-0427</t>
  </si>
  <si>
    <t>19.079.232-2</t>
  </si>
  <si>
    <t>TRX-2085</t>
  </si>
  <si>
    <t>Beatriz Araya Valenzuela</t>
  </si>
  <si>
    <t>CLI-059</t>
  </si>
  <si>
    <t>TRX-2055</t>
  </si>
  <si>
    <t>CLI-060</t>
  </si>
  <si>
    <t>ÁLVARO TAPIA CONTRERAS</t>
  </si>
  <si>
    <t>TRX-2091</t>
  </si>
  <si>
    <t>TRX-2201</t>
  </si>
  <si>
    <t>TRX-2300</t>
  </si>
  <si>
    <t>CLI-0121</t>
  </si>
  <si>
    <t>21.326.779-3</t>
  </si>
  <si>
    <t>Sofia González Tapia</t>
  </si>
  <si>
    <t>sof.gonzález@empresa.cl</t>
  </si>
  <si>
    <t>TRX-2033</t>
  </si>
  <si>
    <t>CLI-0943</t>
  </si>
  <si>
    <t>CLI-061</t>
  </si>
  <si>
    <t>TRX-2192</t>
  </si>
  <si>
    <t>21.272.458-K</t>
  </si>
  <si>
    <t>bea.araya@sura.cl</t>
  </si>
  <si>
    <t>TRX-2222</t>
  </si>
  <si>
    <t>TRX-2265</t>
  </si>
  <si>
    <t>TRX-2290</t>
  </si>
  <si>
    <t>TRX-2087</t>
  </si>
  <si>
    <t>CLI-062</t>
  </si>
  <si>
    <t>TRX-2153</t>
  </si>
  <si>
    <t>CLI-0641</t>
  </si>
  <si>
    <t>TRX-2299</t>
  </si>
  <si>
    <t>20539681-6</t>
  </si>
  <si>
    <t>Beatriz Contreras González</t>
  </si>
  <si>
    <t>bea.contreras@sura.cl</t>
  </si>
  <si>
    <t>CLI-0122</t>
  </si>
  <si>
    <t>20.871.270-5</t>
  </si>
  <si>
    <t>TRX-2053</t>
  </si>
  <si>
    <t>Sebastián Sepúlveda Rojas</t>
  </si>
  <si>
    <t>seb.sepúlveda@consultora.cl</t>
  </si>
  <si>
    <t>CLI-063</t>
  </si>
  <si>
    <t>TRX-2241</t>
  </si>
  <si>
    <t>TRX-2006</t>
  </si>
  <si>
    <t>CLI-064</t>
  </si>
  <si>
    <t>CLI-0123</t>
  </si>
  <si>
    <t>11949041-8</t>
  </si>
  <si>
    <t>Macarena Díaz Soto</t>
  </si>
  <si>
    <t>TRX-2017</t>
  </si>
  <si>
    <t>CLI-0273</t>
  </si>
  <si>
    <t>17549161-0</t>
  </si>
  <si>
    <t>TRX-2037</t>
  </si>
  <si>
    <t>Beatriz Espinoza Pérez</t>
  </si>
  <si>
    <t>bea.espinoza@sura.cl</t>
  </si>
  <si>
    <t>TRX-2163</t>
  </si>
  <si>
    <t>CLI-0124</t>
  </si>
  <si>
    <t>17.577.741-3</t>
  </si>
  <si>
    <t>Diego Fuentes Silva</t>
  </si>
  <si>
    <t>die.fuentes@sura.cl</t>
  </si>
  <si>
    <t>TRX-2042</t>
  </si>
  <si>
    <t>CLI-065</t>
  </si>
  <si>
    <t>TRX-2009</t>
  </si>
  <si>
    <t>CLI-066</t>
  </si>
  <si>
    <t>TRX-2082</t>
  </si>
  <si>
    <t>CLI-0125</t>
  </si>
  <si>
    <t>Beatriz Espinoza Silva</t>
  </si>
  <si>
    <t>14.294.333-2</t>
  </si>
  <si>
    <t>JAVIERA MUÑOZ ROJAS</t>
  </si>
  <si>
    <t>jav.muñoz@outlook.cl</t>
  </si>
  <si>
    <t>TRX-2122</t>
  </si>
  <si>
    <t>TRX-2094</t>
  </si>
  <si>
    <t>CLI-067</t>
  </si>
  <si>
    <t>TRX-2245</t>
  </si>
  <si>
    <t>CLI-0126</t>
  </si>
  <si>
    <t>11492005-4</t>
  </si>
  <si>
    <t>Claudio Fuentes Pérez</t>
  </si>
  <si>
    <t>cla.fuentes@sura.cl</t>
  </si>
  <si>
    <t>TRX-2258</t>
  </si>
  <si>
    <t>CLI-0331</t>
  </si>
  <si>
    <t>15701172-8</t>
  </si>
  <si>
    <t>Beatriz Fuentes Araya</t>
  </si>
  <si>
    <t>bea.fuentes@gmail.com</t>
  </si>
  <si>
    <t>TRX-2034</t>
  </si>
  <si>
    <t>CLI-068</t>
  </si>
  <si>
    <t>CLI-0127</t>
  </si>
  <si>
    <t>19888134-9</t>
  </si>
  <si>
    <t>JAVIERA MUÑOZ SEPÚLVEDA</t>
  </si>
  <si>
    <t>TRX-2074</t>
  </si>
  <si>
    <t>jav.muñoz@servicios.cl</t>
  </si>
  <si>
    <t>TRX-2257</t>
  </si>
  <si>
    <t>TRX-2133</t>
  </si>
  <si>
    <t>CLI-0135</t>
  </si>
  <si>
    <t>CLI-069</t>
  </si>
  <si>
    <t>18.456.416-2</t>
  </si>
  <si>
    <t>Beatriz Fuentes Espinoza</t>
  </si>
  <si>
    <t>CLI-0128</t>
  </si>
  <si>
    <t>bea.fuentes@sura.cl</t>
  </si>
  <si>
    <t>TRX-2142</t>
  </si>
  <si>
    <t>14.640.218-2</t>
  </si>
  <si>
    <t>gonzalo pérez morales</t>
  </si>
  <si>
    <t>gon.pérez@consultora.cl</t>
  </si>
  <si>
    <t>TRX-2157</t>
  </si>
  <si>
    <t>TRX-2172</t>
  </si>
  <si>
    <t>CLI-0129</t>
  </si>
  <si>
    <t>14.053.360-1</t>
  </si>
  <si>
    <t>Carolina Contreras Espinoza</t>
  </si>
  <si>
    <t>TRX-2209</t>
  </si>
  <si>
    <t>car.contreras@sura.cl</t>
  </si>
  <si>
    <t>CLI-0819</t>
  </si>
  <si>
    <t>TRX-2041</t>
  </si>
  <si>
    <t>17.180.304-4</t>
  </si>
  <si>
    <t>Beatriz Fuentes Rojas</t>
  </si>
  <si>
    <t>CLI-070</t>
  </si>
  <si>
    <t>bea.fuentes@empresa.cl</t>
  </si>
  <si>
    <t>TRX-2289</t>
  </si>
  <si>
    <t>TRX-2045</t>
  </si>
  <si>
    <t>CLI-071</t>
  </si>
  <si>
    <t>CLI-0471</t>
  </si>
  <si>
    <t>TRX-2168</t>
  </si>
  <si>
    <t>19.083.668-6</t>
  </si>
  <si>
    <t>Beatriz González Sepúlveda</t>
  </si>
  <si>
    <t>bea.gonzález@servicios.cl</t>
  </si>
  <si>
    <t>CLI-0131</t>
  </si>
  <si>
    <t>17.980.299-5</t>
  </si>
  <si>
    <t>Macarena Pérez González</t>
  </si>
  <si>
    <t>mac.pérez@outlook.cl</t>
  </si>
  <si>
    <t>TRX-2226</t>
  </si>
  <si>
    <t>TRX-2137</t>
  </si>
  <si>
    <t>CLI-072</t>
  </si>
  <si>
    <t>CLI-0132</t>
  </si>
  <si>
    <t>14.761.892-9</t>
  </si>
  <si>
    <t>FELIPE DÍAZ TAPIA</t>
  </si>
  <si>
    <t>fel.díaz@empresa.cl</t>
  </si>
  <si>
    <t>TRX-2176</t>
  </si>
  <si>
    <t>CLI-0167</t>
  </si>
  <si>
    <t>TRX-2225</t>
  </si>
  <si>
    <t>19.714.207-1</t>
  </si>
  <si>
    <t>Beatriz Muñoz Díaz</t>
  </si>
  <si>
    <t>bea.muñoz@outlook.cl</t>
  </si>
  <si>
    <t>CLI-0133</t>
  </si>
  <si>
    <t>15175033-2</t>
  </si>
  <si>
    <t>CATALINA VALENZUELA MORALES</t>
  </si>
  <si>
    <t>cat.valenzuela@sura.cl</t>
  </si>
  <si>
    <t>TRX-2139</t>
  </si>
  <si>
    <t>CLI-073</t>
  </si>
  <si>
    <t>TRX-2231</t>
  </si>
  <si>
    <t>CLI-0134</t>
  </si>
  <si>
    <t>TRX-2232</t>
  </si>
  <si>
    <t>16.712.548-7</t>
  </si>
  <si>
    <t>MATÍAS VALENZUELA LÓPEZ</t>
  </si>
  <si>
    <t>mat.valenzuela@gmail.com</t>
  </si>
  <si>
    <t>TRX-2297</t>
  </si>
  <si>
    <t>CLI-0407</t>
  </si>
  <si>
    <t>15800408-5</t>
  </si>
  <si>
    <t>bea.muñoz@consultora.cl</t>
  </si>
  <si>
    <t>TRX-2084</t>
  </si>
  <si>
    <t>CLI-074</t>
  </si>
  <si>
    <t>TRX-2259</t>
  </si>
  <si>
    <t>CLI-076</t>
  </si>
  <si>
    <t>TRX-2276</t>
  </si>
  <si>
    <t>TRX-2032</t>
  </si>
  <si>
    <t>CLI-077</t>
  </si>
  <si>
    <t>CLI-0136</t>
  </si>
  <si>
    <t>CLI-0845</t>
  </si>
  <si>
    <t>13.947.751-1</t>
  </si>
  <si>
    <t>21.961.385-3</t>
  </si>
  <si>
    <t>IGNACIO ARAYA PÉREZ</t>
  </si>
  <si>
    <t>Beatriz Pérez Fuentes</t>
  </si>
  <si>
    <t>ign.araya@sura.cl</t>
  </si>
  <si>
    <t>bea.pérez@servicios.cl</t>
  </si>
  <si>
    <t>TRX-2049</t>
  </si>
  <si>
    <t>TRX-2052</t>
  </si>
  <si>
    <t>CLI-0137</t>
  </si>
  <si>
    <t>12619604-1</t>
  </si>
  <si>
    <t>Paula Pérez Araya</t>
  </si>
  <si>
    <t>COUNTA de ID_Producto</t>
  </si>
  <si>
    <t>pau.pérez@consultora.cl</t>
  </si>
  <si>
    <t>TRX-2003</t>
  </si>
  <si>
    <t>CLI-078</t>
  </si>
  <si>
    <t>CLI-0659</t>
  </si>
  <si>
    <t>16449603-4</t>
  </si>
  <si>
    <t>Beatriz Pérez Silva</t>
  </si>
  <si>
    <t>bea.pérez@gmail.com</t>
  </si>
  <si>
    <t>TRX-2012</t>
  </si>
  <si>
    <t xml:space="preserve">Total </t>
  </si>
  <si>
    <t>CLI-0138</t>
  </si>
  <si>
    <t>15.894.833-4</t>
  </si>
  <si>
    <t>CRISTIÁN FUENTES LÓPEZ</t>
  </si>
  <si>
    <t>cri.fuentes@empresa.cl</t>
  </si>
  <si>
    <t>TRX-2029</t>
  </si>
  <si>
    <t>TRX-2076</t>
  </si>
  <si>
    <t>TRX-2187</t>
  </si>
  <si>
    <t>CLI-0139</t>
  </si>
  <si>
    <t>12.921.500-1</t>
  </si>
  <si>
    <t>sofia tapia valenzuela</t>
  </si>
  <si>
    <t>sof.tapia@consultora.cl</t>
  </si>
  <si>
    <t>TRX-2224</t>
  </si>
  <si>
    <t>CLI-0885</t>
  </si>
  <si>
    <t>22.335.089-8</t>
  </si>
  <si>
    <t>Beatriz Rojas Valenzuela</t>
  </si>
  <si>
    <t>bea.rojas@gmail.com</t>
  </si>
  <si>
    <t>TRX-2238</t>
  </si>
  <si>
    <t>CLI-0140</t>
  </si>
  <si>
    <t>TRX-2283</t>
  </si>
  <si>
    <t>14.363.811-1</t>
  </si>
  <si>
    <t>cristián muñoz tapia</t>
  </si>
  <si>
    <t>cri.muñoz@gmail.com</t>
  </si>
  <si>
    <t>TRX-2007</t>
  </si>
  <si>
    <t>Total CLI-001</t>
  </si>
  <si>
    <t>CLI-079</t>
  </si>
  <si>
    <t>TRX-2011</t>
  </si>
  <si>
    <t>CLI-0141</t>
  </si>
  <si>
    <t>15.748.609-1</t>
  </si>
  <si>
    <t>Carolina Contreras Pérez</t>
  </si>
  <si>
    <t>Total CLI-002</t>
  </si>
  <si>
    <t>car.contreras@gmail.com</t>
  </si>
  <si>
    <t>TRX-2044</t>
  </si>
  <si>
    <t>TRX-2077</t>
  </si>
  <si>
    <t>TRX-2114</t>
  </si>
  <si>
    <t>TRX-2280</t>
  </si>
  <si>
    <t>CLI-0803</t>
  </si>
  <si>
    <t>19.334.906-5</t>
  </si>
  <si>
    <t>Beatriz Silva Araya</t>
  </si>
  <si>
    <t>bea.silva@servicios.cl</t>
  </si>
  <si>
    <t>TRX-2147</t>
  </si>
  <si>
    <t>CLI-080</t>
  </si>
  <si>
    <t>TRX-2030</t>
  </si>
  <si>
    <t>CLI-081</t>
  </si>
  <si>
    <t>Total CLI-003</t>
  </si>
  <si>
    <t>TRX-2071</t>
  </si>
  <si>
    <t>TRX-2140</t>
  </si>
  <si>
    <t>CLI-0142</t>
  </si>
  <si>
    <t>12019949-K</t>
  </si>
  <si>
    <t>CLI-0575</t>
  </si>
  <si>
    <t>mauricio fuentes soto</t>
  </si>
  <si>
    <t>14042889-8</t>
  </si>
  <si>
    <t>mau.fuentes@consultora.cl</t>
  </si>
  <si>
    <t>Beatriz Silva Díaz</t>
  </si>
  <si>
    <t>bea.silva@empresa.cl</t>
  </si>
  <si>
    <t>TRX-2298</t>
  </si>
  <si>
    <t>TRX-2004</t>
  </si>
  <si>
    <t>CLI-082</t>
  </si>
  <si>
    <t>TRX-2019</t>
  </si>
  <si>
    <t>CLI-0143</t>
  </si>
  <si>
    <t>17.537.410-9</t>
  </si>
  <si>
    <t>marcela lópez vergara</t>
  </si>
  <si>
    <t>Total CLI-004</t>
  </si>
  <si>
    <t>mar.lópez@servicios.cl</t>
  </si>
  <si>
    <t>TRX-2008</t>
  </si>
  <si>
    <t>CLI-083</t>
  </si>
  <si>
    <t>Beatriz Silva Morales</t>
  </si>
  <si>
    <t>TRX-2199</t>
  </si>
  <si>
    <t>CLI-0144</t>
  </si>
  <si>
    <t>CLI-084</t>
  </si>
  <si>
    <t>19540155-7</t>
  </si>
  <si>
    <t>ign.soto@sura.cl</t>
  </si>
  <si>
    <t>TRX-2035</t>
  </si>
  <si>
    <t>CLI-085</t>
  </si>
  <si>
    <t>Total CLI-005</t>
  </si>
  <si>
    <t>TRX-2102</t>
  </si>
  <si>
    <t>TRX-2282</t>
  </si>
  <si>
    <t>CLI-086</t>
  </si>
  <si>
    <t>CLI-0145</t>
  </si>
  <si>
    <t>20.569.422-4</t>
  </si>
  <si>
    <t>TRX-2048</t>
  </si>
  <si>
    <t>camila rodríguez silva</t>
  </si>
  <si>
    <t>cam.rodríguez@empresa.cl</t>
  </si>
  <si>
    <t>CLI-087</t>
  </si>
  <si>
    <t>CLI-0515</t>
  </si>
  <si>
    <t>13.832.868-7</t>
  </si>
  <si>
    <t>TRX-2096</t>
  </si>
  <si>
    <t>Total CLI-006</t>
  </si>
  <si>
    <t>Beatriz Tapia Morales</t>
  </si>
  <si>
    <t>TRX-2068</t>
  </si>
  <si>
    <t>CLI-088</t>
  </si>
  <si>
    <t>CLI-0146</t>
  </si>
  <si>
    <t>21.587.796-6</t>
  </si>
  <si>
    <t>Total CLI-007</t>
  </si>
  <si>
    <t>Hernán Tapia Muñoz</t>
  </si>
  <si>
    <t>TRX-2136</t>
  </si>
  <si>
    <t>her.tapia@sura.cl</t>
  </si>
  <si>
    <t>TRX-2228</t>
  </si>
  <si>
    <t>Total CLI-008</t>
  </si>
  <si>
    <t>TRX-2001</t>
  </si>
  <si>
    <t>CLI-089</t>
  </si>
  <si>
    <t>CLI-0147</t>
  </si>
  <si>
    <t>13.034.986-8</t>
  </si>
  <si>
    <t>Francisca Valenzuela Pérez</t>
  </si>
  <si>
    <t>fra.valenzuela@sura.cl</t>
  </si>
  <si>
    <t>TRX-2016</t>
  </si>
  <si>
    <t>Total CLI-009</t>
  </si>
  <si>
    <t>TRX-2020</t>
  </si>
  <si>
    <t>CLI-0148</t>
  </si>
  <si>
    <t>TRX-2223</t>
  </si>
  <si>
    <t>16.049.078-K</t>
  </si>
  <si>
    <t>Rodrigo Sepúlveda Espinoza</t>
  </si>
  <si>
    <t>rod.sepúlveda@empresa.cl</t>
  </si>
  <si>
    <t>TRX-2278</t>
  </si>
  <si>
    <t>CLI-0689</t>
  </si>
  <si>
    <t>13.560.270-4</t>
  </si>
  <si>
    <t>TRX-2125</t>
  </si>
  <si>
    <t>Beatriz Tapia Tapia</t>
  </si>
  <si>
    <t>Total CLI-010</t>
  </si>
  <si>
    <t>CLI-090</t>
  </si>
  <si>
    <t>CLI-0149</t>
  </si>
  <si>
    <t>22.439.068-5</t>
  </si>
  <si>
    <t>TRX-2254</t>
  </si>
  <si>
    <t>CATALINA ROJAS ARAYA</t>
  </si>
  <si>
    <t>cat.rojas@empresa.cl</t>
  </si>
  <si>
    <t>TRX-2024</t>
  </si>
  <si>
    <t>CLI-091</t>
  </si>
  <si>
    <t>TRX-2063</t>
  </si>
  <si>
    <t>CLI-0150</t>
  </si>
  <si>
    <t>12.793.884-2</t>
  </si>
  <si>
    <t>Esteban Fuentes Araya</t>
  </si>
  <si>
    <t>TRX-2170</t>
  </si>
  <si>
    <t>Beatriz Tapia Valenzuela</t>
  </si>
  <si>
    <t>est.fuentes@outlook.cl</t>
  </si>
  <si>
    <t>Total CLI-011</t>
  </si>
  <si>
    <t>TRX-2251</t>
  </si>
  <si>
    <t>Total CLI-012</t>
  </si>
  <si>
    <t>TRX-2080</t>
  </si>
  <si>
    <t>CLI-092</t>
  </si>
  <si>
    <t>CLI-0151</t>
  </si>
  <si>
    <t>12.722.794-2</t>
  </si>
  <si>
    <t>Paula Rojas Vergara</t>
  </si>
  <si>
    <t>pau.rojas@sura.cl</t>
  </si>
  <si>
    <t>TRX-2121</t>
  </si>
  <si>
    <t>CLI-0733</t>
  </si>
  <si>
    <t>21.006.193-8</t>
  </si>
  <si>
    <t>Beatriz Valenzuela Rodríguez</t>
  </si>
  <si>
    <t>bea.valenzuela@servicios.cl</t>
  </si>
  <si>
    <t>TRX-2178</t>
  </si>
  <si>
    <t>Total CLI-013</t>
  </si>
  <si>
    <t>TRX-2213</t>
  </si>
  <si>
    <t>CLI-0152</t>
  </si>
  <si>
    <t>21.144.931-6</t>
  </si>
  <si>
    <t>Felipe Tapia Sepúlveda</t>
  </si>
  <si>
    <t>fel.tapia@sura.cl</t>
  </si>
  <si>
    <t>TRX-2279</t>
  </si>
  <si>
    <t>TRX-2169</t>
  </si>
  <si>
    <t>CLI-093</t>
  </si>
  <si>
    <t>CLI-0153</t>
  </si>
  <si>
    <t>12.128.111-6</t>
  </si>
  <si>
    <t>Camila Araya Araya</t>
  </si>
  <si>
    <t>Catalina Contreras Silva</t>
  </si>
  <si>
    <t>TRX-2288</t>
  </si>
  <si>
    <t>cat.contreras@gmail.com</t>
  </si>
  <si>
    <t>Total CLI-015</t>
  </si>
  <si>
    <t>TRX-2130</t>
  </si>
  <si>
    <t>CLI-094</t>
  </si>
  <si>
    <t>TRX-2272</t>
  </si>
  <si>
    <t>CLI-0154</t>
  </si>
  <si>
    <t>TRX-2149</t>
  </si>
  <si>
    <t>22.116.094-3</t>
  </si>
  <si>
    <t>Matías Fuentes Contreras</t>
  </si>
  <si>
    <t>CLI-096</t>
  </si>
  <si>
    <t>mat.fuentes@outlook.cl</t>
  </si>
  <si>
    <t>CLI-0857</t>
  </si>
  <si>
    <t>12.338.090-0</t>
  </si>
  <si>
    <t>TRX-2189</t>
  </si>
  <si>
    <t>Camila Araya Fuentes</t>
  </si>
  <si>
    <t>Total CLI-016</t>
  </si>
  <si>
    <t>cam.araya@outlook.cl</t>
  </si>
  <si>
    <t>TRX-2135</t>
  </si>
  <si>
    <t>CLI-097</t>
  </si>
  <si>
    <t>CLI-0155</t>
  </si>
  <si>
    <t>21.060.298-5</t>
  </si>
  <si>
    <t>Fernanda Valenzuela Araya</t>
  </si>
  <si>
    <t>fer.valenzuela@servicios.cl</t>
  </si>
  <si>
    <t>TRX-2210</t>
  </si>
  <si>
    <t>TRX-2160</t>
  </si>
  <si>
    <t>CLI-098</t>
  </si>
  <si>
    <t>CLI-0843</t>
  </si>
  <si>
    <t>16.640.904-8</t>
  </si>
  <si>
    <t>TRX-2263</t>
  </si>
  <si>
    <t>Camila Araya Sepúlveda</t>
  </si>
  <si>
    <t>cam.araya@empresa.cl</t>
  </si>
  <si>
    <t>Total CLI-017</t>
  </si>
  <si>
    <t>CLI-0156</t>
  </si>
  <si>
    <t>16.770.456-K</t>
  </si>
  <si>
    <t>Sebastián Rojas Silva</t>
  </si>
  <si>
    <t>seb.rojas@sura.cl</t>
  </si>
  <si>
    <t>TRX-2179</t>
  </si>
  <si>
    <t>CLI-099</t>
  </si>
  <si>
    <t>TRX-2200</t>
  </si>
  <si>
    <t>Total CLI-018</t>
  </si>
  <si>
    <t>TRX-2023</t>
  </si>
  <si>
    <t>CLI-0157</t>
  </si>
  <si>
    <t>18.058.116-0</t>
  </si>
  <si>
    <t>CLI-100</t>
  </si>
  <si>
    <t>Daniela Valenzuela Morales</t>
  </si>
  <si>
    <t>dan.valenzuela@servicios.cl</t>
  </si>
  <si>
    <t>TRX-2067</t>
  </si>
  <si>
    <t>Camila Contreras Espinoza</t>
  </si>
  <si>
    <t>TRX-2244</t>
  </si>
  <si>
    <t>Total CLI-019</t>
  </si>
  <si>
    <t>TRX-2050</t>
  </si>
  <si>
    <t>CLI-0158</t>
  </si>
  <si>
    <t>20.240.014-6</t>
  </si>
  <si>
    <t>CLI-999</t>
  </si>
  <si>
    <t>Claudio Muñoz López</t>
  </si>
  <si>
    <t>cla.muñoz@gmail.com</t>
  </si>
  <si>
    <t>TRX-2150</t>
  </si>
  <si>
    <t>CLI-0205</t>
  </si>
  <si>
    <t>19.132.132-4</t>
  </si>
  <si>
    <t>Camila Contreras Silva</t>
  </si>
  <si>
    <t>CLI-0159</t>
  </si>
  <si>
    <t>14.288.735-9</t>
  </si>
  <si>
    <t>Daniela Espinoza González</t>
  </si>
  <si>
    <t>dan.espinoza@empresa.cl</t>
  </si>
  <si>
    <t>Total CLI-020</t>
  </si>
  <si>
    <t>CLI-0160</t>
  </si>
  <si>
    <t>CLI-0501</t>
  </si>
  <si>
    <t>13.623.382-7</t>
  </si>
  <si>
    <t>19.855.454-8</t>
  </si>
  <si>
    <t>gabriel lópez contreras</t>
  </si>
  <si>
    <t>Camila Díaz Fuentes</t>
  </si>
  <si>
    <t>gab.lópez@empresa.cl</t>
  </si>
  <si>
    <t>cam.díaz@empresa.cl</t>
  </si>
  <si>
    <t>CLI-0161</t>
  </si>
  <si>
    <t>22.397.117-0</t>
  </si>
  <si>
    <t>MACARENA RODRÍGUEZ RODRÍGUEZ</t>
  </si>
  <si>
    <t>Total CLI-021</t>
  </si>
  <si>
    <t>mac.rodríguez@consultora.cl</t>
  </si>
  <si>
    <t>CLI-0411</t>
  </si>
  <si>
    <t>12.693.162-2</t>
  </si>
  <si>
    <t>Camila Espinoza Sepúlveda</t>
  </si>
  <si>
    <t>cam.espinoza@outlook.cl</t>
  </si>
  <si>
    <t>CLI-0162</t>
  </si>
  <si>
    <t>18.733.998-0</t>
  </si>
  <si>
    <t>Total CLI-022</t>
  </si>
  <si>
    <t>CLAUDIO ROJAS ARAYA</t>
  </si>
  <si>
    <t>cla.rojas@servicios.cl</t>
  </si>
  <si>
    <t>CLI-0297</t>
  </si>
  <si>
    <t>CLI-0163</t>
  </si>
  <si>
    <t>13.567.526-1</t>
  </si>
  <si>
    <t>19.764.054-K</t>
  </si>
  <si>
    <t>Camila Fuentes González</t>
  </si>
  <si>
    <t>MARCELA SILVA SOTO</t>
  </si>
  <si>
    <t>cam.fuentes@servicios.cl</t>
  </si>
  <si>
    <t>mar.silva@consultora.cl</t>
  </si>
  <si>
    <t>CLI-0164</t>
  </si>
  <si>
    <t>22007561-3</t>
  </si>
  <si>
    <t>Total CLI-023</t>
  </si>
  <si>
    <t>Sebastián Araya Espinoza</t>
  </si>
  <si>
    <t>seb.araya@consultora.cl</t>
  </si>
  <si>
    <t>Total CLI-024</t>
  </si>
  <si>
    <t>CLI-0721</t>
  </si>
  <si>
    <t>15.884.916-5</t>
  </si>
  <si>
    <t>Camila Fuentes Vergara</t>
  </si>
  <si>
    <t>CLI-0165</t>
  </si>
  <si>
    <t>cam.fuentes@outlook.cl</t>
  </si>
  <si>
    <t>22.022.194-3</t>
  </si>
  <si>
    <t>Paula Valenzuela Espinoza</t>
  </si>
  <si>
    <t>pau.valenzuela@consultora.cl</t>
  </si>
  <si>
    <t>CLI-0166</t>
  </si>
  <si>
    <t>18620093-6</t>
  </si>
  <si>
    <t>MAURICIO TAPIA SEPÚLVEDA</t>
  </si>
  <si>
    <t>Total CLI-025</t>
  </si>
  <si>
    <t>mau.tapia@empresa.cl</t>
  </si>
  <si>
    <t>CLI-0563</t>
  </si>
  <si>
    <t>13.994.580-1</t>
  </si>
  <si>
    <t>Camila Morales González</t>
  </si>
  <si>
    <t>cam.morales@servicios.cl</t>
  </si>
  <si>
    <t>Total CLI-026</t>
  </si>
  <si>
    <t>beatriz muñoz díaz</t>
  </si>
  <si>
    <t>CLI-0709</t>
  </si>
  <si>
    <t>CLI-0168</t>
  </si>
  <si>
    <t>15.793.359-4</t>
  </si>
  <si>
    <t>21.072.670-4</t>
  </si>
  <si>
    <t>Camila Morales Sepúlveda</t>
  </si>
  <si>
    <t>Hernán López Rodríguez</t>
  </si>
  <si>
    <t>cam.morales@consultora.cl</t>
  </si>
  <si>
    <t>her.lópez@sura.cl</t>
  </si>
  <si>
    <t>Total CLI-027</t>
  </si>
  <si>
    <t>CLI-0169</t>
  </si>
  <si>
    <t>12.496.774-0</t>
  </si>
  <si>
    <t>Constanza Vergara Muñoz</t>
  </si>
  <si>
    <t>con.vergara@outlook.cl</t>
  </si>
  <si>
    <t>CLI-0699</t>
  </si>
  <si>
    <t>22.103.785-5</t>
  </si>
  <si>
    <t>Camila Morales Tapia</t>
  </si>
  <si>
    <t>CLI-0170</t>
  </si>
  <si>
    <t>15.213.079-0</t>
  </si>
  <si>
    <t>Total CLI-028</t>
  </si>
  <si>
    <t>Ignacio Tapia López</t>
  </si>
  <si>
    <t>ign.tapia@gmail.com</t>
  </si>
  <si>
    <t>Total CLI-029</t>
  </si>
  <si>
    <t>Camila Rodríguez Silva</t>
  </si>
  <si>
    <t>ANDREA GONZÁLEZ SILVA</t>
  </si>
  <si>
    <t>CLI-0172</t>
  </si>
  <si>
    <t>14.040.606-9</t>
  </si>
  <si>
    <t>HERNÁN RODRÍGUEZ GONZÁLEZ</t>
  </si>
  <si>
    <t>her.rodríguez@gmail.com</t>
  </si>
  <si>
    <t>CLI-0307</t>
  </si>
  <si>
    <t>14.570.317-2</t>
  </si>
  <si>
    <t>CLI-0173</t>
  </si>
  <si>
    <t>13.870.401-5</t>
  </si>
  <si>
    <t>Camila Rojas González</t>
  </si>
  <si>
    <t>Camila Rojas Silva</t>
  </si>
  <si>
    <t>cam.rojas@consultora.cl</t>
  </si>
  <si>
    <t>cam.rojas@sura.cl</t>
  </si>
  <si>
    <t>Total CLI-030</t>
  </si>
  <si>
    <t>CLI-0174</t>
  </si>
  <si>
    <t>18.284.772-7</t>
  </si>
  <si>
    <t>Hernán Morales Contreras</t>
  </si>
  <si>
    <t>her.morales@empresa.cl</t>
  </si>
  <si>
    <t>CLI-0377</t>
  </si>
  <si>
    <t>13.127.689-6</t>
  </si>
  <si>
    <t>Camila Rojas López</t>
  </si>
  <si>
    <t>CLI-0175</t>
  </si>
  <si>
    <t>15596050-3</t>
  </si>
  <si>
    <t>Fernanda Fuentes Rojas</t>
  </si>
  <si>
    <t>fer.fuentes@outlook.cl</t>
  </si>
  <si>
    <t>Total CLI-032</t>
  </si>
  <si>
    <t>CLI-0176</t>
  </si>
  <si>
    <t>16174998-K</t>
  </si>
  <si>
    <t>felipe rodríguez silva</t>
  </si>
  <si>
    <t>fel.rodríguez@outlook.cl</t>
  </si>
  <si>
    <t>Total CLI-033</t>
  </si>
  <si>
    <t>CLI-0178</t>
  </si>
  <si>
    <t>21.940.732-9</t>
  </si>
  <si>
    <t>Diego Araya Vergara</t>
  </si>
  <si>
    <t>die.araya@outlook.cl</t>
  </si>
  <si>
    <t>CLI-0343</t>
  </si>
  <si>
    <t>12123240-4</t>
  </si>
  <si>
    <t>Camila Rojas Morales</t>
  </si>
  <si>
    <t>cam.rojas@outlook.cl</t>
  </si>
  <si>
    <t>Total CLI-034</t>
  </si>
  <si>
    <t>CLI-0179</t>
  </si>
  <si>
    <t>11.144.885-4</t>
  </si>
  <si>
    <t>CONSTANZA LÓPEZ MUÑOZ</t>
  </si>
  <si>
    <t>con.lópez@consultora.cl</t>
  </si>
  <si>
    <t>Total CLI-035</t>
  </si>
  <si>
    <t>CLI-0180</t>
  </si>
  <si>
    <t>15.214.856-0</t>
  </si>
  <si>
    <t>Mauricio Díaz Morales</t>
  </si>
  <si>
    <t>mau.díaz@outlook.cl</t>
  </si>
  <si>
    <t>Total CLI-036</t>
  </si>
  <si>
    <t>CLI-0181</t>
  </si>
  <si>
    <t>13665216-3</t>
  </si>
  <si>
    <t>Carolina Rodríguez Morales</t>
  </si>
  <si>
    <t>car.rodríguez@servicios.cl</t>
  </si>
  <si>
    <t>Total CLI-037</t>
  </si>
  <si>
    <t>ÁLVARO VALENZUELA VALENZUELA</t>
  </si>
  <si>
    <t>CLI-0727</t>
  </si>
  <si>
    <t>12.684.699-1</t>
  </si>
  <si>
    <t>Camila Rojas Tapia</t>
  </si>
  <si>
    <t>cam.rojas@gmail.com</t>
  </si>
  <si>
    <t>Total CLI-038</t>
  </si>
  <si>
    <t>CLI-0183</t>
  </si>
  <si>
    <t>15.099.380-3</t>
  </si>
  <si>
    <t>fernanda díaz valenzuela</t>
  </si>
  <si>
    <t>fer.díaz@consultora.cl</t>
  </si>
  <si>
    <t>Total CLI-039</t>
  </si>
  <si>
    <t>CLI-0184</t>
  </si>
  <si>
    <t>CLI-0245</t>
  </si>
  <si>
    <t>22.249.982-5</t>
  </si>
  <si>
    <t>17.948.040-3</t>
  </si>
  <si>
    <t>Rodrigo Pérez Rodríguez</t>
  </si>
  <si>
    <t>Camila Silva Vergara</t>
  </si>
  <si>
    <t>rod.pérez@sura.cl</t>
  </si>
  <si>
    <t>cam.silva@gmail.com</t>
  </si>
  <si>
    <t>Total CLI-040</t>
  </si>
  <si>
    <t>CLI-0185</t>
  </si>
  <si>
    <t>15.877.258-3</t>
  </si>
  <si>
    <t>javiera rojas araya</t>
  </si>
  <si>
    <t>jav.rojas@empresa.cl</t>
  </si>
  <si>
    <t>Total CLI-041</t>
  </si>
  <si>
    <t>CLI-0186</t>
  </si>
  <si>
    <t>15.480.982-0</t>
  </si>
  <si>
    <t>diego araya lópez</t>
  </si>
  <si>
    <t>die.araya@empresa.cl</t>
  </si>
  <si>
    <t>Total CLI-042</t>
  </si>
  <si>
    <t>CLI-0847</t>
  </si>
  <si>
    <t>CLI-0187</t>
  </si>
  <si>
    <t>12983533-4</t>
  </si>
  <si>
    <t>18.159.339-0</t>
  </si>
  <si>
    <t>Total CLI-043</t>
  </si>
  <si>
    <t>Camila Tapia Sepúlveda</t>
  </si>
  <si>
    <t>Marcela Díaz Rodríguez</t>
  </si>
  <si>
    <t>cam.tapia@gmail.com</t>
  </si>
  <si>
    <t>mar.díaz@servicios.cl</t>
  </si>
  <si>
    <t>CLI-0188</t>
  </si>
  <si>
    <t>17.728.851-3</t>
  </si>
  <si>
    <t>Diego Muñoz Vergara</t>
  </si>
  <si>
    <t>die.muñoz@servicios.cl</t>
  </si>
  <si>
    <t>CLI-0239</t>
  </si>
  <si>
    <t>Total CLI-044</t>
  </si>
  <si>
    <t>17.175.124-K</t>
  </si>
  <si>
    <t>Camila Valenzuela Contreras</t>
  </si>
  <si>
    <t>cam.valenzuela@empresa.cl</t>
  </si>
  <si>
    <t>CLI-0189</t>
  </si>
  <si>
    <t>11644274-6</t>
  </si>
  <si>
    <t>Catalina Rojas Rojas</t>
  </si>
  <si>
    <t>cat.rojas@sura.cl</t>
  </si>
  <si>
    <t>Total CLI-045</t>
  </si>
  <si>
    <t>CLI-0190</t>
  </si>
  <si>
    <t>14.913.083-K</t>
  </si>
  <si>
    <t>sebastián valenzuela morales</t>
  </si>
  <si>
    <t>CLI-0349</t>
  </si>
  <si>
    <t>seb.valenzuela@outlook.cl</t>
  </si>
  <si>
    <t>17.077.140-3</t>
  </si>
  <si>
    <t>Camila Valenzuela Rojas</t>
  </si>
  <si>
    <t>cam.valenzuela@servicios.cl</t>
  </si>
  <si>
    <t>CLI-0191</t>
  </si>
  <si>
    <t>17.036.648-1</t>
  </si>
  <si>
    <t>Constanza Rodríguez Vergara</t>
  </si>
  <si>
    <t>con.rodríguez@outlook.cl</t>
  </si>
  <si>
    <t>Total CLI-046</t>
  </si>
  <si>
    <t>CLI-0831</t>
  </si>
  <si>
    <t>22.465.052-9</t>
  </si>
  <si>
    <t>cam.valenzuela@gmail.com</t>
  </si>
  <si>
    <t>CLI-0192</t>
  </si>
  <si>
    <t>15.417.614-1</t>
  </si>
  <si>
    <t>IGNACIO SILVA ESPINOZA</t>
  </si>
  <si>
    <t>ign.silva@outlook.cl</t>
  </si>
  <si>
    <t>Total CLI-047</t>
  </si>
  <si>
    <t>CLI-0193</t>
  </si>
  <si>
    <t>20230848-3</t>
  </si>
  <si>
    <t>valentina silva muñoz</t>
  </si>
  <si>
    <t>val.silva@gmail.com</t>
  </si>
  <si>
    <t>Total CLI-048</t>
  </si>
  <si>
    <t>CLI-0194</t>
  </si>
  <si>
    <t>13.347.500-4</t>
  </si>
  <si>
    <t>Sebastián Sepúlveda Silva</t>
  </si>
  <si>
    <t>seb.sepúlveda@empresa.cl</t>
  </si>
  <si>
    <t>Total CLI-049</t>
  </si>
  <si>
    <t>CLI-0195</t>
  </si>
  <si>
    <t>21.977.460-4</t>
  </si>
  <si>
    <t>CLI-0817</t>
  </si>
  <si>
    <t>Francisca Silva Muñoz</t>
  </si>
  <si>
    <t>15.389.419-1</t>
  </si>
  <si>
    <t>fra.silva@gmail.com</t>
  </si>
  <si>
    <t>Camila Vergara Morales</t>
  </si>
  <si>
    <t>cam.vergara@outlook.cl</t>
  </si>
  <si>
    <t>Total CLI-050</t>
  </si>
  <si>
    <t>CLI-0196</t>
  </si>
  <si>
    <t>22.258.129-1</t>
  </si>
  <si>
    <t>MATÍAS MUÑOZ GONZÁLEZ</t>
  </si>
  <si>
    <t>mat.muñoz@sura.cl</t>
  </si>
  <si>
    <t>Total CLI-051</t>
  </si>
  <si>
    <t>CLI-0197</t>
  </si>
  <si>
    <t>Total CLI-052</t>
  </si>
  <si>
    <t>16.632.116-2</t>
  </si>
  <si>
    <t>Sofia Contreras Sepúlveda</t>
  </si>
  <si>
    <t>sof.contreras@servicios.cl</t>
  </si>
  <si>
    <t>CLI-0198</t>
  </si>
  <si>
    <t>18.781.729-8</t>
  </si>
  <si>
    <t>Felipe Silva Valenzuela</t>
  </si>
  <si>
    <t>Total CLI-053</t>
  </si>
  <si>
    <t>fel.silva@gmail.com</t>
  </si>
  <si>
    <t>Camila Vergara Tapia</t>
  </si>
  <si>
    <t>CLI-0199</t>
  </si>
  <si>
    <t>21135963-2</t>
  </si>
  <si>
    <t>SOFIA PÉREZ GONZÁLEZ</t>
  </si>
  <si>
    <t>sof.pérez@outlook.cl</t>
  </si>
  <si>
    <t>Total CLI-054</t>
  </si>
  <si>
    <t>CLI-0200</t>
  </si>
  <si>
    <t>21.302.188-7</t>
  </si>
  <si>
    <t>CLI-0899</t>
  </si>
  <si>
    <t>RODRIGO DÍAZ LÓPEZ</t>
  </si>
  <si>
    <t>17.304.268-1</t>
  </si>
  <si>
    <t>rod.díaz@outlook.cl</t>
  </si>
  <si>
    <t>Camila Vergara Valenzuela</t>
  </si>
  <si>
    <t>cam.vergara@servicios.cl</t>
  </si>
  <si>
    <t>CLI-0395</t>
  </si>
  <si>
    <t>21.406.401-6</t>
  </si>
  <si>
    <t>CLI-0201</t>
  </si>
  <si>
    <t>Carolina Araya López</t>
  </si>
  <si>
    <t>20.402.060-0</t>
  </si>
  <si>
    <t>car.araya@outlook.cl</t>
  </si>
  <si>
    <t>Francisca Contreras González</t>
  </si>
  <si>
    <t>fra.contreras@outlook.cl</t>
  </si>
  <si>
    <t>Total CLI-055</t>
  </si>
  <si>
    <t>CLI-0202</t>
  </si>
  <si>
    <t>19244049-1</t>
  </si>
  <si>
    <t>javier morales fuentes</t>
  </si>
  <si>
    <t>jav.morales@empresa.cl</t>
  </si>
  <si>
    <t>CLI-0717</t>
  </si>
  <si>
    <t>15.362.740-2</t>
  </si>
  <si>
    <t>Carolina Araya Muñoz</t>
  </si>
  <si>
    <t>Total CLI-056</t>
  </si>
  <si>
    <t>CLI-0203</t>
  </si>
  <si>
    <t>19.448.862-6</t>
  </si>
  <si>
    <t>SOFIA SILVA MUÑOZ</t>
  </si>
  <si>
    <t>sof.silva@servicios.cl</t>
  </si>
  <si>
    <t>CLI-0204</t>
  </si>
  <si>
    <t>18.906.949-2</t>
  </si>
  <si>
    <t>Carolina Araya Pérez</t>
  </si>
  <si>
    <t>Gonzalo López Muñoz</t>
  </si>
  <si>
    <t>gon.lópez@outlook.cl</t>
  </si>
  <si>
    <t>Total CLI-057</t>
  </si>
  <si>
    <t>CAMILA CONTRERAS SILVA</t>
  </si>
  <si>
    <t>Total CLI-058</t>
  </si>
  <si>
    <t>CLI-0609</t>
  </si>
  <si>
    <t>11523517-0</t>
  </si>
  <si>
    <t>CLI-0206</t>
  </si>
  <si>
    <t>12.577.238-5</t>
  </si>
  <si>
    <t>IGNACIO SOTO ESPINOZA</t>
  </si>
  <si>
    <t>car.araya@consultora.cl</t>
  </si>
  <si>
    <t>ign.soto@outlook.cl</t>
  </si>
  <si>
    <t>Total CLI-059</t>
  </si>
  <si>
    <t>CLI-0207</t>
  </si>
  <si>
    <t>14.974.035-2</t>
  </si>
  <si>
    <t>Daniela Díaz Araya</t>
  </si>
  <si>
    <t>dan.díaz@sura.cl</t>
  </si>
  <si>
    <t>CLI-0208</t>
  </si>
  <si>
    <t>17.189.268-3</t>
  </si>
  <si>
    <t>Mauricio Morales González</t>
  </si>
  <si>
    <t>mau.morales@empresa.cl</t>
  </si>
  <si>
    <t>Total CLI-060</t>
  </si>
  <si>
    <t>CLI-0210</t>
  </si>
  <si>
    <t>12504337-5</t>
  </si>
  <si>
    <t>Diego Sepúlveda Tapia</t>
  </si>
  <si>
    <t>die.sepúlveda@sura.cl</t>
  </si>
  <si>
    <t>Total CLI-061</t>
  </si>
  <si>
    <t>CLI-0211</t>
  </si>
  <si>
    <t>18.375.973-3</t>
  </si>
  <si>
    <t>Macarena Rojas Espinoza</t>
  </si>
  <si>
    <t>mac.rojas@outlook.cl</t>
  </si>
  <si>
    <t>Total CLI-062</t>
  </si>
  <si>
    <t>CLI-0212</t>
  </si>
  <si>
    <t>18.622.686-3</t>
  </si>
  <si>
    <t>Claudio Rojas Valenzuela</t>
  </si>
  <si>
    <t>cla.rojas@gmail.com</t>
  </si>
  <si>
    <t>Total CLI-063</t>
  </si>
  <si>
    <t>CLI-0213</t>
  </si>
  <si>
    <t>18.955.877-2</t>
  </si>
  <si>
    <t>paula fuentes araya</t>
  </si>
  <si>
    <t>pau.fuentes@sura.cl</t>
  </si>
  <si>
    <t>Total CLI-064</t>
  </si>
  <si>
    <t>CLI-0379</t>
  </si>
  <si>
    <t>15.243.099-8</t>
  </si>
  <si>
    <t>Carolina Espinoza Díaz</t>
  </si>
  <si>
    <t>CLI-0214</t>
  </si>
  <si>
    <t>car.espinoza@consultora.cl</t>
  </si>
  <si>
    <t>13.544.045-8</t>
  </si>
  <si>
    <t>Tomas González Silva</t>
  </si>
  <si>
    <t>tom.gonzález@outlook.cl</t>
  </si>
  <si>
    <t>Total CLI-065</t>
  </si>
  <si>
    <t>CLI-0215</t>
  </si>
  <si>
    <t>16288328-4</t>
  </si>
  <si>
    <t>Daniela Contreras Díaz</t>
  </si>
  <si>
    <t>dan.contreras@empresa.cl</t>
  </si>
  <si>
    <t>Total CLI-066</t>
  </si>
  <si>
    <t>CLI-0571</t>
  </si>
  <si>
    <t>11.817.630-6</t>
  </si>
  <si>
    <t>Carolina Espinoza Espinoza</t>
  </si>
  <si>
    <t>car.espinoza@empresa.cl</t>
  </si>
  <si>
    <t>CLI-0216</t>
  </si>
  <si>
    <t>12.573.722-5</t>
  </si>
  <si>
    <t>Javier Muñoz Espinoza</t>
  </si>
  <si>
    <t>Total CLI-067</t>
  </si>
  <si>
    <t>CLI-0217</t>
  </si>
  <si>
    <t>15.357.005-K</t>
  </si>
  <si>
    <t>Fernanda Muñoz López</t>
  </si>
  <si>
    <t>fer.muñoz@consultora.cl</t>
  </si>
  <si>
    <t>CLI-0505</t>
  </si>
  <si>
    <t>20033907-7</t>
  </si>
  <si>
    <t>Carolina Fuentes Valenzuela</t>
  </si>
  <si>
    <t>car.fuentes@servicios.cl</t>
  </si>
  <si>
    <t>Total CLI-068</t>
  </si>
  <si>
    <t>CLI-0218</t>
  </si>
  <si>
    <t>14.126.254-8</t>
  </si>
  <si>
    <t>hernán soto muñoz</t>
  </si>
  <si>
    <t>her.soto@outlook.cl</t>
  </si>
  <si>
    <t>CLI-0219</t>
  </si>
  <si>
    <t>17610948-8</t>
  </si>
  <si>
    <t>SOFIA SILVA MORALES</t>
  </si>
  <si>
    <t>Total CLI-069</t>
  </si>
  <si>
    <t>CLI-0697</t>
  </si>
  <si>
    <t>17.104.224-5</t>
  </si>
  <si>
    <t>CLI-0220</t>
  </si>
  <si>
    <t>16129204-0</t>
  </si>
  <si>
    <t>car.fuentes@empresa.cl</t>
  </si>
  <si>
    <t>Rodrigo Tapia González</t>
  </si>
  <si>
    <t>rod.tapia@consultora.cl</t>
  </si>
  <si>
    <t>Total CLI-070</t>
  </si>
  <si>
    <t>CLI-0221</t>
  </si>
  <si>
    <t>14409785-2</t>
  </si>
  <si>
    <t>Marcela Fuentes Araya</t>
  </si>
  <si>
    <t>mar.fuentes@empresa.cl</t>
  </si>
  <si>
    <t>Total CLI-071</t>
  </si>
  <si>
    <t>CLI-0241</t>
  </si>
  <si>
    <t>19.237.425-6</t>
  </si>
  <si>
    <t>Carolina González Pérez</t>
  </si>
  <si>
    <t>car.gonzález@consultora.cl</t>
  </si>
  <si>
    <t>CLI-0222</t>
  </si>
  <si>
    <t>13.831.723-5</t>
  </si>
  <si>
    <t>Felipe Pérez Fuentes</t>
  </si>
  <si>
    <t>fel.pérez@empresa.cl</t>
  </si>
  <si>
    <t>Total CLI-072</t>
  </si>
  <si>
    <t>CLI-0223</t>
  </si>
  <si>
    <t>20.135.847-2</t>
  </si>
  <si>
    <t>carolina gonzález valenzuela</t>
  </si>
  <si>
    <t>car.gonzález@outlook.cl</t>
  </si>
  <si>
    <t>CLI-0423</t>
  </si>
  <si>
    <t>11954776-2</t>
  </si>
  <si>
    <t>Carolina González Soto</t>
  </si>
  <si>
    <t>car.gonzález@gmail.com</t>
  </si>
  <si>
    <t>Total CLI-073</t>
  </si>
  <si>
    <t>CLI-0224</t>
  </si>
  <si>
    <t>13.602.416-2</t>
  </si>
  <si>
    <t>HERNÁN GONZÁLEZ PÉREZ</t>
  </si>
  <si>
    <t>her.gonzález@empresa.cl</t>
  </si>
  <si>
    <t>Total CLI-074</t>
  </si>
  <si>
    <t>CLI-0225</t>
  </si>
  <si>
    <t>17391541-7</t>
  </si>
  <si>
    <t>Macarena Valenzuela Soto</t>
  </si>
  <si>
    <t>Carolina González Valenzuela</t>
  </si>
  <si>
    <t>mac.valenzuela@servicios.cl</t>
  </si>
  <si>
    <t>Total CLI-076</t>
  </si>
  <si>
    <t>CLI-0226</t>
  </si>
  <si>
    <t>21710510-7</t>
  </si>
  <si>
    <t>Hernán Rojas Vergara</t>
  </si>
  <si>
    <t>her.rojas@sura.cl</t>
  </si>
  <si>
    <t>Total CLI-077</t>
  </si>
  <si>
    <t>CLI-0925</t>
  </si>
  <si>
    <t>14739177-1</t>
  </si>
  <si>
    <t>Carolina López González</t>
  </si>
  <si>
    <t>CLI-0227</t>
  </si>
  <si>
    <t>car.lópez@sura.cl</t>
  </si>
  <si>
    <t>11.817.756-3</t>
  </si>
  <si>
    <t>Valentina Rodríguez Díaz</t>
  </si>
  <si>
    <t>val.rodríguez@empresa.cl</t>
  </si>
  <si>
    <t>CLI-0228</t>
  </si>
  <si>
    <t>15.297.059-5</t>
  </si>
  <si>
    <t>javier silva vergara</t>
  </si>
  <si>
    <t>jav.silva@outlook.cl</t>
  </si>
  <si>
    <t>CLI-0939</t>
  </si>
  <si>
    <t>19.274.372-5</t>
  </si>
  <si>
    <t>Carolina Morales González</t>
  </si>
  <si>
    <t>car.morales@empresa.cl</t>
  </si>
  <si>
    <t>CLI-0229</t>
  </si>
  <si>
    <t>14.274.417-9</t>
  </si>
  <si>
    <t>Fernanda Vergara Fuentes</t>
  </si>
  <si>
    <t>fer.vergara@outlook.cl</t>
  </si>
  <si>
    <t>CLI-0433</t>
  </si>
  <si>
    <t>13949475-4</t>
  </si>
  <si>
    <t>Carolina Morales López</t>
  </si>
  <si>
    <t>car.morales@outlook.cl</t>
  </si>
  <si>
    <t>Total CLI-078</t>
  </si>
  <si>
    <t>CLI-0231</t>
  </si>
  <si>
    <t>17.924.887-7</t>
  </si>
  <si>
    <t>Paula Díaz Silva</t>
  </si>
  <si>
    <t>pau.díaz@gmail.com</t>
  </si>
  <si>
    <t>CLI-0823</t>
  </si>
  <si>
    <t>13.182.612-K</t>
  </si>
  <si>
    <t>Carolina Pérez Sepúlveda</t>
  </si>
  <si>
    <t>car.pérez@empresa.cl</t>
  </si>
  <si>
    <t>Total CLI-079</t>
  </si>
  <si>
    <t>CLI-0232</t>
  </si>
  <si>
    <t>18271689-0</t>
  </si>
  <si>
    <t>Tomas Silva Fuentes</t>
  </si>
  <si>
    <t>tom.silva@servicios.cl</t>
  </si>
  <si>
    <t>CLI-0261</t>
  </si>
  <si>
    <t>16.003.120-8</t>
  </si>
  <si>
    <t>Carolina Rodríguez Araya</t>
  </si>
  <si>
    <t>Total CLI-080</t>
  </si>
  <si>
    <t>CLI-0233</t>
  </si>
  <si>
    <t>19.431.904-7</t>
  </si>
  <si>
    <t>Loreto Valenzuela Pérez</t>
  </si>
  <si>
    <t>lor.valenzuela@servicios.cl</t>
  </si>
  <si>
    <t>CLI-0759</t>
  </si>
  <si>
    <t>12923901-1</t>
  </si>
  <si>
    <t>Carolina Rodríguez Espinoza</t>
  </si>
  <si>
    <t>car.rodríguez@outlook.cl</t>
  </si>
  <si>
    <t>CLI-0234</t>
  </si>
  <si>
    <t>17918884-4</t>
  </si>
  <si>
    <t>Rodrigo Espinoza Contreras</t>
  </si>
  <si>
    <t>rod.espinoza@sura.cl</t>
  </si>
  <si>
    <t>Total CLI-081</t>
  </si>
  <si>
    <t>CLI-0235</t>
  </si>
  <si>
    <t>13536070-0</t>
  </si>
  <si>
    <t>Daniela Silva Tapia</t>
  </si>
  <si>
    <t>dan.silva@gmail.com</t>
  </si>
  <si>
    <t>Total CLI-082</t>
  </si>
  <si>
    <t>Total CLI-083</t>
  </si>
  <si>
    <t>CLI-0236</t>
  </si>
  <si>
    <t>Carolina Rojas Araya</t>
  </si>
  <si>
    <t>18.671.315-3</t>
  </si>
  <si>
    <t>Gabriel Valenzuela Tapia</t>
  </si>
  <si>
    <t>gab.valenzuela@empresa.cl</t>
  </si>
  <si>
    <t>Total CLI-084</t>
  </si>
  <si>
    <t>Total CLI-085</t>
  </si>
  <si>
    <t>ANDREA ROJAS FUENTES</t>
  </si>
  <si>
    <t>CLI-0367</t>
  </si>
  <si>
    <t>18892472-7</t>
  </si>
  <si>
    <t>Carolina Sepúlveda Araya</t>
  </si>
  <si>
    <t>car.sepúlveda@sura.cl</t>
  </si>
  <si>
    <t>Total CLI-086</t>
  </si>
  <si>
    <t>CLI-0238</t>
  </si>
  <si>
    <t>18.670.989-K</t>
  </si>
  <si>
    <t>MAURICIO VALENZUELA SOTO</t>
  </si>
  <si>
    <t>mau.valenzuela@sura.cl</t>
  </si>
  <si>
    <t>Total CLI-087</t>
  </si>
  <si>
    <t>CLI-0329</t>
  </si>
  <si>
    <t>22.143.256-0</t>
  </si>
  <si>
    <t>Carolina Silva Fuentes</t>
  </si>
  <si>
    <t>car.silva@empresa.cl</t>
  </si>
  <si>
    <t>CLI-0240</t>
  </si>
  <si>
    <t>17.751.844-0</t>
  </si>
  <si>
    <t>ESTEBAN LÓPEZ SOTO</t>
  </si>
  <si>
    <t>est.lópez@outlook.cl</t>
  </si>
  <si>
    <t>Total CLI-088</t>
  </si>
  <si>
    <t>CLI-0365</t>
  </si>
  <si>
    <t>22.471.805-K</t>
  </si>
  <si>
    <t>Carolina Silva Rodríguez</t>
  </si>
  <si>
    <t>car.silva@consultora.cl</t>
  </si>
  <si>
    <t>CLI-0595</t>
  </si>
  <si>
    <t>14.504.587-8</t>
  </si>
  <si>
    <t>Carolina Soto Espinoza</t>
  </si>
  <si>
    <t>car.soto@empresa.cl</t>
  </si>
  <si>
    <t>Total CLI-089</t>
  </si>
  <si>
    <t>CLI-0242</t>
  </si>
  <si>
    <t>21015512-3</t>
  </si>
  <si>
    <t>Ignacio Araya Soto</t>
  </si>
  <si>
    <t>ign.araya@consultora.cl</t>
  </si>
  <si>
    <t>Nombre_Cliente</t>
  </si>
  <si>
    <t>Segmento</t>
  </si>
  <si>
    <t>18.768.710-6</t>
  </si>
  <si>
    <t>Catalina López Espinoza</t>
  </si>
  <si>
    <t>Persona</t>
  </si>
  <si>
    <t>Total CLI-090</t>
  </si>
  <si>
    <t>CLI-0243</t>
  </si>
  <si>
    <t>13018615-9</t>
  </si>
  <si>
    <t>CLI-0905</t>
  </si>
  <si>
    <t>Francisca Díaz Díaz</t>
  </si>
  <si>
    <t>12.432.984-4</t>
  </si>
  <si>
    <t>fra.díaz@sura.cl</t>
  </si>
  <si>
    <t>Carolina Soto Tapia</t>
  </si>
  <si>
    <t>car.soto@sura.cl</t>
  </si>
  <si>
    <t>22.115.701-8</t>
  </si>
  <si>
    <t>Claudio Silva Muñoz</t>
  </si>
  <si>
    <t>13.069.307-8</t>
  </si>
  <si>
    <t>Valentina Valenzuela Morales</t>
  </si>
  <si>
    <t>VIP</t>
  </si>
  <si>
    <t>CLI-0244</t>
  </si>
  <si>
    <t>17.879.542-4</t>
  </si>
  <si>
    <t>Javier Valenzuela López</t>
  </si>
  <si>
    <t>jav.valenzuela@empresa.cl</t>
  </si>
  <si>
    <t>20.062.876-7</t>
  </si>
  <si>
    <t>Rodrigo Espinoza Soto</t>
  </si>
  <si>
    <t>CLI-0513</t>
  </si>
  <si>
    <t>16.790.585-1</t>
  </si>
  <si>
    <t>Carolina Tapia Rodríguez</t>
  </si>
  <si>
    <t>car.tapia@outlook.cl</t>
  </si>
  <si>
    <t>18.001.798-K</t>
  </si>
  <si>
    <t>Total CLI-091</t>
  </si>
  <si>
    <t>Camila López Muñoz</t>
  </si>
  <si>
    <t>Pyme</t>
  </si>
  <si>
    <t>13.692.229-3</t>
  </si>
  <si>
    <t>Hernán Díaz Valenzuela</t>
  </si>
  <si>
    <t>camila silva vergara</t>
  </si>
  <si>
    <t>11.234.208-0</t>
  </si>
  <si>
    <t>Carolina Valenzuela López</t>
  </si>
  <si>
    <t>CLI-0941</t>
  </si>
  <si>
    <t>13.738.369-1</t>
  </si>
  <si>
    <t>17.229.320-4</t>
  </si>
  <si>
    <t>Carolina Tapia Tapia</t>
  </si>
  <si>
    <t>Matías Morales Sepúlveda</t>
  </si>
  <si>
    <t>car.tapia@sura.cl</t>
  </si>
  <si>
    <t>Corporativo</t>
  </si>
  <si>
    <t>CLI-0246</t>
  </si>
  <si>
    <t>17.723.690-1</t>
  </si>
  <si>
    <t>Ignacio Soto Morales</t>
  </si>
  <si>
    <t>20.777.271-5</t>
  </si>
  <si>
    <t>Andrea Muñoz Contreras</t>
  </si>
  <si>
    <t>16.604.616-4</t>
  </si>
  <si>
    <t>Total CLI-092</t>
  </si>
  <si>
    <t>Felipe Pérez Espinoza</t>
  </si>
  <si>
    <t>CLI-0247</t>
  </si>
  <si>
    <t>20.227.751-1</t>
  </si>
  <si>
    <t>VALENTINA GONZÁLEZ TAPIA</t>
  </si>
  <si>
    <t>14.834.321-1</t>
  </si>
  <si>
    <t>val.gonzález@servicios.cl</t>
  </si>
  <si>
    <t>Paula Espinoza Silva</t>
  </si>
  <si>
    <t>Carolina Vergara Valenzuela</t>
  </si>
  <si>
    <t>21.199.672-1</t>
  </si>
  <si>
    <t>Felipe Valenzuela Silva</t>
  </si>
  <si>
    <t>Total CLI-093</t>
  </si>
  <si>
    <t>12.717.228-6</t>
  </si>
  <si>
    <t>CLI-0248</t>
  </si>
  <si>
    <t>Valentina Fuentes Tapia</t>
  </si>
  <si>
    <t>19.331.716-2</t>
  </si>
  <si>
    <t>Gabriel Morales Contreras</t>
  </si>
  <si>
    <t>gab.morales@gmail.com</t>
  </si>
  <si>
    <t>CLI-014</t>
  </si>
  <si>
    <t>18.950.990-3</t>
  </si>
  <si>
    <t>CLI-0559</t>
  </si>
  <si>
    <t>Esteban Valenzuela Rojas</t>
  </si>
  <si>
    <t>16.570.174-3</t>
  </si>
  <si>
    <t>Catalina Araya Morales</t>
  </si>
  <si>
    <t>cat.araya@sura.cl</t>
  </si>
  <si>
    <t>Total CLI-094</t>
  </si>
  <si>
    <t>20.716.099-1</t>
  </si>
  <si>
    <t>Sofia López Tapia</t>
  </si>
  <si>
    <t>CLI-0249</t>
  </si>
  <si>
    <t>17.165.614-7</t>
  </si>
  <si>
    <t>Marcela Valenzuela Espinoza</t>
  </si>
  <si>
    <t>17.207.585-8</t>
  </si>
  <si>
    <t>mar.valenzuela@outlook.cl</t>
  </si>
  <si>
    <t>Ignacio Pérez Morales</t>
  </si>
  <si>
    <t>22.019.564-0</t>
  </si>
  <si>
    <t>Catalina Rodríguez Morales</t>
  </si>
  <si>
    <t>Total CLI-096</t>
  </si>
  <si>
    <t>CLI-0849</t>
  </si>
  <si>
    <t>19041953-0</t>
  </si>
  <si>
    <t>Catalina Araya Soto</t>
  </si>
  <si>
    <t>cat.araya@gmail.com</t>
  </si>
  <si>
    <t>CLI-0250</t>
  </si>
  <si>
    <t>21.074.922-3</t>
  </si>
  <si>
    <t>RODRIGO FUENTES ARAYA</t>
  </si>
  <si>
    <t>rod.fuentes@outlook.cl</t>
  </si>
  <si>
    <t>11.593.542-K</t>
  </si>
  <si>
    <t>Esteban González Pérez</t>
  </si>
  <si>
    <t>17.602.585-8</t>
  </si>
  <si>
    <t>Andrea Soto Valenzuela</t>
  </si>
  <si>
    <t>Total CLI-097</t>
  </si>
  <si>
    <t>CLI-0251</t>
  </si>
  <si>
    <t>18.690.873-3</t>
  </si>
  <si>
    <t>daniela rodríguez muñoz</t>
  </si>
  <si>
    <t>16.422.594-5</t>
  </si>
  <si>
    <t>dan.rodríguez@consultora.cl</t>
  </si>
  <si>
    <t>Javier Contreras Sepúlveda</t>
  </si>
  <si>
    <t>Total CLI-098</t>
  </si>
  <si>
    <t>12.134.031-5</t>
  </si>
  <si>
    <t>Camila Díaz Díaz</t>
  </si>
  <si>
    <t>15.821.138-1</t>
  </si>
  <si>
    <t>CLI-0252</t>
  </si>
  <si>
    <t>Tomas González Rojas</t>
  </si>
  <si>
    <t>15.944.823-1</t>
  </si>
  <si>
    <t>Gonzalo Fuentes Tapia</t>
  </si>
  <si>
    <t>gon.fuentes@servicios.cl</t>
  </si>
  <si>
    <t>15.415.608-3</t>
  </si>
  <si>
    <t>CLI-0797</t>
  </si>
  <si>
    <t>Andrea Fuentes Silva</t>
  </si>
  <si>
    <t>11.334.295-K</t>
  </si>
  <si>
    <t>Total CLI-099</t>
  </si>
  <si>
    <t>Catalina Contreras Rojas</t>
  </si>
  <si>
    <t>cat.contreras@consultora.cl</t>
  </si>
  <si>
    <t>14.443.020-6</t>
  </si>
  <si>
    <t>CLI-0253</t>
  </si>
  <si>
    <t>Cristián Tapia Rodríguez</t>
  </si>
  <si>
    <t>18958546-6</t>
  </si>
  <si>
    <t>Javiera Espinoza Valenzuela</t>
  </si>
  <si>
    <t>jav.espinoza@servicios.cl</t>
  </si>
  <si>
    <t>18.976.533-7</t>
  </si>
  <si>
    <t>Loreto Espinoza Vergara</t>
  </si>
  <si>
    <t>22.267.456-4</t>
  </si>
  <si>
    <t>Rodrigo Fuentes Valenzuela</t>
  </si>
  <si>
    <t>CLI-0254</t>
  </si>
  <si>
    <t>Total CLI-100</t>
  </si>
  <si>
    <t>13.329.525-0</t>
  </si>
  <si>
    <t>Cristián Tapia Vergara</t>
  </si>
  <si>
    <t>cri.tapia@sura.cl</t>
  </si>
  <si>
    <t>22.051.986-8</t>
  </si>
  <si>
    <t>Catalina Rodríguez Silva</t>
  </si>
  <si>
    <t>19.679.909-5</t>
  </si>
  <si>
    <t>Mauricio Morales Sepúlveda</t>
  </si>
  <si>
    <t>Total CLI-999</t>
  </si>
  <si>
    <t>CLI-0255</t>
  </si>
  <si>
    <t>19.148.073-2</t>
  </si>
  <si>
    <t>Constanza Vergara Valenzuela</t>
  </si>
  <si>
    <t>18.227.719-6</t>
  </si>
  <si>
    <t>Daniela Díaz Vergara</t>
  </si>
  <si>
    <t>CLI-0267</t>
  </si>
  <si>
    <t>18.597.293-3</t>
  </si>
  <si>
    <t>Catalina Díaz Araya</t>
  </si>
  <si>
    <t>cat.díaz@outlook.cl</t>
  </si>
  <si>
    <t>13.537.379-3</t>
  </si>
  <si>
    <t>Gonzalo Araya Sepúlveda</t>
  </si>
  <si>
    <t>CLI-0256</t>
  </si>
  <si>
    <t>CLI-031</t>
  </si>
  <si>
    <t>16.287.875-4</t>
  </si>
  <si>
    <t>12.315.081-K</t>
  </si>
  <si>
    <t>Felipe González González</t>
  </si>
  <si>
    <t>Francisca Rodríguez Soto</t>
  </si>
  <si>
    <t>fel.gonzález@sura.cl</t>
  </si>
  <si>
    <t>21.898.522-4</t>
  </si>
  <si>
    <t>Tomas Pérez López</t>
  </si>
  <si>
    <t>CLI-0675</t>
  </si>
  <si>
    <t>14.794.638-1</t>
  </si>
  <si>
    <t>18.633.459-7</t>
  </si>
  <si>
    <t>Catalina Díaz Sepúlveda</t>
  </si>
  <si>
    <t>Loreto Rodríguez Soto</t>
  </si>
  <si>
    <t>cat.díaz@servicios.cl</t>
  </si>
  <si>
    <t>CLI-0257</t>
  </si>
  <si>
    <t>12886659-4</t>
  </si>
  <si>
    <t>Marcela Espinoza López</t>
  </si>
  <si>
    <t>12.270.906-5</t>
  </si>
  <si>
    <t>Sebastián Valenzuela Rodríguez</t>
  </si>
  <si>
    <t>19.347.015-2</t>
  </si>
  <si>
    <t>Macarena Sepúlveda Rojas</t>
  </si>
  <si>
    <t>13.426.529-4</t>
  </si>
  <si>
    <t>Diego Valenzuela Rodríguez</t>
  </si>
  <si>
    <t>CLI-0771</t>
  </si>
  <si>
    <t>20978853-9</t>
  </si>
  <si>
    <t>Catalina Espinoza González</t>
  </si>
  <si>
    <t>cat.espinoza@consultora.cl</t>
  </si>
  <si>
    <t>13.019.071-9</t>
  </si>
  <si>
    <t>Daniela Muñoz Vergara</t>
  </si>
  <si>
    <t>22.494.028-K</t>
  </si>
  <si>
    <t>Claudio Rodríguez Vergara</t>
  </si>
  <si>
    <t>14.446.495-0</t>
  </si>
  <si>
    <t>Valentina Fuentes Díaz</t>
  </si>
  <si>
    <t>CLI-0393</t>
  </si>
  <si>
    <t>15.941.938-2</t>
  </si>
  <si>
    <t>12.712.921-1</t>
  </si>
  <si>
    <t>Catalina Espinoza Valenzuela</t>
  </si>
  <si>
    <t>Claudio González Rojas</t>
  </si>
  <si>
    <t>cat.espinoza@gmail.com</t>
  </si>
  <si>
    <t>CLI-0259</t>
  </si>
  <si>
    <t>20616469-6</t>
  </si>
  <si>
    <t>marcela rodríguez araya</t>
  </si>
  <si>
    <t>mar.rodríguez@outlook.cl</t>
  </si>
  <si>
    <t>21.898.169-5</t>
  </si>
  <si>
    <t>Beatriz Contreras Contreras</t>
  </si>
  <si>
    <t>11.435.581-8</t>
  </si>
  <si>
    <t>Tomas Soto Fuentes</t>
  </si>
  <si>
    <t>CLI-0260</t>
  </si>
  <si>
    <t>21.323.918-1</t>
  </si>
  <si>
    <t>20.155.011-0</t>
  </si>
  <si>
    <t>Javier Sepúlveda Contreras</t>
  </si>
  <si>
    <t>Paula Vergara Fuentes</t>
  </si>
  <si>
    <t>jav.sepúlveda@gmail.com</t>
  </si>
  <si>
    <t>Catalina Fuentes Espinoza</t>
  </si>
  <si>
    <t>18.143.110-8</t>
  </si>
  <si>
    <t>Felipe Fuentes Fuentes</t>
  </si>
  <si>
    <t>21.835.466-K</t>
  </si>
  <si>
    <t>Andrea Fuentes Sepúlveda</t>
  </si>
  <si>
    <t>CAROLINA RODRÍGUEZ ARAYA</t>
  </si>
  <si>
    <t>19.115.096-5</t>
  </si>
  <si>
    <t>Ignacio Rodríguez Contreras</t>
  </si>
  <si>
    <t>16.624.859-K</t>
  </si>
  <si>
    <t>Loreto Soto Rodríguez</t>
  </si>
  <si>
    <t>CLI-0303</t>
  </si>
  <si>
    <t>CLI-0262</t>
  </si>
  <si>
    <t>15154631-6</t>
  </si>
  <si>
    <t>22.137.696-8</t>
  </si>
  <si>
    <t>Catalina González Contreras</t>
  </si>
  <si>
    <t>15.610.715-5</t>
  </si>
  <si>
    <t>Esteban Rodríguez Pérez</t>
  </si>
  <si>
    <t>cat.gonzález@gmail.com</t>
  </si>
  <si>
    <t>sebastián morales fuentes</t>
  </si>
  <si>
    <t>seb.morales@consultora.cl</t>
  </si>
  <si>
    <t>11.032.719-6</t>
  </si>
  <si>
    <t>Javiera Araya Tapia</t>
  </si>
  <si>
    <t>22.324.972-4</t>
  </si>
  <si>
    <t>Mauricio Rodríguez Muñoz</t>
  </si>
  <si>
    <t>CLI-0263</t>
  </si>
  <si>
    <t>11.000.930-9</t>
  </si>
  <si>
    <t>Valentina Araya Rodríguez</t>
  </si>
  <si>
    <t>val.araya@gmail.com</t>
  </si>
  <si>
    <t>19.570.350-9</t>
  </si>
  <si>
    <t>Loreto Silva Pérez</t>
  </si>
  <si>
    <t>CLI-0793</t>
  </si>
  <si>
    <t>16.198.351-5</t>
  </si>
  <si>
    <t>Catalina López Fuentes</t>
  </si>
  <si>
    <t>cat.lópez@outlook.cl</t>
  </si>
  <si>
    <t>CLI-0264</t>
  </si>
  <si>
    <t>11.314.663-7</t>
  </si>
  <si>
    <t>Cristián Espinoza Vergara</t>
  </si>
  <si>
    <t>11.603.747-1</t>
  </si>
  <si>
    <t>cri.espinoza@servicios.cl</t>
  </si>
  <si>
    <t>Mauricio Vergara López</t>
  </si>
  <si>
    <t>16.319.687-3</t>
  </si>
  <si>
    <t>Camila Fuentes Rodríguez</t>
  </si>
  <si>
    <t>CLI-0907</t>
  </si>
  <si>
    <t>18595218-3</t>
  </si>
  <si>
    <t>Catalina Morales Rojas</t>
  </si>
  <si>
    <t>cat.morales@servicios.cl</t>
  </si>
  <si>
    <t>12.477.709-5</t>
  </si>
  <si>
    <t>Sebastián Vergara Muñoz</t>
  </si>
  <si>
    <t>CLI-0265</t>
  </si>
  <si>
    <t>12.928.449-8</t>
  </si>
  <si>
    <t>macarena espinoza lópez</t>
  </si>
  <si>
    <t>12.012.506-5</t>
  </si>
  <si>
    <t>mac.espinoza@outlook.cl</t>
  </si>
  <si>
    <t>Constanza Araya Rojas</t>
  </si>
  <si>
    <t>CLI-0299</t>
  </si>
  <si>
    <t>11337710-K</t>
  </si>
  <si>
    <t>Catalina Morales Sepúlveda</t>
  </si>
  <si>
    <t>cat.morales@gmail.com</t>
  </si>
  <si>
    <t>CLI-0266</t>
  </si>
  <si>
    <t>15.152.724-3</t>
  </si>
  <si>
    <t>Ignacio Valenzuela Morales</t>
  </si>
  <si>
    <t>ign.valenzuela@gmail.com</t>
  </si>
  <si>
    <t>18.908.808-8</t>
  </si>
  <si>
    <t>Hernán Silva González</t>
  </si>
  <si>
    <t>18.122.286-1</t>
  </si>
  <si>
    <t>Paula Tapia Morales</t>
  </si>
  <si>
    <t>CLI-0631</t>
  </si>
  <si>
    <t>16.853.495-8</t>
  </si>
  <si>
    <t>Catalina Muñoz Araya</t>
  </si>
  <si>
    <t>cat.muñoz@gmail.com</t>
  </si>
  <si>
    <t>17.397.080-1</t>
  </si>
  <si>
    <t>Javier Sepúlveda Silva</t>
  </si>
  <si>
    <t>12.638.966-K</t>
  </si>
  <si>
    <t>Carolina Díaz Rojas</t>
  </si>
  <si>
    <t>CLI-0268</t>
  </si>
  <si>
    <t>13.273.886-0</t>
  </si>
  <si>
    <t>JAVIER TAPIA CONTRERAS</t>
  </si>
  <si>
    <t>jav.tapia@sura.cl</t>
  </si>
  <si>
    <t>12.987.729-4</t>
  </si>
  <si>
    <t>Rodrigo Rodríguez Valenzuela</t>
  </si>
  <si>
    <t>CLI-0337</t>
  </si>
  <si>
    <t>16.778.830-K</t>
  </si>
  <si>
    <t>16.896.834-9</t>
  </si>
  <si>
    <t>Catalina Muñoz López</t>
  </si>
  <si>
    <t>Francisca Vergara Contreras</t>
  </si>
  <si>
    <t>cat.muñoz@sura.cl</t>
  </si>
  <si>
    <t>11.263.985-K</t>
  </si>
  <si>
    <t>CLI-0269</t>
  </si>
  <si>
    <t>Felipe Díaz Espinoza</t>
  </si>
  <si>
    <t>12.019.596-4</t>
  </si>
  <si>
    <t>javiera pérez lópez</t>
  </si>
  <si>
    <t>jav.pérez@empresa.cl</t>
  </si>
  <si>
    <t>15.500.830-8</t>
  </si>
  <si>
    <t>Francisca Araya Araya</t>
  </si>
  <si>
    <t>15.433.099-K</t>
  </si>
  <si>
    <t>Felipe Araya Silva</t>
  </si>
  <si>
    <t>Catalina Muñoz Morales</t>
  </si>
  <si>
    <t>18.077.052-K</t>
  </si>
  <si>
    <t>CLI-0270</t>
  </si>
  <si>
    <t>Paula Fuentes Fuentes</t>
  </si>
  <si>
    <t>22.046.704-5</t>
  </si>
  <si>
    <t>Cristián González Sepúlveda</t>
  </si>
  <si>
    <t>cri.gonzález@empresa.cl</t>
  </si>
  <si>
    <t>11.875.267-5</t>
  </si>
  <si>
    <t>Ignacio Fuentes Vergara</t>
  </si>
  <si>
    <t>12.465.092-2</t>
  </si>
  <si>
    <t>Beatriz Díaz Morales</t>
  </si>
  <si>
    <t>CLI-0567</t>
  </si>
  <si>
    <t>18.568.719-4</t>
  </si>
  <si>
    <t>Catalina Muñoz Muñoz</t>
  </si>
  <si>
    <t>14.245.954-1</t>
  </si>
  <si>
    <t>CLI-0271</t>
  </si>
  <si>
    <t>15.803.213-7</t>
  </si>
  <si>
    <t>Catalina Soto Silva</t>
  </si>
  <si>
    <t>cat.soto@empresa.cl</t>
  </si>
  <si>
    <t>16.656.991-8</t>
  </si>
  <si>
    <t>Andrea Soto Sepúlveda</t>
  </si>
  <si>
    <t>21.246.850-4</t>
  </si>
  <si>
    <t>Matías Espinoza Fuentes</t>
  </si>
  <si>
    <t>16.921.669-4</t>
  </si>
  <si>
    <t>CLI-0405</t>
  </si>
  <si>
    <t>19.780.884-9</t>
  </si>
  <si>
    <t>Catalina Pérez Díaz</t>
  </si>
  <si>
    <t>CLI-0272</t>
  </si>
  <si>
    <t>cat.pérez@outlook.cl</t>
  </si>
  <si>
    <t>20522529-8</t>
  </si>
  <si>
    <t>Cristián Pérez Araya</t>
  </si>
  <si>
    <t>13.727.376-0</t>
  </si>
  <si>
    <t>cri.pérez@servicios.cl</t>
  </si>
  <si>
    <t>20.658.979-9</t>
  </si>
  <si>
    <t>Constanza Contreras Muñoz</t>
  </si>
  <si>
    <t>22.335.636-6</t>
  </si>
  <si>
    <t>Rodrigo Vergara Pérez</t>
  </si>
  <si>
    <t>CLI-075</t>
  </si>
  <si>
    <t>20.639.344-2</t>
  </si>
  <si>
    <t>Paula Valenzuela Soto</t>
  </si>
  <si>
    <t>BEATRIZ ESPINOZA PÉREZ</t>
  </si>
  <si>
    <t>21.556.461-1</t>
  </si>
  <si>
    <t>Hernán Araya Valenzuela</t>
  </si>
  <si>
    <t>CLI-0637</t>
  </si>
  <si>
    <t>18.307.928-2</t>
  </si>
  <si>
    <t>Catalina Pérez Sepúlveda</t>
  </si>
  <si>
    <t>cat.pérez@empresa.cl</t>
  </si>
  <si>
    <t>11.262.209-9</t>
  </si>
  <si>
    <t>Daniela Soto Díaz</t>
  </si>
  <si>
    <t>CLI-0274</t>
  </si>
  <si>
    <t>13.024.456-3</t>
  </si>
  <si>
    <t>Rodrigo Araya Contreras</t>
  </si>
  <si>
    <t>rod.araya@sura.cl</t>
  </si>
  <si>
    <t>17.977.549-1</t>
  </si>
  <si>
    <t>Esteban Contreras Espinoza</t>
  </si>
  <si>
    <t>17.073.786-K</t>
  </si>
  <si>
    <t>Paula Morales Valenzuela</t>
  </si>
  <si>
    <t>CLI-0743</t>
  </si>
  <si>
    <t>13.705.155-9</t>
  </si>
  <si>
    <t>Catalina Rodríguez Fuentes</t>
  </si>
  <si>
    <t>cat.rodríguez@consultora.cl</t>
  </si>
  <si>
    <t>CLI-0275</t>
  </si>
  <si>
    <t>19.686.743-6</t>
  </si>
  <si>
    <t>20.332.192-4</t>
  </si>
  <si>
    <t>Catalina Tapia Fuentes</t>
  </si>
  <si>
    <t>cat.tapia@consultora.cl</t>
  </si>
  <si>
    <t>Mauricio Araya López</t>
  </si>
  <si>
    <t>15.390.407-3</t>
  </si>
  <si>
    <t>Daniela Morales Espinoza</t>
  </si>
  <si>
    <t>CLI-0627</t>
  </si>
  <si>
    <t>17267821-3</t>
  </si>
  <si>
    <t>Catalina Rodríguez Tapia</t>
  </si>
  <si>
    <t>21.737.982-9</t>
  </si>
  <si>
    <t>cat.rodríguez@gmail.com</t>
  </si>
  <si>
    <t>CLI-0276</t>
  </si>
  <si>
    <t>Cristián Fuentes Muñoz</t>
  </si>
  <si>
    <t>21.045.510-0</t>
  </si>
  <si>
    <t>MATÍAS ROJAS DÍAZ</t>
  </si>
  <si>
    <t>mat.rojas@servicios.cl</t>
  </si>
  <si>
    <t>21.551.807-6</t>
  </si>
  <si>
    <t>Catalina Rojas Contreras</t>
  </si>
  <si>
    <t>17.344.146-4</t>
  </si>
  <si>
    <t>Hernán Pérez Pérez</t>
  </si>
  <si>
    <t>Catalina Rojas Araya</t>
  </si>
  <si>
    <t>17.386.581-0</t>
  </si>
  <si>
    <t>Javiera González Tapia</t>
  </si>
  <si>
    <t>12.734.181-1</t>
  </si>
  <si>
    <t>Esteban Espinoza Soto</t>
  </si>
  <si>
    <t>CLI-0278</t>
  </si>
  <si>
    <t>16.551.682-K</t>
  </si>
  <si>
    <t>12.643.286-2</t>
  </si>
  <si>
    <t>Tomas Araya Tapia</t>
  </si>
  <si>
    <t>tom.araya@sura.cl</t>
  </si>
  <si>
    <t>15.723.364-4</t>
  </si>
  <si>
    <t>Sebastián Morales Contreras</t>
  </si>
  <si>
    <t>CLI-0279</t>
  </si>
  <si>
    <t>18.223.820-2</t>
  </si>
  <si>
    <t>20.569.624-6</t>
  </si>
  <si>
    <t>Daniela Muñoz Valenzuela</t>
  </si>
  <si>
    <t>lor.silva@servicios.cl</t>
  </si>
  <si>
    <t>CLI-0409</t>
  </si>
  <si>
    <t>18.136.797-1</t>
  </si>
  <si>
    <t>Catalina Rojas Sepúlveda</t>
  </si>
  <si>
    <t>16.313.485-0</t>
  </si>
  <si>
    <t>cat.rojas@gmail.com</t>
  </si>
  <si>
    <t>Rodrigo González Soto</t>
  </si>
  <si>
    <t>14.219.540-7</t>
  </si>
  <si>
    <t>CLI-0280</t>
  </si>
  <si>
    <t>Fernanda Fuentes Araya</t>
  </si>
  <si>
    <t>16396429-1</t>
  </si>
  <si>
    <t>Diego Silva Espinoza</t>
  </si>
  <si>
    <t>die.silva@empresa.cl</t>
  </si>
  <si>
    <t>15.970.714-7</t>
  </si>
  <si>
    <t>Esteban Fuentes Soto</t>
  </si>
  <si>
    <t>12.933.786-K</t>
  </si>
  <si>
    <t>Sofia Sepúlveda Pérez</t>
  </si>
  <si>
    <t>CLI-0715</t>
  </si>
  <si>
    <t>11.711.201-3</t>
  </si>
  <si>
    <t>Catalina Sepúlveda Sepúlveda</t>
  </si>
  <si>
    <t>cat.sepúlveda@outlook.cl</t>
  </si>
  <si>
    <t>17.966.725-5</t>
  </si>
  <si>
    <t>Mauricio Rodríguez López</t>
  </si>
  <si>
    <t>CLI-095</t>
  </si>
  <si>
    <t>14.888.829-7</t>
  </si>
  <si>
    <t>Javiera Tapia Tapia</t>
  </si>
  <si>
    <t>17.219.043-9</t>
  </si>
  <si>
    <t>CLI-0282</t>
  </si>
  <si>
    <t>Diego Contreras Contreras</t>
  </si>
  <si>
    <t>17.108.951-7</t>
  </si>
  <si>
    <t>RODRIGO LÓPEZ SOTO</t>
  </si>
  <si>
    <t>rod.lópez@empresa.cl</t>
  </si>
  <si>
    <t>CLI-0553</t>
  </si>
  <si>
    <t>12.968.007-6</t>
  </si>
  <si>
    <t>11.371.492-K</t>
  </si>
  <si>
    <t>Camila Contreras Valenzuela</t>
  </si>
  <si>
    <t>Catalina Silva Araya</t>
  </si>
  <si>
    <t>cat.silva@empresa.cl</t>
  </si>
  <si>
    <t>11.739.071-3</t>
  </si>
  <si>
    <t>Diego Soto Morales</t>
  </si>
  <si>
    <t>CLI-0283</t>
  </si>
  <si>
    <t>13.869.290-4</t>
  </si>
  <si>
    <t>Constanza Araya Fuentes</t>
  </si>
  <si>
    <t>con.araya@sura.cl</t>
  </si>
  <si>
    <t>11.256.981-1</t>
  </si>
  <si>
    <t>Francisca Soto Valenzuela</t>
  </si>
  <si>
    <t>19.042.900-K</t>
  </si>
  <si>
    <t>Esteban Araya Valenzuela</t>
  </si>
  <si>
    <t>CLI-0493</t>
  </si>
  <si>
    <t>21725442-1</t>
  </si>
  <si>
    <t>Catalina Silva Díaz</t>
  </si>
  <si>
    <t>CLI-0284</t>
  </si>
  <si>
    <t>cat.silva@outlook.cl</t>
  </si>
  <si>
    <t>20.974.505-1</t>
  </si>
  <si>
    <t>Gabriel Soto Rojas</t>
  </si>
  <si>
    <t>gab.soto@consultora.cl</t>
  </si>
  <si>
    <t>CLI-0285</t>
  </si>
  <si>
    <t>12.564.358-1</t>
  </si>
  <si>
    <t>CLI-0665</t>
  </si>
  <si>
    <t>Javiera Silva Araya</t>
  </si>
  <si>
    <t>16674344-9</t>
  </si>
  <si>
    <t>jav.silva@gmail.com</t>
  </si>
  <si>
    <t>Catalina Silva Rodríguez</t>
  </si>
  <si>
    <t>cat.silva@sura.cl</t>
  </si>
  <si>
    <t>CLI-0286</t>
  </si>
  <si>
    <t>15.753.418-K</t>
  </si>
  <si>
    <t>Rodrigo Rodríguez Soto</t>
  </si>
  <si>
    <t>rod.rodríguez@outlook.cl</t>
  </si>
  <si>
    <t>CLI-0611</t>
  </si>
  <si>
    <t>18435178-1</t>
  </si>
  <si>
    <t>Catalina Soto Espinoza</t>
  </si>
  <si>
    <t>cat.soto@sura.cl</t>
  </si>
  <si>
    <t>CLI-0287</t>
  </si>
  <si>
    <t>18814628-6</t>
  </si>
  <si>
    <t>Valentina Vergara Vergara</t>
  </si>
  <si>
    <t>val.vergara@gmail.com</t>
  </si>
  <si>
    <t>CLI-0288</t>
  </si>
  <si>
    <t>17874958-4</t>
  </si>
  <si>
    <t>Tomas Sepúlveda Vergara</t>
  </si>
  <si>
    <t>tom.sepúlveda@gmail.com</t>
  </si>
  <si>
    <t>CLI-0289</t>
  </si>
  <si>
    <t>16.965.529-2</t>
  </si>
  <si>
    <t>valentina contreras rojas</t>
  </si>
  <si>
    <t>val.contreras@sura.cl</t>
  </si>
  <si>
    <t>CLI-0290</t>
  </si>
  <si>
    <t>13391356-5</t>
  </si>
  <si>
    <t>esteban araya pérez</t>
  </si>
  <si>
    <t>est.araya@outlook.cl</t>
  </si>
  <si>
    <t>CLI-0291</t>
  </si>
  <si>
    <t>Catalina Valenzuela Morales</t>
  </si>
  <si>
    <t>20772777-8</t>
  </si>
  <si>
    <t>MARCELA VERGARA VALENZUELA</t>
  </si>
  <si>
    <t>mar.vergara@gmail.com</t>
  </si>
  <si>
    <t>CLI-0292</t>
  </si>
  <si>
    <t>11.401.900-2</t>
  </si>
  <si>
    <t>Javier Díaz Espinoza</t>
  </si>
  <si>
    <t>jav.díaz@outlook.cl</t>
  </si>
  <si>
    <t>CLI-0629</t>
  </si>
  <si>
    <t>16.213.253-9</t>
  </si>
  <si>
    <t>Catalina Valenzuela Valenzuela</t>
  </si>
  <si>
    <t>cat.valenzuela@consultora.cl</t>
  </si>
  <si>
    <t>CLI-0293</t>
  </si>
  <si>
    <t>11702055-6</t>
  </si>
  <si>
    <t>SOFIA MUÑOZ MUÑOZ</t>
  </si>
  <si>
    <t>sof.muñoz@servicios.cl</t>
  </si>
  <si>
    <t>CLI-0728</t>
  </si>
  <si>
    <t>15.251.345-3</t>
  </si>
  <si>
    <t>CLI-0294</t>
  </si>
  <si>
    <t>Claudio Araya Fuentes</t>
  </si>
  <si>
    <t>20.890.986-K</t>
  </si>
  <si>
    <t>cla.araya@outlook.cl</t>
  </si>
  <si>
    <t>CRISTIÁN SILVA ARAYA</t>
  </si>
  <si>
    <t>cri.silva@empresa.cl</t>
  </si>
  <si>
    <t>CLI-0295</t>
  </si>
  <si>
    <t>18658986-5</t>
  </si>
  <si>
    <t>Constanza Contreras González</t>
  </si>
  <si>
    <t>con.contreras@empresa.cl</t>
  </si>
  <si>
    <t>CLI-0440</t>
  </si>
  <si>
    <t>12.798.780-K</t>
  </si>
  <si>
    <t>Claudio Contreras Díaz</t>
  </si>
  <si>
    <t>cla.contreras@empresa.cl</t>
  </si>
  <si>
    <t>CLI-0296</t>
  </si>
  <si>
    <t>14744482-7</t>
  </si>
  <si>
    <t>Claudio Espinoza Vergara</t>
  </si>
  <si>
    <t>cla.espinoza@consultora.cl</t>
  </si>
  <si>
    <t>CLI-0462</t>
  </si>
  <si>
    <t>22.496.173-1</t>
  </si>
  <si>
    <t>Claudio Contreras Rodríguez</t>
  </si>
  <si>
    <t>cla.contreras@sura.cl</t>
  </si>
  <si>
    <t>CLI-0298</t>
  </si>
  <si>
    <t>14046123-2</t>
  </si>
  <si>
    <t>Sebastián Contreras Tapia</t>
  </si>
  <si>
    <t>seb.contreras@consultora.cl</t>
  </si>
  <si>
    <t>CLI-0576</t>
  </si>
  <si>
    <t>18.401.624-8</t>
  </si>
  <si>
    <t>Claudio Díaz Tapia</t>
  </si>
  <si>
    <t>cla.díaz@empresa.cl</t>
  </si>
  <si>
    <t>catalina morales sepúlveda</t>
  </si>
  <si>
    <t>CLI-0508</t>
  </si>
  <si>
    <t>16568024-6</t>
  </si>
  <si>
    <t>Claudio Espinoza Valenzuela</t>
  </si>
  <si>
    <t>CLI-0300</t>
  </si>
  <si>
    <t>cla.espinoza@outlook.cl</t>
  </si>
  <si>
    <t>11.750.826-1</t>
  </si>
  <si>
    <t>Sebastián Soto Rojas</t>
  </si>
  <si>
    <t>seb.soto@sura.cl</t>
  </si>
  <si>
    <t>CLI-0301</t>
  </si>
  <si>
    <t>13.137.745-7</t>
  </si>
  <si>
    <t>Javiera Soto Soto</t>
  </si>
  <si>
    <t>jav.soto@gmail.com</t>
  </si>
  <si>
    <t>CLI-0302</t>
  </si>
  <si>
    <t>13.496.683-7</t>
  </si>
  <si>
    <t>Gonzalo Valenzuela Rodríguez</t>
  </si>
  <si>
    <t>gon.valenzuela@consultora.cl</t>
  </si>
  <si>
    <t>CLI-0762</t>
  </si>
  <si>
    <t>14875190-K</t>
  </si>
  <si>
    <t>Claudio Fuentes López</t>
  </si>
  <si>
    <t>cla.fuentes@outlook.cl</t>
  </si>
  <si>
    <t>CLI-0304</t>
  </si>
  <si>
    <t>22.429.727-0</t>
  </si>
  <si>
    <t>FELIPE GONZÁLEZ ROJAS</t>
  </si>
  <si>
    <t>CLI-0305</t>
  </si>
  <si>
    <t>19.561.465-8</t>
  </si>
  <si>
    <t>CONSTANZA SEPÚLVEDA FUENTES</t>
  </si>
  <si>
    <t>con.sepúlveda@servicios.cl</t>
  </si>
  <si>
    <t>CLI-0664</t>
  </si>
  <si>
    <t>17.746.452-8</t>
  </si>
  <si>
    <t>Claudio González Morales</t>
  </si>
  <si>
    <t>cla.gonzález@outlook.cl</t>
  </si>
  <si>
    <t>CLI-0306</t>
  </si>
  <si>
    <t>11.565.633-2</t>
  </si>
  <si>
    <t>GONZALO ROJAS SOTO</t>
  </si>
  <si>
    <t>gon.rojas@sura.cl</t>
  </si>
  <si>
    <t>CLI-0802</t>
  </si>
  <si>
    <t>22.452.644-K</t>
  </si>
  <si>
    <t>Claudio González Pérez</t>
  </si>
  <si>
    <t>cla.gonzález@gmail.com</t>
  </si>
  <si>
    <t>CLI-0308</t>
  </si>
  <si>
    <t>20.807.597-0</t>
  </si>
  <si>
    <t>Hernán Pérez López</t>
  </si>
  <si>
    <t>her.pérez@gmail.com</t>
  </si>
  <si>
    <t>CLI-0600</t>
  </si>
  <si>
    <t>18.725.853-K</t>
  </si>
  <si>
    <t>Claudio González Silva</t>
  </si>
  <si>
    <t>cla.gonzález@sura.cl</t>
  </si>
  <si>
    <t>CLI-0309</t>
  </si>
  <si>
    <t>20818268-6</t>
  </si>
  <si>
    <t>VALENTINA GONZÁLEZ CONTRERAS</t>
  </si>
  <si>
    <t>CLI-0346</t>
  </si>
  <si>
    <t>11.006.460-0</t>
  </si>
  <si>
    <t>Claudio López Rodríguez</t>
  </si>
  <si>
    <t>cla.lópez@consultora.cl</t>
  </si>
  <si>
    <t>CLI-0310</t>
  </si>
  <si>
    <t>11.920.183-K</t>
  </si>
  <si>
    <t>Ignacio Contreras Pérez</t>
  </si>
  <si>
    <t>ign.contreras@gmail.com</t>
  </si>
  <si>
    <t>CLI-0311</t>
  </si>
  <si>
    <t>22174016-3</t>
  </si>
  <si>
    <t>Sofia Espinoza Fuentes</t>
  </si>
  <si>
    <t>CLI-0312</t>
  </si>
  <si>
    <t>20.502.004-6</t>
  </si>
  <si>
    <t>SEBASTIÁN ARAYA PÉREZ</t>
  </si>
  <si>
    <t>seb.araya@gmail.com</t>
  </si>
  <si>
    <t>CLI-0876</t>
  </si>
  <si>
    <t>15135391-8</t>
  </si>
  <si>
    <t>Claudio Muñoz Rodríguez</t>
  </si>
  <si>
    <t>cla.muñoz@outlook.cl</t>
  </si>
  <si>
    <t>CLI-0313</t>
  </si>
  <si>
    <t>14.750.266-K</t>
  </si>
  <si>
    <t>loreto pérez pérez</t>
  </si>
  <si>
    <t>lor.pérez@sura.cl</t>
  </si>
  <si>
    <t>Nombre_Producto</t>
  </si>
  <si>
    <t>Categoria</t>
  </si>
  <si>
    <t>Precio_Unitario_CLP</t>
  </si>
  <si>
    <t>Licencia ERP Cloud Pro</t>
  </si>
  <si>
    <t>Software</t>
  </si>
  <si>
    <t>CLI-0754</t>
  </si>
  <si>
    <t>Licencia CRM Enterprise</t>
  </si>
  <si>
    <t>CLI-0314</t>
  </si>
  <si>
    <t>19.874.701-7</t>
  </si>
  <si>
    <t>14.754.313-4</t>
  </si>
  <si>
    <t>Claudio Muñoz Sepúlveda</t>
  </si>
  <si>
    <t>MATÍAS FUENTES ESPINOZA</t>
  </si>
  <si>
    <t>cla.muñoz@consultora.cl</t>
  </si>
  <si>
    <t>Consultoría Migración Data 20h</t>
  </si>
  <si>
    <t>Consultoría</t>
  </si>
  <si>
    <t>Auditoría Ciberseguridad Pentest</t>
  </si>
  <si>
    <t>Seguridad</t>
  </si>
  <si>
    <t>Mantenimiento Servidores 24/7</t>
  </si>
  <si>
    <t>Infraestructura</t>
  </si>
  <si>
    <t>CLI-0315</t>
  </si>
  <si>
    <t>16.228.639-5</t>
  </si>
  <si>
    <t>MACARENA MUÑOZ ARAYA</t>
  </si>
  <si>
    <t>Laptop Pro i7 32GB RAM</t>
  </si>
  <si>
    <t>mac.muñoz@consultora.cl</t>
  </si>
  <si>
    <t>Hardware</t>
  </si>
  <si>
    <t>Monitor 32 Pulgadas 4K HDR</t>
  </si>
  <si>
    <t>CLI-0830</t>
  </si>
  <si>
    <t>14.379.132-7</t>
  </si>
  <si>
    <t>Claudio Muñoz Tapia</t>
  </si>
  <si>
    <t>Licencia Business Intelligence Pro</t>
  </si>
  <si>
    <t>Servicio Backup Automatizado Cloud</t>
  </si>
  <si>
    <t>CLI-0316</t>
  </si>
  <si>
    <t>21.781.456-4</t>
  </si>
  <si>
    <t>Javier Araya Pérez</t>
  </si>
  <si>
    <t>jav.araya@gmail.com</t>
  </si>
  <si>
    <t>Firewall Corporativo 10Gbps</t>
  </si>
  <si>
    <t>Servidor Rack Enterprise 4U</t>
  </si>
  <si>
    <t>Kit Ergónomico Teclado+Mouse</t>
  </si>
  <si>
    <t>Suite Ofimática Nube 100U</t>
  </si>
  <si>
    <t>CLI-0588</t>
  </si>
  <si>
    <t>20.005.286-7</t>
  </si>
  <si>
    <t>CLI-0317</t>
  </si>
  <si>
    <t>Claudio Pérez López</t>
  </si>
  <si>
    <t>21.140.047-5</t>
  </si>
  <si>
    <t>cla.pérez@gmail.com</t>
  </si>
  <si>
    <t>SOFIA SOTO PÉREZ</t>
  </si>
  <si>
    <t>Capacitación IAGen Corporativa</t>
  </si>
  <si>
    <t>sof.soto@outlook.cl</t>
  </si>
  <si>
    <t>Storage NAS 32TB RAID</t>
  </si>
  <si>
    <t>Switch PoE 48 Puertos</t>
  </si>
  <si>
    <t>CLI-0318</t>
  </si>
  <si>
    <t>17.186.427-9</t>
  </si>
  <si>
    <t>Matías Morales González</t>
  </si>
  <si>
    <t>Docking Station USB-C Triple Display</t>
  </si>
  <si>
    <t>mat.morales@sura.cl</t>
  </si>
  <si>
    <t>CLI-0708</t>
  </si>
  <si>
    <t>14.442.129-8</t>
  </si>
  <si>
    <t>cla.rodríguez@sura.cl</t>
  </si>
  <si>
    <t>Antivirus Endpoint 100 Licencias</t>
  </si>
  <si>
    <t>Consultoría Arquitectura BI</t>
  </si>
  <si>
    <t>CLI-0319</t>
  </si>
  <si>
    <t>19.011.762-1</t>
  </si>
  <si>
    <t>Valentina Pérez Silva</t>
  </si>
  <si>
    <t>Router Industrial 5G</t>
  </si>
  <si>
    <t>val.pérez@empresa.cl</t>
  </si>
  <si>
    <t>Multifuncional Láser Color</t>
  </si>
  <si>
    <t>Claudio Rojas Araya</t>
  </si>
  <si>
    <t>Firma Digital Avanzada Empresa</t>
  </si>
  <si>
    <t>CLI-0320</t>
  </si>
  <si>
    <t>13788476-9</t>
  </si>
  <si>
    <t>TOMAS PÉREZ MORALES</t>
  </si>
  <si>
    <t>tom.pérez@consultora.cl</t>
  </si>
  <si>
    <t>Monitoreo SOC Ciberseguridad</t>
  </si>
  <si>
    <t>Disco SSD NVMe 4TB</t>
  </si>
  <si>
    <t>Configuración SD-WAN Redes</t>
  </si>
  <si>
    <t>CLI-0321</t>
  </si>
  <si>
    <t>12.812.552-0</t>
  </si>
  <si>
    <t>CLI-0380</t>
  </si>
  <si>
    <t>constanza lópez lópez</t>
  </si>
  <si>
    <t>12340018-9</t>
  </si>
  <si>
    <t>con.lópez@gmail.com</t>
  </si>
  <si>
    <t>Claudio Rojas Pérez</t>
  </si>
  <si>
    <t>cla.rojas@empresa.cl</t>
  </si>
  <si>
    <t>CLI-0322</t>
  </si>
  <si>
    <t>16.723.002-0</t>
  </si>
  <si>
    <t>tomas tapia vergara</t>
  </si>
  <si>
    <t>tom.tapia@consultora.cl</t>
  </si>
  <si>
    <t>CLI-0323</t>
  </si>
  <si>
    <t>13.044.577-K</t>
  </si>
  <si>
    <t>Paula Tapia Espinoza</t>
  </si>
  <si>
    <t>pau.tapia@empresa.cl</t>
  </si>
  <si>
    <t>CLI-0660</t>
  </si>
  <si>
    <t>21.146.164-1</t>
  </si>
  <si>
    <t>Claudio Sepúlveda Tapia</t>
  </si>
  <si>
    <t>cla.sepúlveda@outlook.cl</t>
  </si>
  <si>
    <t>CLI-0324</t>
  </si>
  <si>
    <t>19940033-9</t>
  </si>
  <si>
    <t>Diego Morales Araya</t>
  </si>
  <si>
    <t>die.morales@outlook.cl</t>
  </si>
  <si>
    <t>Nombre_Sucursal</t>
  </si>
  <si>
    <t>CLI-0562</t>
  </si>
  <si>
    <t>17.564.282-1</t>
  </si>
  <si>
    <t>Claudio Silva González</t>
  </si>
  <si>
    <t>cla.silva@sura.cl</t>
  </si>
  <si>
    <t>Zona_Comercial</t>
  </si>
  <si>
    <t>CLI-0325</t>
  </si>
  <si>
    <t>18.612.743-1</t>
  </si>
  <si>
    <t>sofia soto valenzuela</t>
  </si>
  <si>
    <t>Sucursal Las Condes</t>
  </si>
  <si>
    <t>sof.soto@servicios.cl</t>
  </si>
  <si>
    <t>Zona Oriente</t>
  </si>
  <si>
    <t>Sucursal Providencia</t>
  </si>
  <si>
    <t>Sucursal Santiago Centro</t>
  </si>
  <si>
    <t>Zona Centro</t>
  </si>
  <si>
    <t>CLI-0326</t>
  </si>
  <si>
    <t>16724811-4</t>
  </si>
  <si>
    <t>CLI-0332</t>
  </si>
  <si>
    <t>Mauricio Rojas López</t>
  </si>
  <si>
    <t>Sucursal Viña del Mar</t>
  </si>
  <si>
    <t>16.433.272-3</t>
  </si>
  <si>
    <t>mau.rojas@servicios.cl</t>
  </si>
  <si>
    <t>Claudio Silva Silva</t>
  </si>
  <si>
    <t>cla.silva@empresa.cl</t>
  </si>
  <si>
    <t>Zona Costa Norte</t>
  </si>
  <si>
    <t>Sucursal Concepción Centro</t>
  </si>
  <si>
    <t>Zona Sur</t>
  </si>
  <si>
    <t>Sucursal Antofagasta Costa</t>
  </si>
  <si>
    <t>CLI-0327</t>
  </si>
  <si>
    <t>Zona Norte</t>
  </si>
  <si>
    <t>21.528.661-4</t>
  </si>
  <si>
    <t>SOFIA SILVA ROJAS</t>
  </si>
  <si>
    <t>sof.silva@gmail.com</t>
  </si>
  <si>
    <t>CLI-0824</t>
  </si>
  <si>
    <t>Sucursal Temuco</t>
  </si>
  <si>
    <t>19.801.145-6</t>
  </si>
  <si>
    <t>Claudio Soto González</t>
  </si>
  <si>
    <t>cla.soto@outlook.cl</t>
  </si>
  <si>
    <t>Sucursal Puerto Montt</t>
  </si>
  <si>
    <t>Zona Austral</t>
  </si>
  <si>
    <t>CLI-0328</t>
  </si>
  <si>
    <t>11.589.484-7</t>
  </si>
  <si>
    <t>TOMAS FUENTES VALENZUELA</t>
  </si>
  <si>
    <t>tom.fuentes@empresa.cl</t>
  </si>
  <si>
    <t>Sucursal La Serena</t>
  </si>
  <si>
    <t>CLI-0616</t>
  </si>
  <si>
    <t>12.785.688-8</t>
  </si>
  <si>
    <t>Sucursal Ñuñoa</t>
  </si>
  <si>
    <t>Claudio Tapia Morales</t>
  </si>
  <si>
    <t>cla.tapia@outlook.cl</t>
  </si>
  <si>
    <t>Sucursal Maipú</t>
  </si>
  <si>
    <t>Zona Poniente</t>
  </si>
  <si>
    <t>Sucursal Talcahuano</t>
  </si>
  <si>
    <t>Sucursal Valparaíso Puerto</t>
  </si>
  <si>
    <t>CLI-0474</t>
  </si>
  <si>
    <t>CLI-0330</t>
  </si>
  <si>
    <t>16989738-2</t>
  </si>
  <si>
    <t>14.777.630-2</t>
  </si>
  <si>
    <t>Sucursal Rancagua</t>
  </si>
  <si>
    <t>Claudio Valenzuela López</t>
  </si>
  <si>
    <t>claudio valenzuela muñoz</t>
  </si>
  <si>
    <t>Rancagua</t>
  </si>
  <si>
    <t>cla.valenzuela@sura.cl</t>
  </si>
  <si>
    <t>cla.valenzuela@empresa.cl</t>
  </si>
  <si>
    <t>Zona Centro Sur</t>
  </si>
  <si>
    <t>Sucursal Iquique</t>
  </si>
  <si>
    <t>Iquique</t>
  </si>
  <si>
    <t>Zona Norte Extremo</t>
  </si>
  <si>
    <t>Claudio Valenzuela Muñoz</t>
  </si>
  <si>
    <t>CLI-0698</t>
  </si>
  <si>
    <t>19.008.702-7</t>
  </si>
  <si>
    <t>Claudio Vergara Espinoza</t>
  </si>
  <si>
    <t>cla.vergara@gmail.com</t>
  </si>
  <si>
    <t>claudio silva silva</t>
  </si>
  <si>
    <t>CLI-0454</t>
  </si>
  <si>
    <t>16.780.298-1</t>
  </si>
  <si>
    <t>Claudio Vergara González</t>
  </si>
  <si>
    <t>cla.vergara@consultora.cl</t>
  </si>
  <si>
    <t>CLI-0333</t>
  </si>
  <si>
    <t>14.781.887-6</t>
  </si>
  <si>
    <t>MACARENA FUENTES SEPÚLVEDA</t>
  </si>
  <si>
    <t>mac.fuentes@sura.cl</t>
  </si>
  <si>
    <t>CLI-0334</t>
  </si>
  <si>
    <t>21.632.921-6</t>
  </si>
  <si>
    <t>sebastián contreras tapia</t>
  </si>
  <si>
    <t>seb.contreras@empresa.cl</t>
  </si>
  <si>
    <t>CLI-0529</t>
  </si>
  <si>
    <t>11.109.485-6</t>
  </si>
  <si>
    <t>Constanza Araya Silva</t>
  </si>
  <si>
    <t>con.araya@gmail.com</t>
  </si>
  <si>
    <t>CLI-0336</t>
  </si>
  <si>
    <t>14680066-K</t>
  </si>
  <si>
    <t>MATÍAS ARAYA PÉREZ</t>
  </si>
  <si>
    <t>mat.araya@sura.cl</t>
  </si>
  <si>
    <t>CLI-0809</t>
  </si>
  <si>
    <t>17294373-7</t>
  </si>
  <si>
    <t>Constanza Contreras Fuentes</t>
  </si>
  <si>
    <t>con.contreras@sura.cl</t>
  </si>
  <si>
    <t>CLI-0338</t>
  </si>
  <si>
    <t>11.385.229-7</t>
  </si>
  <si>
    <t>Ignacio Silva Muñoz</t>
  </si>
  <si>
    <t>ign.silva@gmail.com</t>
  </si>
  <si>
    <t>CLI-0591</t>
  </si>
  <si>
    <t>19000979-6</t>
  </si>
  <si>
    <t>Constanza Fuentes Contreras</t>
  </si>
  <si>
    <t>con.fuentes@outlook.cl</t>
  </si>
  <si>
    <t>CLI-0339</t>
  </si>
  <si>
    <t>17.768.195-8</t>
  </si>
  <si>
    <t>Francisca Sepúlveda Valenzuela</t>
  </si>
  <si>
    <t>fra.sepúlveda@consultora.cl</t>
  </si>
  <si>
    <t>CLI-0340</t>
  </si>
  <si>
    <t>12.820.959-5</t>
  </si>
  <si>
    <t>Rodrigo Tapia Díaz</t>
  </si>
  <si>
    <t>rod.tapia@empresa.cl</t>
  </si>
  <si>
    <t>CLI-0701</t>
  </si>
  <si>
    <t>15196514-5</t>
  </si>
  <si>
    <t>Constanza López Díaz</t>
  </si>
  <si>
    <t>con.lópez@servicios.cl</t>
  </si>
  <si>
    <t>CLI-0341</t>
  </si>
  <si>
    <t>19.868.589-5</t>
  </si>
  <si>
    <t>paula silva muñoz</t>
  </si>
  <si>
    <t>pau.silva@empresa.cl</t>
  </si>
  <si>
    <t>Constanza López López</t>
  </si>
  <si>
    <t>CLI-0342</t>
  </si>
  <si>
    <t>19.595.950-5</t>
  </si>
  <si>
    <t>Sebastián Muñoz Morales</t>
  </si>
  <si>
    <t>CLI-0597</t>
  </si>
  <si>
    <t>seb.muñoz@empresa.cl</t>
  </si>
  <si>
    <t>14.527.558-5</t>
  </si>
  <si>
    <t>Constanza López Morales</t>
  </si>
  <si>
    <t>Zonas Comerciales</t>
  </si>
  <si>
    <t>CAMILA ROJAS MORALES</t>
  </si>
  <si>
    <t>Constanza López Muñoz</t>
  </si>
  <si>
    <t>CLI-0491</t>
  </si>
  <si>
    <t>CLI-0344</t>
  </si>
  <si>
    <t>15089448-8</t>
  </si>
  <si>
    <t>21.973.771-K</t>
  </si>
  <si>
    <t>Constanza Morales López</t>
  </si>
  <si>
    <t>con.morales@sura.cl</t>
  </si>
  <si>
    <t>GABRIEL ARAYA GONZÁLEZ</t>
  </si>
  <si>
    <t>gab.araya@empresa.cl</t>
  </si>
  <si>
    <t>CLI-0455</t>
  </si>
  <si>
    <t>12.842.943-K</t>
  </si>
  <si>
    <t>Constanza Muñoz López</t>
  </si>
  <si>
    <t>con.muñoz@sura.cl</t>
  </si>
  <si>
    <t>CLI-0345</t>
  </si>
  <si>
    <t>11.664.625-K</t>
  </si>
  <si>
    <t>SOFIA ESPINOZA GONZÁLEZ</t>
  </si>
  <si>
    <t>sof.espinoza@outlook.cl</t>
  </si>
  <si>
    <t>CLI-0347</t>
  </si>
  <si>
    <t>19.919.858-2</t>
  </si>
  <si>
    <t>CLI-0713</t>
  </si>
  <si>
    <t>Paula Rojas Contreras</t>
  </si>
  <si>
    <t>11.789.099-K</t>
  </si>
  <si>
    <t>pau.rojas@consultora.cl</t>
  </si>
  <si>
    <t>Constanza Rodríguez Morales</t>
  </si>
  <si>
    <t>con.rodríguez@gmail.com</t>
  </si>
  <si>
    <t>CLI-0348</t>
  </si>
  <si>
    <t>18.968.758-6</t>
  </si>
  <si>
    <t>Felipe Araya Fuentes</t>
  </si>
  <si>
    <t>fel.araya@consultora.cl</t>
  </si>
  <si>
    <t>camila valenzuela rojas</t>
  </si>
  <si>
    <t>CLI-0693</t>
  </si>
  <si>
    <t>20087213-1</t>
  </si>
  <si>
    <t>Constanza Rojas Vergara</t>
  </si>
  <si>
    <t>con.rojas@servicios.cl</t>
  </si>
  <si>
    <t>CLI-0350</t>
  </si>
  <si>
    <t>17.329.221-2</t>
  </si>
  <si>
    <t>Javier Tapia Fuentes</t>
  </si>
  <si>
    <t>jav.tapia@outlook.cl</t>
  </si>
  <si>
    <t>Constanza Sepúlveda Fuentes</t>
  </si>
  <si>
    <t>CLI-0351</t>
  </si>
  <si>
    <t>11.996.907-K</t>
  </si>
  <si>
    <t>FRANCISCA LÓPEZ DÍAZ</t>
  </si>
  <si>
    <t>fra.lópez@servicios.cl</t>
  </si>
  <si>
    <t>CLI-0352</t>
  </si>
  <si>
    <t>14962382-4</t>
  </si>
  <si>
    <t>Diego Muñoz Fuentes</t>
  </si>
  <si>
    <t>CLI-0615</t>
  </si>
  <si>
    <t>19.533.094-4</t>
  </si>
  <si>
    <t>Constanza Silva González</t>
  </si>
  <si>
    <t>con.silva@consultora.cl</t>
  </si>
  <si>
    <t>CLI-0381</t>
  </si>
  <si>
    <t>19.227.000-9</t>
  </si>
  <si>
    <t>Constanza Silva Muñoz</t>
  </si>
  <si>
    <t>con.silva@sura.cl</t>
  </si>
  <si>
    <t>CLI-0354</t>
  </si>
  <si>
    <t>14.134.648-9</t>
  </si>
  <si>
    <t>ignacio pérez vergara</t>
  </si>
  <si>
    <t>ign.pérez@sura.cl</t>
  </si>
  <si>
    <t>4 funciones aplicadas, las columnas afectadas y el porcentaje de errores corregidos.</t>
  </si>
  <si>
    <t>CLI-0373</t>
  </si>
  <si>
    <t>CLI-0355</t>
  </si>
  <si>
    <t>21.710.466-4</t>
  </si>
  <si>
    <t>11040355-4</t>
  </si>
  <si>
    <t>Constanza Tapia Sepúlveda</t>
  </si>
  <si>
    <t>javiera rodríguez silva</t>
  </si>
  <si>
    <t>con.tapia@gmail.com</t>
  </si>
  <si>
    <t>jav.rodríguez@servicios.cl</t>
  </si>
  <si>
    <t>CLI-0356</t>
  </si>
  <si>
    <t>19.577.833-1</t>
  </si>
  <si>
    <t>Javier Contreras Rodríguez</t>
  </si>
  <si>
    <t>jav.contreras@outlook.cl</t>
  </si>
  <si>
    <t>Funciones:</t>
  </si>
  <si>
    <t>Columnas Afectadas:</t>
  </si>
  <si>
    <t>NOMPROPIO</t>
  </si>
  <si>
    <t>CLI-0357</t>
  </si>
  <si>
    <t>18.089.185-5</t>
  </si>
  <si>
    <t>Francisca Muñoz López</t>
  </si>
  <si>
    <t>fra.muñoz@consultora.cl</t>
  </si>
  <si>
    <t>ESPACIOS</t>
  </si>
  <si>
    <t>TEXTJOIN</t>
  </si>
  <si>
    <t>Comuna	Ciudad	Region</t>
  </si>
  <si>
    <t>Se filtran 44 duplicados y se pasan valores en CLP al formato con punto</t>
  </si>
  <si>
    <t>CLI-0358</t>
  </si>
  <si>
    <t>15346894-6</t>
  </si>
  <si>
    <t>Esteban López Vergara</t>
  </si>
  <si>
    <t>est.lópez@consultora.cl</t>
  </si>
  <si>
    <t>CLI-0359</t>
  </si>
  <si>
    <t>17.428.855-K</t>
  </si>
  <si>
    <t>PAULA VERGARA SILVA</t>
  </si>
  <si>
    <t>pau.vergara@consultora.cl</t>
  </si>
  <si>
    <t>CLI-0880</t>
  </si>
  <si>
    <t>13.172.553-6</t>
  </si>
  <si>
    <t>Cristián Araya Espinoza</t>
  </si>
  <si>
    <t>cri.araya@outlook.cl</t>
  </si>
  <si>
    <t>CLI-0360</t>
  </si>
  <si>
    <t>16.351.348-6</t>
  </si>
  <si>
    <t>Javier Vergara Pérez</t>
  </si>
  <si>
    <t>jav.vergara@consultora.cl</t>
  </si>
  <si>
    <t>CLI-0361</t>
  </si>
  <si>
    <t>18.066.386-0</t>
  </si>
  <si>
    <t>Marcela Contreras Soto</t>
  </si>
  <si>
    <t>mar.contreras@consultora.cl</t>
  </si>
  <si>
    <t>CLI-0870</t>
  </si>
  <si>
    <t>16.321.210-4</t>
  </si>
  <si>
    <t>Cristián Díaz Muñoz</t>
  </si>
  <si>
    <t>cri.díaz@sura.cl</t>
  </si>
  <si>
    <t>CLI-0362</t>
  </si>
  <si>
    <t>21043067-5</t>
  </si>
  <si>
    <t>Gabriel Contreras López</t>
  </si>
  <si>
    <t>CLI-0363</t>
  </si>
  <si>
    <t>18770320-1</t>
  </si>
  <si>
    <t>Javiera Soto Silva</t>
  </si>
  <si>
    <t>CLI-0630</t>
  </si>
  <si>
    <t>jav.soto@sura.cl</t>
  </si>
  <si>
    <t>11748830-1</t>
  </si>
  <si>
    <t>Cristián Espinoza Muñoz</t>
  </si>
  <si>
    <t>cri.espinoza@consultora.cl</t>
  </si>
  <si>
    <t>CLI-0410</t>
  </si>
  <si>
    <t>22.208.727-4</t>
  </si>
  <si>
    <t>cri.espinoza@gmail.com</t>
  </si>
  <si>
    <t>CLI-0366</t>
  </si>
  <si>
    <t>20.368.247-9</t>
  </si>
  <si>
    <t>cristián valenzuela soto</t>
  </si>
  <si>
    <t>CLI-0886</t>
  </si>
  <si>
    <t>12391240-2</t>
  </si>
  <si>
    <t>Cristián Fuentes Araya</t>
  </si>
  <si>
    <t>cri.fuentes@gmail.com</t>
  </si>
  <si>
    <t>CLI-0834</t>
  </si>
  <si>
    <t>20.171.697-K</t>
  </si>
  <si>
    <t>Cristián Fuentes González</t>
  </si>
  <si>
    <t>cri.fuentes@servicios.cl</t>
  </si>
  <si>
    <t>CLI-0368</t>
  </si>
  <si>
    <t>13611488-2</t>
  </si>
  <si>
    <t>Rodrigo Fuentes Rojas</t>
  </si>
  <si>
    <t>Cristián Fuentes López</t>
  </si>
  <si>
    <t>CLI-0369</t>
  </si>
  <si>
    <t>17544238-6</t>
  </si>
  <si>
    <t>Fernanda López Silva</t>
  </si>
  <si>
    <t>fer.lópez@outlook.cl</t>
  </si>
  <si>
    <t>CLI-0772</t>
  </si>
  <si>
    <t>20947764-8</t>
  </si>
  <si>
    <t>Cristián González Contreras</t>
  </si>
  <si>
    <t>cri.gonzález@servicios.cl</t>
  </si>
  <si>
    <t>CLI-0370</t>
  </si>
  <si>
    <t>20.238.579-6</t>
  </si>
  <si>
    <t>FELIPE DÍAZ RODRÍGUEZ</t>
  </si>
  <si>
    <t>fel.díaz@sura.cl</t>
  </si>
  <si>
    <t>CLI-0371</t>
  </si>
  <si>
    <t>12.170.250-5</t>
  </si>
  <si>
    <t>CLI-0682</t>
  </si>
  <si>
    <t>valentina contreras fuentes</t>
  </si>
  <si>
    <t>13.452.058-2</t>
  </si>
  <si>
    <t>val.contreras@gmail.com</t>
  </si>
  <si>
    <t>Cristián González Muñoz</t>
  </si>
  <si>
    <t>cri.gonzález@outlook.cl</t>
  </si>
  <si>
    <t>CLI-0372</t>
  </si>
  <si>
    <t>18844610-4</t>
  </si>
  <si>
    <t>TOMAS LÓPEZ SOTO</t>
  </si>
  <si>
    <t>CLI-0420</t>
  </si>
  <si>
    <t>11.132.063-6</t>
  </si>
  <si>
    <t>Cristián González Pérez</t>
  </si>
  <si>
    <t>CLI-0374</t>
  </si>
  <si>
    <t>18.441.773-K</t>
  </si>
  <si>
    <t>cristián valenzuela valenzuela</t>
  </si>
  <si>
    <t>cri.valenzuela@gmail.com</t>
  </si>
  <si>
    <t>CLI-0375</t>
  </si>
  <si>
    <t>16.201.734-5</t>
  </si>
  <si>
    <t>PAULA MORALES SILVA</t>
  </si>
  <si>
    <t>pau.morales@empresa.cl</t>
  </si>
  <si>
    <t>CLI-0558</t>
  </si>
  <si>
    <t>14.592.281-K</t>
  </si>
  <si>
    <t>Cristián López Vergara</t>
  </si>
  <si>
    <t>cri.lópez@gmail.com</t>
  </si>
  <si>
    <t>CLI-0376</t>
  </si>
  <si>
    <t>20923128-9</t>
  </si>
  <si>
    <t>Mauricio González Vergara</t>
  </si>
  <si>
    <t>mau.gonzález@empresa.cl</t>
  </si>
  <si>
    <t>Cristián Muñoz Tapia</t>
  </si>
  <si>
    <t>camila rojas lópez</t>
  </si>
  <si>
    <t>CLI-0378</t>
  </si>
  <si>
    <t>12.819.085-3</t>
  </si>
  <si>
    <t>mau.rodríguez@consultora.cl</t>
  </si>
  <si>
    <t>carolina espinoza díaz</t>
  </si>
  <si>
    <t>CLI-0444</t>
  </si>
  <si>
    <t>16.653.101-9</t>
  </si>
  <si>
    <t>Cristián Pérez Díaz</t>
  </si>
  <si>
    <t>cri.pérez@sura.cl</t>
  </si>
  <si>
    <t>CLAUDIO ROJAS PÉREZ</t>
  </si>
  <si>
    <t>CLI-0932</t>
  </si>
  <si>
    <t>17.702.238-6</t>
  </si>
  <si>
    <t>Cristián Rojas López</t>
  </si>
  <si>
    <t>cri.rojas@gmail.com</t>
  </si>
  <si>
    <t>CLI-0788</t>
  </si>
  <si>
    <t>16.782.697-2</t>
  </si>
  <si>
    <t>Cristián Rojas Rodríguez</t>
  </si>
  <si>
    <t>CLI-0382</t>
  </si>
  <si>
    <t>cri.rojas@servicios.cl</t>
  </si>
  <si>
    <t>13.686.668-5</t>
  </si>
  <si>
    <t>Ignacio Pérez Vergara</t>
  </si>
  <si>
    <t>ign.pérez@gmail.com</t>
  </si>
  <si>
    <t>CLI-0383</t>
  </si>
  <si>
    <t>11.155.046-6</t>
  </si>
  <si>
    <t>paula fuentes rojas</t>
  </si>
  <si>
    <t>pau.fuentes@outlook.cl</t>
  </si>
  <si>
    <t>Cristián Silva Araya</t>
  </si>
  <si>
    <t>CLI-0384</t>
  </si>
  <si>
    <t>18.925.361-6</t>
  </si>
  <si>
    <t>Mauricio Sepúlveda Rojas</t>
  </si>
  <si>
    <t>mau.sepúlveda@sura.cl</t>
  </si>
  <si>
    <t>CLI-0385</t>
  </si>
  <si>
    <t>17.830.539-7</t>
  </si>
  <si>
    <t>Javiera Araya Rojas</t>
  </si>
  <si>
    <t>CLI-0810</t>
  </si>
  <si>
    <t>18.814.444-8</t>
  </si>
  <si>
    <t>Cristián Silva González</t>
  </si>
  <si>
    <t>cri.silva@sura.cl</t>
  </si>
  <si>
    <t>CLI-0634</t>
  </si>
  <si>
    <t>19.956.154-K</t>
  </si>
  <si>
    <t>Cristián Silva López</t>
  </si>
  <si>
    <t>cri.silva@consultora.cl</t>
  </si>
  <si>
    <t>CLI-0387</t>
  </si>
  <si>
    <t>14831577-1</t>
  </si>
  <si>
    <t>MARCELA ROJAS MUÑOZ</t>
  </si>
  <si>
    <t>mar.rojas@sura.cl</t>
  </si>
  <si>
    <t>CLI-0390</t>
  </si>
  <si>
    <t>13.709.077-9</t>
  </si>
  <si>
    <t>Cristián Soto Tapia</t>
  </si>
  <si>
    <t>cri.soto@gmail.com</t>
  </si>
  <si>
    <t>CLI-0388</t>
  </si>
  <si>
    <t>21.035.069-7</t>
  </si>
  <si>
    <t>Gabriel Muñoz Espinoza</t>
  </si>
  <si>
    <t>gab.muñoz@gmail.com</t>
  </si>
  <si>
    <t>CLI-0389</t>
  </si>
  <si>
    <t>17.114.870-6</t>
  </si>
  <si>
    <t>Javiera Espinoza Contreras</t>
  </si>
  <si>
    <t>jav.espinoza@empresa.cl</t>
  </si>
  <si>
    <t>ANDREA DÍAZ TAPIA</t>
  </si>
  <si>
    <t>CLI-0938</t>
  </si>
  <si>
    <t>19.932.030-4</t>
  </si>
  <si>
    <t>CLI-0392</t>
  </si>
  <si>
    <t>Cristián Valenzuela Sepúlveda</t>
  </si>
  <si>
    <t>16.731.889-7</t>
  </si>
  <si>
    <t>cri.valenzuela@empresa.cl</t>
  </si>
  <si>
    <t>Mauricio Díaz Silva</t>
  </si>
  <si>
    <t>mau.díaz@consultora.cl</t>
  </si>
  <si>
    <t>catalina espinoza valenzuela</t>
  </si>
  <si>
    <t>Cristián Valenzuela Soto</t>
  </si>
  <si>
    <t>CLI-0394</t>
  </si>
  <si>
    <t>13214911-5</t>
  </si>
  <si>
    <t>Esteban Vergara Pérez</t>
  </si>
  <si>
    <t>est.vergara@outlook.cl</t>
  </si>
  <si>
    <t>Cristián Valenzuela Valenzuela</t>
  </si>
  <si>
    <t>CLI-0782</t>
  </si>
  <si>
    <t>19.354.909-4</t>
  </si>
  <si>
    <t>Cristián Valenzuela Vergara</t>
  </si>
  <si>
    <t>cri.valenzuela@outlook.cl</t>
  </si>
  <si>
    <t>CLI-0396</t>
  </si>
  <si>
    <t>16.484.106-5</t>
  </si>
  <si>
    <t>esteban díaz rojas</t>
  </si>
  <si>
    <t>est.díaz@consultora.cl</t>
  </si>
  <si>
    <t>Cristián Vergara Soto</t>
  </si>
  <si>
    <t>CLI-0397</t>
  </si>
  <si>
    <t>11.947.956-9</t>
  </si>
  <si>
    <t>Marcela Sepúlveda Pérez</t>
  </si>
  <si>
    <t>mar.sepúlveda@gmail.com</t>
  </si>
  <si>
    <t>CLI-0398</t>
  </si>
  <si>
    <t>CLI-0877</t>
  </si>
  <si>
    <t>14084888-K</t>
  </si>
  <si>
    <t>20.055.540-8</t>
  </si>
  <si>
    <t>Diego Contreras Araya</t>
  </si>
  <si>
    <t>Daniela Araya Díaz</t>
  </si>
  <si>
    <t>die.contreras@sura.cl</t>
  </si>
  <si>
    <t>dan.araya@sura.cl</t>
  </si>
  <si>
    <t>CLI-0399</t>
  </si>
  <si>
    <t>22.392.295-7</t>
  </si>
  <si>
    <t>macarena muñoz morales</t>
  </si>
  <si>
    <t>CLI-0400</t>
  </si>
  <si>
    <t>CLI-0527</t>
  </si>
  <si>
    <t>13411907-8</t>
  </si>
  <si>
    <t>18.477.147-3</t>
  </si>
  <si>
    <t>RODRIGO CONTRERAS SOTO</t>
  </si>
  <si>
    <t>Daniela Contreras Rodríguez</t>
  </si>
  <si>
    <t>rod.contreras@consultora.cl</t>
  </si>
  <si>
    <t>dan.contreras@gmail.com</t>
  </si>
  <si>
    <t>CLI-0401</t>
  </si>
  <si>
    <t>19.452.816-9</t>
  </si>
  <si>
    <t>PAULA SEPÚLVEDA SEPÚLVEDA</t>
  </si>
  <si>
    <t>pau.sepúlveda@sura.cl</t>
  </si>
  <si>
    <t>CLI-0402</t>
  </si>
  <si>
    <t>11.094.056-2</t>
  </si>
  <si>
    <t>Javier Tapia Espinoza</t>
  </si>
  <si>
    <t>CLI-0403</t>
  </si>
  <si>
    <t>14.637.441-K</t>
  </si>
  <si>
    <t>JAVIERA FUENTES MORALES</t>
  </si>
  <si>
    <t>jav.fuentes@gmail.com</t>
  </si>
  <si>
    <t>CLI-0404</t>
  </si>
  <si>
    <t>21.906.214-3</t>
  </si>
  <si>
    <t>RODRIGO SOTO VERGARA</t>
  </si>
  <si>
    <t>rod.soto@servicios.cl</t>
  </si>
  <si>
    <t>CLI-0485</t>
  </si>
  <si>
    <t>18.012.616-2</t>
  </si>
  <si>
    <t>CLI-0406</t>
  </si>
  <si>
    <t>19.719.398-K</t>
  </si>
  <si>
    <t>Hernán López Contreras</t>
  </si>
  <si>
    <t>her.lópez@servicios.cl</t>
  </si>
  <si>
    <t>Daniela González Vergara</t>
  </si>
  <si>
    <t>dan.gonzález@gmail.com</t>
  </si>
  <si>
    <t>CLI-0408</t>
  </si>
  <si>
    <t>CLI-0415</t>
  </si>
  <si>
    <t>11768224-1</t>
  </si>
  <si>
    <t>13.265.380-1</t>
  </si>
  <si>
    <t>HERNÁN FUENTES VALENZUELA</t>
  </si>
  <si>
    <t>Daniela López Silva</t>
  </si>
  <si>
    <t>dan.lópez@servicios.cl</t>
  </si>
  <si>
    <t>her.fuentes@sura.cl</t>
  </si>
  <si>
    <t>CLI-0671</t>
  </si>
  <si>
    <t>20.269.552-1</t>
  </si>
  <si>
    <t>Daniela Morales Valenzuela</t>
  </si>
  <si>
    <t>dan.morales@consultora.cl</t>
  </si>
  <si>
    <t>CLI-0895</t>
  </si>
  <si>
    <t>17.962.366-9</t>
  </si>
  <si>
    <t>dan.morales@gmail.com</t>
  </si>
  <si>
    <t>CLI-0499</t>
  </si>
  <si>
    <t>19.819.983-0</t>
  </si>
  <si>
    <t>CAMILA ESPINOZA SEPÚLVEDA</t>
  </si>
  <si>
    <t>Daniela Muñoz Araya</t>
  </si>
  <si>
    <t>dan.muñoz@gmail.com</t>
  </si>
  <si>
    <t>CLI-0412</t>
  </si>
  <si>
    <t>17.952.914-2</t>
  </si>
  <si>
    <t>HERNÁN GONZÁLEZ CONTRERAS</t>
  </si>
  <si>
    <t>CLI-0745</t>
  </si>
  <si>
    <t>her.gonzález@gmail.com</t>
  </si>
  <si>
    <t>12406274-K</t>
  </si>
  <si>
    <t>Daniela Muñoz González</t>
  </si>
  <si>
    <t>dan.muñoz@sura.cl</t>
  </si>
  <si>
    <t>CLI-0413</t>
  </si>
  <si>
    <t>19.674.606-K</t>
  </si>
  <si>
    <t>Francisca Silva Valenzuela</t>
  </si>
  <si>
    <t>CLI-0735</t>
  </si>
  <si>
    <t>fra.silva@sura.cl</t>
  </si>
  <si>
    <t>22321388-5</t>
  </si>
  <si>
    <t>Daniela Muñoz Pérez</t>
  </si>
  <si>
    <t>CLI-0414</t>
  </si>
  <si>
    <t>22376288-1</t>
  </si>
  <si>
    <t>Tomas Vergara Araya</t>
  </si>
  <si>
    <t>tom.vergara@sura.cl</t>
  </si>
  <si>
    <t>CLI-0497</t>
  </si>
  <si>
    <t>20.120.349-K</t>
  </si>
  <si>
    <t>dan.muñoz@empresa.cl</t>
  </si>
  <si>
    <t>CLI-0929</t>
  </si>
  <si>
    <t>20.630.690-6</t>
  </si>
  <si>
    <t>Daniela Pérez Espinoza</t>
  </si>
  <si>
    <t>dan.pérez@servicios.cl</t>
  </si>
  <si>
    <t>CLI-0416</t>
  </si>
  <si>
    <t>13658191-7</t>
  </si>
  <si>
    <t>Diego Morales López</t>
  </si>
  <si>
    <t>die.morales@consultora.cl</t>
  </si>
  <si>
    <t>CLI-0417</t>
  </si>
  <si>
    <t>20.174.207-2</t>
  </si>
  <si>
    <t>fernanda morales gonzález</t>
  </si>
  <si>
    <t>fer.morales@consultora.cl</t>
  </si>
  <si>
    <t>CLI-0873</t>
  </si>
  <si>
    <t>17.616.164-2</t>
  </si>
  <si>
    <t>Daniela Pérez Rodríguez</t>
  </si>
  <si>
    <t>dan.pérez@empresa.cl</t>
  </si>
  <si>
    <t>CLI-0418</t>
  </si>
  <si>
    <t>15956189-5</t>
  </si>
  <si>
    <t>SEBASTIÁN CONTRERAS SILVA</t>
  </si>
  <si>
    <t>CLI-0651</t>
  </si>
  <si>
    <t>12.657.047-1</t>
  </si>
  <si>
    <t>Daniela Rodríguez Contreras</t>
  </si>
  <si>
    <t>CLI-0419</t>
  </si>
  <si>
    <t>22.378.663-3</t>
  </si>
  <si>
    <t>JAVIERA DÍAZ ROJAS</t>
  </si>
  <si>
    <t>jav.díaz@consultora.cl</t>
  </si>
  <si>
    <t>Daniela Rodríguez Muñoz</t>
  </si>
  <si>
    <t>CRISTIÁN GONZÁLEZ PÉREZ</t>
  </si>
  <si>
    <t>CLI-0489</t>
  </si>
  <si>
    <t>CLI-0421</t>
  </si>
  <si>
    <t>14106242-5</t>
  </si>
  <si>
    <t>16.930.582-3</t>
  </si>
  <si>
    <t>dan.rodríguez@outlook.cl</t>
  </si>
  <si>
    <t>Francisca Espinoza Rojas</t>
  </si>
  <si>
    <t>fra.espinoza@consultora.cl</t>
  </si>
  <si>
    <t>CLI-0422</t>
  </si>
  <si>
    <t>15.950.657-5</t>
  </si>
  <si>
    <t>Sebastián Valenzuela Sepúlveda</t>
  </si>
  <si>
    <t>seb.valenzuela@gmail.com</t>
  </si>
  <si>
    <t>Daniela Rodríguez Pérez</t>
  </si>
  <si>
    <t>CLI-0437</t>
  </si>
  <si>
    <t>16568734-5</t>
  </si>
  <si>
    <t>carolina gonzález soto</t>
  </si>
  <si>
    <t>Daniela Rojas Contreras</t>
  </si>
  <si>
    <t>dan.rojas@outlook.cl</t>
  </si>
  <si>
    <t>CLI-0561</t>
  </si>
  <si>
    <t>CLI-0424</t>
  </si>
  <si>
    <t>14.622.252-K</t>
  </si>
  <si>
    <t>20.646.993-7</t>
  </si>
  <si>
    <t>Daniela Sepúlveda Morales</t>
  </si>
  <si>
    <t>dan.sepúlveda@outlook.cl</t>
  </si>
  <si>
    <t>die.silva@servicios.cl</t>
  </si>
  <si>
    <t>CLI-0425</t>
  </si>
  <si>
    <t>11.750.197-7</t>
  </si>
  <si>
    <t>Sofia Rodríguez Espinoza</t>
  </si>
  <si>
    <t>sof.rodríguez@sura.cl</t>
  </si>
  <si>
    <t>CLI-0426</t>
  </si>
  <si>
    <t>11.770.984-4</t>
  </si>
  <si>
    <t>Gabriel Muñoz Araya</t>
  </si>
  <si>
    <t>CLI-0955</t>
  </si>
  <si>
    <t>16333000-K</t>
  </si>
  <si>
    <t>Daniela Soto Vergara</t>
  </si>
  <si>
    <t>dan.soto@consultora.cl</t>
  </si>
  <si>
    <t>beatriz araya valenzuela</t>
  </si>
  <si>
    <t>CLI-0833</t>
  </si>
  <si>
    <t>13.089.278-7</t>
  </si>
  <si>
    <t>Daniela Tapia Tapia</t>
  </si>
  <si>
    <t>dan.tapia@servicios.cl</t>
  </si>
  <si>
    <t>CLI-0428</t>
  </si>
  <si>
    <t>12.454.201-2</t>
  </si>
  <si>
    <t>FELIPE SOTO TAPIA</t>
  </si>
  <si>
    <t>fel.soto@outlook.cl</t>
  </si>
  <si>
    <t>CLI-0429</t>
  </si>
  <si>
    <t>14.609.386-4</t>
  </si>
  <si>
    <t>Francisca Silva Espinoza</t>
  </si>
  <si>
    <t>fra.silva@outlook.cl</t>
  </si>
  <si>
    <t>Daniela Valenzuela Rodríguez</t>
  </si>
  <si>
    <t>CLI-0430</t>
  </si>
  <si>
    <t>20.676.953-3</t>
  </si>
  <si>
    <t>Hernán Valenzuela Rodríguez</t>
  </si>
  <si>
    <t>her.valenzuela@consultora.cl</t>
  </si>
  <si>
    <t>CLI-0685</t>
  </si>
  <si>
    <t>22.218.806-5</t>
  </si>
  <si>
    <t>Daniela Vergara Soto</t>
  </si>
  <si>
    <t>dan.vergara@gmail.com</t>
  </si>
  <si>
    <t>CLI-0431</t>
  </si>
  <si>
    <t>16.796.171-3</t>
  </si>
  <si>
    <t>Macarena López Rojas</t>
  </si>
  <si>
    <t>mac.lópez@outlook.cl</t>
  </si>
  <si>
    <t>CLI-0750</t>
  </si>
  <si>
    <t>11158641-2</t>
  </si>
  <si>
    <t>Diego Araya Espinoza</t>
  </si>
  <si>
    <t>CLI-0432</t>
  </si>
  <si>
    <t>12444565-7</t>
  </si>
  <si>
    <t>ignacio contreras silva</t>
  </si>
  <si>
    <t>ign.contreras@outlook.cl</t>
  </si>
  <si>
    <t>Diego Araya López</t>
  </si>
  <si>
    <t>carolina morales lópez</t>
  </si>
  <si>
    <t>CLI-0526</t>
  </si>
  <si>
    <t>15.570.317-9</t>
  </si>
  <si>
    <t>Diego Araya Morales</t>
  </si>
  <si>
    <t>die.araya@gmail.com</t>
  </si>
  <si>
    <t>CLI-0434</t>
  </si>
  <si>
    <t>17.921.702-3</t>
  </si>
  <si>
    <t>tomas araya pérez</t>
  </si>
  <si>
    <t>tom.araya@servicios.cl</t>
  </si>
  <si>
    <t>CLI-0435</t>
  </si>
  <si>
    <t>13271733-3</t>
  </si>
  <si>
    <t>Javiera Morales Díaz</t>
  </si>
  <si>
    <t>jav.morales@sura.cl</t>
  </si>
  <si>
    <t>CLI-0436</t>
  </si>
  <si>
    <t>20462604-K</t>
  </si>
  <si>
    <t>RODRIGO VALENZUELA VALENZUELA</t>
  </si>
  <si>
    <t>rod.valenzuela@outlook.cl</t>
  </si>
  <si>
    <t>Diego Díaz Fuentes</t>
  </si>
  <si>
    <t>CLI-0586</t>
  </si>
  <si>
    <t>13.745.009-7</t>
  </si>
  <si>
    <t>Diego Espinoza Silva</t>
  </si>
  <si>
    <t>die.espinoza@outlook.cl</t>
  </si>
  <si>
    <t>CLI-0438</t>
  </si>
  <si>
    <t>19.239.974-8</t>
  </si>
  <si>
    <t>Gabriel González Muñoz</t>
  </si>
  <si>
    <t>gab.gonzález@sura.cl</t>
  </si>
  <si>
    <t>CLI-0439</t>
  </si>
  <si>
    <t>12.224.435-5</t>
  </si>
  <si>
    <t>Marcela Rodríguez González</t>
  </si>
  <si>
    <t>mar.rodríguez@sura.cl</t>
  </si>
  <si>
    <t>CLI-0684</t>
  </si>
  <si>
    <t>15.205.400-3</t>
  </si>
  <si>
    <t>Diego Espinoza Vergara</t>
  </si>
  <si>
    <t>claudio contreras díaz</t>
  </si>
  <si>
    <t>CLI-0441</t>
  </si>
  <si>
    <t>16.987.090-9</t>
  </si>
  <si>
    <t>Macarena Soto Muñoz</t>
  </si>
  <si>
    <t>mac.soto@outlook.cl</t>
  </si>
  <si>
    <t>CLI-0442</t>
  </si>
  <si>
    <t>12.592.377-0</t>
  </si>
  <si>
    <t>CLI-0890</t>
  </si>
  <si>
    <t>Ignacio Soto Pérez</t>
  </si>
  <si>
    <t>18108370-2</t>
  </si>
  <si>
    <t>Diego Fuentes Rodríguez</t>
  </si>
  <si>
    <t>ign.soto@servicios.cl</t>
  </si>
  <si>
    <t>die.fuentes@empresa.cl</t>
  </si>
  <si>
    <t>CLI-0443</t>
  </si>
  <si>
    <t>13925978-2</t>
  </si>
  <si>
    <t>PAULA MORALES PÉREZ</t>
  </si>
  <si>
    <t>pau.morales@consultora.cl</t>
  </si>
  <si>
    <t>cristián pérez díaz</t>
  </si>
  <si>
    <t>Diego González Sepúlveda</t>
  </si>
  <si>
    <t>CLI-0446</t>
  </si>
  <si>
    <t>CLI-0445</t>
  </si>
  <si>
    <t>19.641.338-6</t>
  </si>
  <si>
    <t>Diego López Araya</t>
  </si>
  <si>
    <t>21.230.920-5</t>
  </si>
  <si>
    <t>die.lópez@empresa.cl</t>
  </si>
  <si>
    <t>Javiera López Vergara</t>
  </si>
  <si>
    <t>jav.lópez@outlook.cl</t>
  </si>
  <si>
    <t>diego lópez araya</t>
  </si>
  <si>
    <t>CLI-0448</t>
  </si>
  <si>
    <t>16.879.611-K</t>
  </si>
  <si>
    <t>matías sepúlveda silva</t>
  </si>
  <si>
    <t>mat.sepúlveda@gmail.com</t>
  </si>
  <si>
    <t>CLI-0449</t>
  </si>
  <si>
    <t>12545104-9</t>
  </si>
  <si>
    <t>CLI-0894</t>
  </si>
  <si>
    <t>FRANCISCA MUÑOZ SEPÚLVEDA</t>
  </si>
  <si>
    <t>20.618.398-K</t>
  </si>
  <si>
    <t>Diego Muñoz Muñoz</t>
  </si>
  <si>
    <t>fra.muñoz@servicios.cl</t>
  </si>
  <si>
    <t>die.muñoz@empresa.cl</t>
  </si>
  <si>
    <t>CLI-0450</t>
  </si>
  <si>
    <t>16327799-3</t>
  </si>
  <si>
    <t>CLI-0451</t>
  </si>
  <si>
    <t>16.063.861-7</t>
  </si>
  <si>
    <t>Paula Silva Morales</t>
  </si>
  <si>
    <t>pau.silva@outlook.cl</t>
  </si>
  <si>
    <t>CLI-0452</t>
  </si>
  <si>
    <t>12813546-K</t>
  </si>
  <si>
    <t>CLI-0702</t>
  </si>
  <si>
    <t>12.087.846-7</t>
  </si>
  <si>
    <t>hernán pérez sepúlveda</t>
  </si>
  <si>
    <t>Diego Pérez Espinoza</t>
  </si>
  <si>
    <t>die.pérez@servicios.cl</t>
  </si>
  <si>
    <t>her.pérez@sura.cl</t>
  </si>
  <si>
    <t>CLI-0906</t>
  </si>
  <si>
    <t>CLI-0453</t>
  </si>
  <si>
    <t>11.106.386-8</t>
  </si>
  <si>
    <t>20.046.968-0</t>
  </si>
  <si>
    <t>Diego Pérez Rodríguez</t>
  </si>
  <si>
    <t>die.pérez@outlook.cl</t>
  </si>
  <si>
    <t>FERNANDA MUÑOZ DÍAZ</t>
  </si>
  <si>
    <t>fer.muñoz@outlook.cl</t>
  </si>
  <si>
    <t>CLI-0584</t>
  </si>
  <si>
    <t>21.481.289-9</t>
  </si>
  <si>
    <t>Diego Pérez Valenzuela</t>
  </si>
  <si>
    <t>die.pérez@consultora.cl</t>
  </si>
  <si>
    <t>CLI-0582</t>
  </si>
  <si>
    <t>19499949-6</t>
  </si>
  <si>
    <t>Diego Rojas Araya</t>
  </si>
  <si>
    <t>die.rojas@outlook.cl</t>
  </si>
  <si>
    <t>CLI-0472</t>
  </si>
  <si>
    <t>12.218.638-K</t>
  </si>
  <si>
    <t>Diego Rojas Vergara</t>
  </si>
  <si>
    <t>die.rojas@empresa.cl</t>
  </si>
  <si>
    <t>CLI-0456</t>
  </si>
  <si>
    <t>19.321.865-5</t>
  </si>
  <si>
    <t>Gonzalo Espinoza Rojas</t>
  </si>
  <si>
    <t>gon.espinoza@empresa.cl</t>
  </si>
  <si>
    <t>CLI-0936</t>
  </si>
  <si>
    <t>21654314-7</t>
  </si>
  <si>
    <t>Diego Sepúlveda Araya</t>
  </si>
  <si>
    <t>CLI-0457</t>
  </si>
  <si>
    <t>14.530.108-8</t>
  </si>
  <si>
    <t>Paula Morales Muñoz</t>
  </si>
  <si>
    <t>pau.morales@outlook.cl</t>
  </si>
  <si>
    <t>CLI-0458</t>
  </si>
  <si>
    <t>17.556.280-2</t>
  </si>
  <si>
    <t>Gonzalo López Vergara</t>
  </si>
  <si>
    <t>gon.lópez@empresa.cl</t>
  </si>
  <si>
    <t>CLI-0459</t>
  </si>
  <si>
    <t>13.677.685-7</t>
  </si>
  <si>
    <t>Francisca Rodríguez Rodríguez</t>
  </si>
  <si>
    <t>fra.rodríguez@empresa.cl</t>
  </si>
  <si>
    <t>CLI-0460</t>
  </si>
  <si>
    <t>21.978.377-3</t>
  </si>
  <si>
    <t>Javier Fuentes Vergara</t>
  </si>
  <si>
    <t>jav.fuentes@empresa.cl</t>
  </si>
  <si>
    <t>CLI-0461</t>
  </si>
  <si>
    <t>18765805-3</t>
  </si>
  <si>
    <t>loreto muñoz morales</t>
  </si>
  <si>
    <t>lor.muñoz@servicios.cl</t>
  </si>
  <si>
    <t>claudio contreras rodríguez</t>
  </si>
  <si>
    <t>CLI-0463</t>
  </si>
  <si>
    <t>12080467-K</t>
  </si>
  <si>
    <t>Javiera Rodríguez Rojas</t>
  </si>
  <si>
    <t>jav.rodríguez@empresa.cl</t>
  </si>
  <si>
    <t>CLI-0464</t>
  </si>
  <si>
    <t>22.205.910-K</t>
  </si>
  <si>
    <t>Esteban Morales Muñoz</t>
  </si>
  <si>
    <t>est.morales@servicios.cl</t>
  </si>
  <si>
    <t>CLI-0928</t>
  </si>
  <si>
    <t>18.203.480-4</t>
  </si>
  <si>
    <t>Diego Silva Tapia</t>
  </si>
  <si>
    <t>CLI-0465</t>
  </si>
  <si>
    <t>20.227.925-4</t>
  </si>
  <si>
    <t>Loreto Rodríguez Díaz</t>
  </si>
  <si>
    <t>lor.rodríguez@servicios.cl</t>
  </si>
  <si>
    <t>CLI-0846</t>
  </si>
  <si>
    <t>20.607.532-5</t>
  </si>
  <si>
    <t>Diego Soto Muñoz</t>
  </si>
  <si>
    <t>die.soto@sura.cl</t>
  </si>
  <si>
    <t>CLI-0466</t>
  </si>
  <si>
    <t>19.767.846-K</t>
  </si>
  <si>
    <t>Javier Soto Vergara</t>
  </si>
  <si>
    <t>jav.soto@empresa.cl</t>
  </si>
  <si>
    <t>CLI-0826</t>
  </si>
  <si>
    <t>18.309.696-0</t>
  </si>
  <si>
    <t>Diego Soto Soto</t>
  </si>
  <si>
    <t>CLI-0467</t>
  </si>
  <si>
    <t>14.863.931-1</t>
  </si>
  <si>
    <t>Valentina Muñoz Díaz</t>
  </si>
  <si>
    <t>val.muñoz@sura.cl</t>
  </si>
  <si>
    <t>CLI-0746</t>
  </si>
  <si>
    <t>11.365.738-5</t>
  </si>
  <si>
    <t>Diego Valenzuela López</t>
  </si>
  <si>
    <t>die.valenzuela@outlook.cl</t>
  </si>
  <si>
    <t>CLI-0468</t>
  </si>
  <si>
    <t>21.727.277-4</t>
  </si>
  <si>
    <t>Hernán Tapia Espinoza</t>
  </si>
  <si>
    <t>Esteban Araya Pérez</t>
  </si>
  <si>
    <t>CLI-0674</t>
  </si>
  <si>
    <t>11.429.457-0</t>
  </si>
  <si>
    <t>Esteban Araya Rodríguez</t>
  </si>
  <si>
    <t>est.araya@sura.cl</t>
  </si>
  <si>
    <t>CLI-0469</t>
  </si>
  <si>
    <t>12.150.969-1</t>
  </si>
  <si>
    <t>Valentina Silva Pérez</t>
  </si>
  <si>
    <t>val.silva@sura.cl</t>
  </si>
  <si>
    <t>CLI-0796</t>
  </si>
  <si>
    <t>13.248.557-6</t>
  </si>
  <si>
    <t>Esteban Araya Sepúlveda</t>
  </si>
  <si>
    <t>est.araya@gmail.com</t>
  </si>
  <si>
    <t>CLI-0470</t>
  </si>
  <si>
    <t>22.089.634-3</t>
  </si>
  <si>
    <t>MATÍAS VALENZUELA TAPIA</t>
  </si>
  <si>
    <t>CLI-0712</t>
  </si>
  <si>
    <t>12.130.613-7</t>
  </si>
  <si>
    <t>Esteban Contreras Contreras</t>
  </si>
  <si>
    <t>est.contreras@gmail.com</t>
  </si>
  <si>
    <t>CLI-0756</t>
  </si>
  <si>
    <t>22.490.862-3</t>
  </si>
  <si>
    <t>est.contreras@sura.cl</t>
  </si>
  <si>
    <t>CLI-0510</t>
  </si>
  <si>
    <t>13.365.982-4</t>
  </si>
  <si>
    <t>Esteban Contreras Morales</t>
  </si>
  <si>
    <t>est.contreras@servicios.cl</t>
  </si>
  <si>
    <t>CLI-0473</t>
  </si>
  <si>
    <t>21.856.829-7</t>
  </si>
  <si>
    <t>Fernanda Rodríguez Fuentes</t>
  </si>
  <si>
    <t>fer.rodríguez@empresa.cl</t>
  </si>
  <si>
    <t>CLI-0790</t>
  </si>
  <si>
    <t>14.353.927-5</t>
  </si>
  <si>
    <t>Esteban Contreras Pérez</t>
  </si>
  <si>
    <t>CLAUDIO VALENZUELA LÓPEZ</t>
  </si>
  <si>
    <t>CLI-0814</t>
  </si>
  <si>
    <t>22.111.002-6</t>
  </si>
  <si>
    <t>Esteban Contreras Sepúlveda</t>
  </si>
  <si>
    <t>est.contreras@consultora.cl</t>
  </si>
  <si>
    <t>CLI-0475</t>
  </si>
  <si>
    <t>14.508.733-0</t>
  </si>
  <si>
    <t>Marcela Valenzuela Vergara</t>
  </si>
  <si>
    <t>mar.valenzuela@consultora.cl</t>
  </si>
  <si>
    <t>Esteban Díaz Rojas</t>
  </si>
  <si>
    <t>CLI-0476</t>
  </si>
  <si>
    <t>15.017.305-3</t>
  </si>
  <si>
    <t>Javier Soto Silva</t>
  </si>
  <si>
    <t>jav.soto@servicios.cl</t>
  </si>
  <si>
    <t>CLI-0808</t>
  </si>
  <si>
    <t>17.574.755-4</t>
  </si>
  <si>
    <t>CLI-0477</t>
  </si>
  <si>
    <t>est.díaz@servicios.cl</t>
  </si>
  <si>
    <t>14.114.949-7</t>
  </si>
  <si>
    <t>MACARENA ESPINOZA ESPINOZA</t>
  </si>
  <si>
    <t>mac.espinoza@empresa.cl</t>
  </si>
  <si>
    <t>CLI-0478</t>
  </si>
  <si>
    <t>16.919.998-8</t>
  </si>
  <si>
    <t>Matías Soto Vergara</t>
  </si>
  <si>
    <t>mat.soto@gmail.com</t>
  </si>
  <si>
    <t>CLI-0479</t>
  </si>
  <si>
    <t>13.940.643-3</t>
  </si>
  <si>
    <t>CLI-0748</t>
  </si>
  <si>
    <t>Valentina Pérez Espinoza</t>
  </si>
  <si>
    <t>14.151.650-3</t>
  </si>
  <si>
    <t>Esteban González González</t>
  </si>
  <si>
    <t>est.gonzález@servicios.cl</t>
  </si>
  <si>
    <t>CLI-0480</t>
  </si>
  <si>
    <t>17082484-5</t>
  </si>
  <si>
    <t>Gabriel Sepúlveda Araya</t>
  </si>
  <si>
    <t>gab.sepúlveda@empresa.cl</t>
  </si>
  <si>
    <t>Esteban López Soto</t>
  </si>
  <si>
    <t>CLI-0481</t>
  </si>
  <si>
    <t>17530160-K</t>
  </si>
  <si>
    <t>francisca rojas sepúlveda</t>
  </si>
  <si>
    <t>fra.rojas@consultora.cl</t>
  </si>
  <si>
    <t>CLI-0482</t>
  </si>
  <si>
    <t>11.634.869-2</t>
  </si>
  <si>
    <t>Felipe Fuentes Tapia</t>
  </si>
  <si>
    <t>fel.fuentes@empresa.cl</t>
  </si>
  <si>
    <t>CLI-0594</t>
  </si>
  <si>
    <t>11.784.698-7</t>
  </si>
  <si>
    <t>Esteban Muñoz Vergara</t>
  </si>
  <si>
    <t>est.muñoz@servicios.cl</t>
  </si>
  <si>
    <t>CLI-0483</t>
  </si>
  <si>
    <t>19.242.265-4</t>
  </si>
  <si>
    <t>Marcela Díaz Soto</t>
  </si>
  <si>
    <t>mar.díaz@gmail.com</t>
  </si>
  <si>
    <t>CLI-0506</t>
  </si>
  <si>
    <t>15.319.162-9</t>
  </si>
  <si>
    <t>Esteban Rodríguez Morales</t>
  </si>
  <si>
    <t>est.rodríguez@servicios.cl</t>
  </si>
  <si>
    <t>CLI-0484</t>
  </si>
  <si>
    <t>17976596-0</t>
  </si>
  <si>
    <t>Sebastián Fuentes Soto</t>
  </si>
  <si>
    <t>seb.fuentes@sura.cl</t>
  </si>
  <si>
    <t>CLI-0686</t>
  </si>
  <si>
    <t>daniela gonzález vergara</t>
  </si>
  <si>
    <t>18.135.952-3</t>
  </si>
  <si>
    <t>Esteban Sepúlveda Araya</t>
  </si>
  <si>
    <t>est.sepúlveda@sura.cl</t>
  </si>
  <si>
    <t>CLI-0486</t>
  </si>
  <si>
    <t>12653236-K</t>
  </si>
  <si>
    <t>javier rodríguez vergara</t>
  </si>
  <si>
    <t>jav.rodríguez@consultora.cl</t>
  </si>
  <si>
    <t>CLI-0560</t>
  </si>
  <si>
    <t>14.320.931-0</t>
  </si>
  <si>
    <t>Esteban Sepúlveda Morales</t>
  </si>
  <si>
    <t>est.sepúlveda@outlook.cl</t>
  </si>
  <si>
    <t>CLI-0487</t>
  </si>
  <si>
    <t>17.871.403-2</t>
  </si>
  <si>
    <t>Valentina Valenzuela Araya</t>
  </si>
  <si>
    <t>val.valenzuela@gmail.com</t>
  </si>
  <si>
    <t>CLI-0528</t>
  </si>
  <si>
    <t>21.792.962-8</t>
  </si>
  <si>
    <t>Esteban Soto Vergara</t>
  </si>
  <si>
    <t>est.soto@empresa.cl</t>
  </si>
  <si>
    <t>CLI-0488</t>
  </si>
  <si>
    <t>11768210-4</t>
  </si>
  <si>
    <t>TOMAS SOTO GONZÁLEZ</t>
  </si>
  <si>
    <t>tom.soto@outlook.cl</t>
  </si>
  <si>
    <t>CLI-0490</t>
  </si>
  <si>
    <t>20.266.622-8</t>
  </si>
  <si>
    <t>Sebastián López Morales</t>
  </si>
  <si>
    <t>CONSTANZA MORALES LÓPEZ</t>
  </si>
  <si>
    <t>CLI-0492</t>
  </si>
  <si>
    <t>13.317.013-0</t>
  </si>
  <si>
    <t>GONZALO PÉREZ DÍAZ</t>
  </si>
  <si>
    <t>gon.pérez@gmail.com</t>
  </si>
  <si>
    <t>Felipe Araya Sepúlveda</t>
  </si>
  <si>
    <t>CLI-0494</t>
  </si>
  <si>
    <t>12.587.011-9</t>
  </si>
  <si>
    <t>CLI-0908</t>
  </si>
  <si>
    <t>jav.araya@sura.cl</t>
  </si>
  <si>
    <t>17.270.351-4</t>
  </si>
  <si>
    <t>Felipe Contreras Morales</t>
  </si>
  <si>
    <t>fel.contreras@gmail.com</t>
  </si>
  <si>
    <t>andrea lópez rojas</t>
  </si>
  <si>
    <t>CLI-0644</t>
  </si>
  <si>
    <t>18.142.181-5</t>
  </si>
  <si>
    <t>Felipe Contreras Vergara</t>
  </si>
  <si>
    <t>fel.contreras@sura.cl</t>
  </si>
  <si>
    <t>CLI-0496</t>
  </si>
  <si>
    <t>17.187.426-6</t>
  </si>
  <si>
    <t>Hernán Silva Muñoz</t>
  </si>
  <si>
    <t>her.silva@gmail.com</t>
  </si>
  <si>
    <t>Felipe Díaz Rodríguez</t>
  </si>
  <si>
    <t>CLI-0942</t>
  </si>
  <si>
    <t>16.226.884-9</t>
  </si>
  <si>
    <t>Felipe Díaz Soto</t>
  </si>
  <si>
    <t>CLI-0498</t>
  </si>
  <si>
    <t>13.327.454-4</t>
  </si>
  <si>
    <t>Gabriel Vergara Araya</t>
  </si>
  <si>
    <t>gab.vergara@empresa.cl</t>
  </si>
  <si>
    <t>Felipe Díaz Tapia</t>
  </si>
  <si>
    <t>CLI-0652</t>
  </si>
  <si>
    <t>18329058-1</t>
  </si>
  <si>
    <t>Felipe Fuentes Espinoza</t>
  </si>
  <si>
    <t>fel.fuentes@gmail.com</t>
  </si>
  <si>
    <t>CLI-0500</t>
  </si>
  <si>
    <t>15999628-0</t>
  </si>
  <si>
    <t>Rodrigo Soto González</t>
  </si>
  <si>
    <t>camila díaz fuentes</t>
  </si>
  <si>
    <t>CLI-0502</t>
  </si>
  <si>
    <t>14838575-4</t>
  </si>
  <si>
    <t>sebastián araya valenzuela</t>
  </si>
  <si>
    <t>CLI-0656</t>
  </si>
  <si>
    <t>seb.araya@empresa.cl</t>
  </si>
  <si>
    <t>16778493-4</t>
  </si>
  <si>
    <t>Felipe González Fuentes</t>
  </si>
  <si>
    <t>fel.gonzález@servicios.cl</t>
  </si>
  <si>
    <t>CLI-0503</t>
  </si>
  <si>
    <t>18.203.155-2</t>
  </si>
  <si>
    <t>MARCELA PÉREZ LÓPEZ</t>
  </si>
  <si>
    <t>CLI-0504</t>
  </si>
  <si>
    <t>13.117.339-5</t>
  </si>
  <si>
    <t>Tomas González Morales</t>
  </si>
  <si>
    <t>tom.gonzález@empresa.cl</t>
  </si>
  <si>
    <t>CLI-0507</t>
  </si>
  <si>
    <t>17.104.152-7</t>
  </si>
  <si>
    <t>Fernanda Rojas Araya</t>
  </si>
  <si>
    <t>fer.rojas@outlook.cl</t>
  </si>
  <si>
    <t>Felipe González Rojas</t>
  </si>
  <si>
    <t>CLI-0509</t>
  </si>
  <si>
    <t>12.905.286-7</t>
  </si>
  <si>
    <t>PAULA GONZÁLEZ ESPINOZA</t>
  </si>
  <si>
    <t>CLI-0836</t>
  </si>
  <si>
    <t>pau.gonzález@outlook.cl</t>
  </si>
  <si>
    <t>12.232.514-4</t>
  </si>
  <si>
    <t>Felipe Pérez Muñoz</t>
  </si>
  <si>
    <t>Felipe Rodríguez Silva</t>
  </si>
  <si>
    <t>CLI-0511</t>
  </si>
  <si>
    <t>11.837.195-9</t>
  </si>
  <si>
    <t>CLI-0940</t>
  </si>
  <si>
    <t>JAVIERA SEPÚLVEDA SEPÚLVEDA</t>
  </si>
  <si>
    <t>21820682-7</t>
  </si>
  <si>
    <t>Felipe Sepúlveda González</t>
  </si>
  <si>
    <t>fel.sepúlveda@servicios.cl</t>
  </si>
  <si>
    <t>CLI-0512</t>
  </si>
  <si>
    <t>14.590.258-1</t>
  </si>
  <si>
    <t>JAVIER ROJAS ESPINOZA</t>
  </si>
  <si>
    <t>CLI-0568</t>
  </si>
  <si>
    <t>20.692.778-7</t>
  </si>
  <si>
    <t>CAROLINA TAPIA RODRÍGUEZ</t>
  </si>
  <si>
    <t>Felipe Silva Morales</t>
  </si>
  <si>
    <t>fel.silva@outlook.cl</t>
  </si>
  <si>
    <t>CLI-0514</t>
  </si>
  <si>
    <t>19.362.264-8</t>
  </si>
  <si>
    <t>MATÍAS ROJAS RODRÍGUEZ</t>
  </si>
  <si>
    <t>mat.rojas@empresa.cl</t>
  </si>
  <si>
    <t>Felipe Soto Tapia</t>
  </si>
  <si>
    <t>BEATRIZ TAPIA MORALES</t>
  </si>
  <si>
    <t>CLI-0718</t>
  </si>
  <si>
    <t>CLI-0516</t>
  </si>
  <si>
    <t>17847176-8</t>
  </si>
  <si>
    <t>11.685.287-7</t>
  </si>
  <si>
    <t>Felipe Tapia Espinoza</t>
  </si>
  <si>
    <t>Ignacio Pérez Tapia</t>
  </si>
  <si>
    <t>fel.tapia@gmail.com</t>
  </si>
  <si>
    <t>ign.pérez@empresa.cl</t>
  </si>
  <si>
    <t>CLI-0517</t>
  </si>
  <si>
    <t>CLI-0922</t>
  </si>
  <si>
    <t>14.055.883-K</t>
  </si>
  <si>
    <t>12.321.728-6</t>
  </si>
  <si>
    <t>sofia morales gonzález</t>
  </si>
  <si>
    <t>Felipe Tapia Pérez</t>
  </si>
  <si>
    <t>fel.tapia@servicios.cl</t>
  </si>
  <si>
    <t>sof.morales@servicios.cl</t>
  </si>
  <si>
    <t>CLI-0518</t>
  </si>
  <si>
    <t>14.290.806-6</t>
  </si>
  <si>
    <t>gabriel soto valenzuela</t>
  </si>
  <si>
    <t>gab.soto@sura.cl</t>
  </si>
  <si>
    <t>Felipe Valenzuela Sepúlveda</t>
  </si>
  <si>
    <t>CLI-0519</t>
  </si>
  <si>
    <t>20.767.455-0</t>
  </si>
  <si>
    <t>Javiera Díaz Muñoz</t>
  </si>
  <si>
    <t>jav.díaz@servicios.cl</t>
  </si>
  <si>
    <t>CLI-0806</t>
  </si>
  <si>
    <t>13804487-9</t>
  </si>
  <si>
    <t>Felipe Valenzuela Soto</t>
  </si>
  <si>
    <t>fel.valenzuela@consultora.cl</t>
  </si>
  <si>
    <t>CLI-0520</t>
  </si>
  <si>
    <t>11.115.623-8</t>
  </si>
  <si>
    <t>Mauricio Soto Pérez</t>
  </si>
  <si>
    <t>mau.soto@servicios.cl</t>
  </si>
  <si>
    <t>CLI-0590</t>
  </si>
  <si>
    <t>13.658.110-1</t>
  </si>
  <si>
    <t>Felipe Vergara Silva</t>
  </si>
  <si>
    <t>CLI-0521</t>
  </si>
  <si>
    <t>21.373.232-6</t>
  </si>
  <si>
    <t>Marcela Pérez López</t>
  </si>
  <si>
    <t>mar.pérez@sura.cl</t>
  </si>
  <si>
    <t>CLI-0688</t>
  </si>
  <si>
    <t>13155270-5</t>
  </si>
  <si>
    <t>CLI-0522</t>
  </si>
  <si>
    <t>16.734.602-0</t>
  </si>
  <si>
    <t>IGNACIO PÉREZ VERGARA</t>
  </si>
  <si>
    <t>CLI-0523</t>
  </si>
  <si>
    <t>15.160.951-5</t>
  </si>
  <si>
    <t>Paula Silva Rodríguez</t>
  </si>
  <si>
    <t>Felipe Vergara Vergara</t>
  </si>
  <si>
    <t>pau.silva@gmail.com</t>
  </si>
  <si>
    <t>CLI-0524</t>
  </si>
  <si>
    <t>17.279.773-9</t>
  </si>
  <si>
    <t>Sebastián Contreras Sepúlveda</t>
  </si>
  <si>
    <t>seb.contreras@outlook.cl</t>
  </si>
  <si>
    <t>CLI-0875</t>
  </si>
  <si>
    <t>11.419.875-7</t>
  </si>
  <si>
    <t>Fernanda Contreras Araya</t>
  </si>
  <si>
    <t>fer.contreras@sura.cl</t>
  </si>
  <si>
    <t>Fernanda Díaz Valenzuela</t>
  </si>
  <si>
    <t>DANIELA CONTRERAS RODRÍGUEZ</t>
  </si>
  <si>
    <t>CLI-0911</t>
  </si>
  <si>
    <t>21.438.850-4</t>
  </si>
  <si>
    <t>esteban soto vergara</t>
  </si>
  <si>
    <t>CLI-0921</t>
  </si>
  <si>
    <t>18.278.828-4</t>
  </si>
  <si>
    <t>CLI-0530</t>
  </si>
  <si>
    <t>16.210.224-6</t>
  </si>
  <si>
    <t>mau.morales@sura.cl</t>
  </si>
  <si>
    <t>CLI-0531</t>
  </si>
  <si>
    <t>22.006.541-5</t>
  </si>
  <si>
    <t>Loreto Sepúlveda Sepúlveda</t>
  </si>
  <si>
    <t>lor.sepúlveda@sura.cl</t>
  </si>
  <si>
    <t>CLI-0532</t>
  </si>
  <si>
    <t>14.693.736-7</t>
  </si>
  <si>
    <t>Rodrigo Espinoza Vergara</t>
  </si>
  <si>
    <t>rod.espinoza@gmail.com</t>
  </si>
  <si>
    <t>CLI-0533</t>
  </si>
  <si>
    <t>13.968.025-9</t>
  </si>
  <si>
    <t>Francisca Vergara Valenzuela</t>
  </si>
  <si>
    <t>fra.vergara@gmail.com</t>
  </si>
  <si>
    <t>CLI-0534</t>
  </si>
  <si>
    <t>18798805-9</t>
  </si>
  <si>
    <t>hernán espinoza soto</t>
  </si>
  <si>
    <t>her.espinoza@sura.cl</t>
  </si>
  <si>
    <t>CLI-0787</t>
  </si>
  <si>
    <t>13300212-9</t>
  </si>
  <si>
    <t>Fernanda Morales Díaz</t>
  </si>
  <si>
    <t>fer.morales@empresa.cl</t>
  </si>
  <si>
    <t>andrea lópez fuentes</t>
  </si>
  <si>
    <t>Fernanda Morales González</t>
  </si>
  <si>
    <t>CLI-0537</t>
  </si>
  <si>
    <t>18115354-6</t>
  </si>
  <si>
    <t>loreto sepúlveda rojas</t>
  </si>
  <si>
    <t>lor.sepúlveda@outlook.cl</t>
  </si>
  <si>
    <t>CLI-0538</t>
  </si>
  <si>
    <t>11.455.790-3</t>
  </si>
  <si>
    <t>gabriel rojas rojas</t>
  </si>
  <si>
    <t>gab.rojas@outlook.cl</t>
  </si>
  <si>
    <t>Fernanda Muñoz Díaz</t>
  </si>
  <si>
    <t>CLI-0539</t>
  </si>
  <si>
    <t>19.734.827-9</t>
  </si>
  <si>
    <t>francisca valenzuela valenzuela</t>
  </si>
  <si>
    <t>fra.valenzuela@servicios.cl</t>
  </si>
  <si>
    <t>CLI-0540</t>
  </si>
  <si>
    <t>22.221.584-1</t>
  </si>
  <si>
    <t>TOMAS CONTRERAS MUÑOZ</t>
  </si>
  <si>
    <t>tom.contreras@empresa.cl</t>
  </si>
  <si>
    <t>CLI-0541</t>
  </si>
  <si>
    <t>CLI-0821</t>
  </si>
  <si>
    <t>12.665.727-0</t>
  </si>
  <si>
    <t>13935105-3</t>
  </si>
  <si>
    <t>macarena tapia valenzuela</t>
  </si>
  <si>
    <t>Fernanda Muñoz Morales</t>
  </si>
  <si>
    <t>mac.tapia@servicios.cl</t>
  </si>
  <si>
    <t>CLI-0542</t>
  </si>
  <si>
    <t>14.746.278-4</t>
  </si>
  <si>
    <t>TOMAS RODRÍGUEZ MUÑOZ</t>
  </si>
  <si>
    <t>tom.rodríguez@sura.cl</t>
  </si>
  <si>
    <t>CLI-0587</t>
  </si>
  <si>
    <t>21.183.521-3</t>
  </si>
  <si>
    <t>Fernanda Rodríguez Contreras</t>
  </si>
  <si>
    <t>fer.rodríguez@consultora.cl</t>
  </si>
  <si>
    <t>CLI-0544</t>
  </si>
  <si>
    <t>12.308.398-2</t>
  </si>
  <si>
    <t>gabriel lópez vergara</t>
  </si>
  <si>
    <t>CLI-0545</t>
  </si>
  <si>
    <t>11.855.680-0</t>
  </si>
  <si>
    <t>francisca silva rodríguez</t>
  </si>
  <si>
    <t>fra.silva@consultora.cl</t>
  </si>
  <si>
    <t>CLI-0546</t>
  </si>
  <si>
    <t>22262140-4</t>
  </si>
  <si>
    <t>IGNACIO GONZÁLEZ FUENTES</t>
  </si>
  <si>
    <t>ign.gonzález@gmail.com</t>
  </si>
  <si>
    <t>CLI-0917</t>
  </si>
  <si>
    <t>14.121.772-1</t>
  </si>
  <si>
    <t>Fernanda Silva Morales</t>
  </si>
  <si>
    <t>fer.silva@sura.cl</t>
  </si>
  <si>
    <t>CLI-0547</t>
  </si>
  <si>
    <t>11894967-4</t>
  </si>
  <si>
    <t>valentina araya araya</t>
  </si>
  <si>
    <t>CLI-0548</t>
  </si>
  <si>
    <t>11.496.340-5</t>
  </si>
  <si>
    <t>Fernanda Soto Araya</t>
  </si>
  <si>
    <t>Tomas Vergara Rodríguez</t>
  </si>
  <si>
    <t>tom.vergara@gmail.com</t>
  </si>
  <si>
    <t>CLI-0549</t>
  </si>
  <si>
    <t>16714058-4</t>
  </si>
  <si>
    <t>Macarena Sepúlveda Vergara</t>
  </si>
  <si>
    <t>mac.sepúlveda@gmail.com</t>
  </si>
  <si>
    <t>CLI-0855</t>
  </si>
  <si>
    <t>11.035.787-2</t>
  </si>
  <si>
    <t>Fernanda Soto López</t>
  </si>
  <si>
    <t>fer.soto@servicios.cl</t>
  </si>
  <si>
    <t>CLI-0550</t>
  </si>
  <si>
    <t>21.818.532-4</t>
  </si>
  <si>
    <t>Javier Vergara Araya</t>
  </si>
  <si>
    <t>jav.vergara@gmail.com</t>
  </si>
  <si>
    <t>CLI-0825</t>
  </si>
  <si>
    <t>20.481.881-6</t>
  </si>
  <si>
    <t>Fernanda Soto Rodríguez</t>
  </si>
  <si>
    <t>fer.soto@outlook.cl</t>
  </si>
  <si>
    <t>CLI-0551</t>
  </si>
  <si>
    <t>16.677.110-8</t>
  </si>
  <si>
    <t>Sofia Espinoza Pérez</t>
  </si>
  <si>
    <t>sof.espinoza@sura.cl</t>
  </si>
  <si>
    <t>CLI-0552</t>
  </si>
  <si>
    <t>CLI-0577</t>
  </si>
  <si>
    <t>13.503.749-2</t>
  </si>
  <si>
    <t>16.299.256-3</t>
  </si>
  <si>
    <t>gonzalo silva silva</t>
  </si>
  <si>
    <t>Fernanda Soto Tapia</t>
  </si>
  <si>
    <t>gon.silva@gmail.com</t>
  </si>
  <si>
    <t>fer.soto@empresa.cl</t>
  </si>
  <si>
    <t>CLI-0827</t>
  </si>
  <si>
    <t>20813557-K</t>
  </si>
  <si>
    <t>Fernanda Tapia Fuentes</t>
  </si>
  <si>
    <t>fer.tapia@servicios.cl</t>
  </si>
  <si>
    <t>CLI-0554</t>
  </si>
  <si>
    <t>18349367-1</t>
  </si>
  <si>
    <t>Mauricio Rodríguez Sepúlveda</t>
  </si>
  <si>
    <t>CLI-0663</t>
  </si>
  <si>
    <t>21.645.631-9</t>
  </si>
  <si>
    <t>Fernanda Tapia Rodríguez</t>
  </si>
  <si>
    <t>CLI-0555</t>
  </si>
  <si>
    <t>17.658.967-3</t>
  </si>
  <si>
    <t>francisca gonzález espinoza</t>
  </si>
  <si>
    <t>fra.gonzález@outlook.cl</t>
  </si>
  <si>
    <t>CLI-0556</t>
  </si>
  <si>
    <t>19427433-5</t>
  </si>
  <si>
    <t>gonzalo vergara rojas</t>
  </si>
  <si>
    <t>gon.vergara@consultora.cl</t>
  </si>
  <si>
    <t>CLI-0687</t>
  </si>
  <si>
    <t>14.683.944-7</t>
  </si>
  <si>
    <t>Fernanda Valenzuela Muñoz</t>
  </si>
  <si>
    <t>fer.valenzuela@gmail.com</t>
  </si>
  <si>
    <t>cristián lópez vergara</t>
  </si>
  <si>
    <t>catalina araya morales</t>
  </si>
  <si>
    <t>Francisca Araya López</t>
  </si>
  <si>
    <t>CLI-0603</t>
  </si>
  <si>
    <t>15.504.619-7</t>
  </si>
  <si>
    <t>Francisca Araya Sepúlveda</t>
  </si>
  <si>
    <t>CLAUDIO SILVA GONZÁLEZ</t>
  </si>
  <si>
    <t>CLI-0739</t>
  </si>
  <si>
    <t>21.664.994-6</t>
  </si>
  <si>
    <t>Francisca Contreras Vergara</t>
  </si>
  <si>
    <t>fra.contreras@consultora.cl</t>
  </si>
  <si>
    <t>CLI-0564</t>
  </si>
  <si>
    <t>13.044.924-9</t>
  </si>
  <si>
    <t>gon.araya@gmail.com</t>
  </si>
  <si>
    <t>CLI-0565</t>
  </si>
  <si>
    <t>20.589.402-2</t>
  </si>
  <si>
    <t>LORETO SILVA ARAYA</t>
  </si>
  <si>
    <t>lor.silva@gmail.com</t>
  </si>
  <si>
    <t>CLI-0755</t>
  </si>
  <si>
    <t>20.274.430-9</t>
  </si>
  <si>
    <t>Francisca Díaz González</t>
  </si>
  <si>
    <t>CLI-0566</t>
  </si>
  <si>
    <t>fra.díaz@outlook.cl</t>
  </si>
  <si>
    <t>18.519.776-2</t>
  </si>
  <si>
    <t>Ignacio Araya Rojas</t>
  </si>
  <si>
    <t>ign.araya@servicios.cl</t>
  </si>
  <si>
    <t>CLI-0569</t>
  </si>
  <si>
    <t>12.592.312-3</t>
  </si>
  <si>
    <t>MARCELA MORALES RODRÍGUEZ</t>
  </si>
  <si>
    <t>Francisca González Espinoza</t>
  </si>
  <si>
    <t>mar.morales@empresa.cl</t>
  </si>
  <si>
    <t>ÁLVARO TAPIA MORALES</t>
  </si>
  <si>
    <t>Francisca López Díaz</t>
  </si>
  <si>
    <t>CLI-0945</t>
  </si>
  <si>
    <t>14.307.016-8</t>
  </si>
  <si>
    <t>Francisca López Sepúlveda</t>
  </si>
  <si>
    <t>fra.lópez@gmail.com</t>
  </si>
  <si>
    <t>CLI-0572</t>
  </si>
  <si>
    <t>20.122.214-9</t>
  </si>
  <si>
    <t>TOMAS SILVA SOTO</t>
  </si>
  <si>
    <t>tom.silva@outlook.cl</t>
  </si>
  <si>
    <t>CLI-0863</t>
  </si>
  <si>
    <t>18.171.355-0</t>
  </si>
  <si>
    <t>Francisca Morales Espinoza</t>
  </si>
  <si>
    <t>fra.morales@empresa.cl</t>
  </si>
  <si>
    <t>CLI-0573</t>
  </si>
  <si>
    <t>16510482-0</t>
  </si>
  <si>
    <t>LORETO ARAYA PÉREZ</t>
  </si>
  <si>
    <t>lor.araya@sura.cl</t>
  </si>
  <si>
    <t>CLI-0649</t>
  </si>
  <si>
    <t>CLI-0574</t>
  </si>
  <si>
    <t>18554186-9</t>
  </si>
  <si>
    <t>Francisca Morales Fuentes</t>
  </si>
  <si>
    <t>18.156.584-1</t>
  </si>
  <si>
    <t>fra.morales@gmail.com</t>
  </si>
  <si>
    <t>rodrigo soto sepúlveda</t>
  </si>
  <si>
    <t>rod.soto@sura.cl</t>
  </si>
  <si>
    <t>BEATRIZ SILVA DÍAZ</t>
  </si>
  <si>
    <t>Francisca Muñoz Sepúlveda</t>
  </si>
  <si>
    <t>fernanda soto tapia</t>
  </si>
  <si>
    <t>CLI-0607</t>
  </si>
  <si>
    <t>13.781.787-4</t>
  </si>
  <si>
    <t>Francisca Muñoz Soto</t>
  </si>
  <si>
    <t>fra.muñoz@gmail.com</t>
  </si>
  <si>
    <t>CLI-0578</t>
  </si>
  <si>
    <t>18.129.373-8</t>
  </si>
  <si>
    <t>Mauricio Contreras Valenzuela</t>
  </si>
  <si>
    <t>mau.contreras@outlook.cl</t>
  </si>
  <si>
    <t>Francisca Pérez Tapia</t>
  </si>
  <si>
    <t>CLI-0579</t>
  </si>
  <si>
    <t>16.779.465-4</t>
  </si>
  <si>
    <t>sofia lópez muñoz</t>
  </si>
  <si>
    <t>sof.lópez@consultora.cl</t>
  </si>
  <si>
    <t>CLI-0581</t>
  </si>
  <si>
    <t>17.882.605-5</t>
  </si>
  <si>
    <t>CLI-0580</t>
  </si>
  <si>
    <t>Francisca Pérez Valenzuela</t>
  </si>
  <si>
    <t>20.920.402-8</t>
  </si>
  <si>
    <t>fra.pérez@consultora.cl</t>
  </si>
  <si>
    <t>Matías Fuentes Araya</t>
  </si>
  <si>
    <t>mat.fuentes@servicios.cl</t>
  </si>
  <si>
    <t>francisca pérez valenzuela</t>
  </si>
  <si>
    <t>DIEGO ROJAS ARAYA</t>
  </si>
  <si>
    <t>CLI-0583</t>
  </si>
  <si>
    <t>Francisca Rojas Sepúlveda</t>
  </si>
  <si>
    <t>17.018.530-4</t>
  </si>
  <si>
    <t>Loreto Espinoza Soto</t>
  </si>
  <si>
    <t>lor.espinoza@servicios.cl</t>
  </si>
  <si>
    <t>DIEGO PÉREZ VALENZUELA</t>
  </si>
  <si>
    <t>CLI-0801</t>
  </si>
  <si>
    <t>13.023.527-6</t>
  </si>
  <si>
    <t>Francisca Rojas Valenzuela</t>
  </si>
  <si>
    <t>fra.rojas@sura.cl</t>
  </si>
  <si>
    <t>CLI-0585</t>
  </si>
  <si>
    <t>14.609.189-2</t>
  </si>
  <si>
    <t>Paula López González</t>
  </si>
  <si>
    <t>pau.lópez@sura.cl</t>
  </si>
  <si>
    <t>DIEGO ESPINOZA SILVA</t>
  </si>
  <si>
    <t>fernanda rodríguez contreras</t>
  </si>
  <si>
    <t>CLI-0683</t>
  </si>
  <si>
    <t>17.993.339-9</t>
  </si>
  <si>
    <t>Francisca Silva Contreras</t>
  </si>
  <si>
    <t>CLI-0589</t>
  </si>
  <si>
    <t>20.901.942-9</t>
  </si>
  <si>
    <t>paula pérez morales</t>
  </si>
  <si>
    <t>pau.pérez@outlook.cl</t>
  </si>
  <si>
    <t>felipe vergara silva</t>
  </si>
  <si>
    <t>CONSTANZA FUENTES CONTRERAS</t>
  </si>
  <si>
    <t>Francisca Silva Rodríguez</t>
  </si>
  <si>
    <t>CLI-0592</t>
  </si>
  <si>
    <t>20.942.549-4</t>
  </si>
  <si>
    <t>Sebastián Pérez Contreras</t>
  </si>
  <si>
    <t>seb.pérez@empresa.cl</t>
  </si>
  <si>
    <t>CLI-0593</t>
  </si>
  <si>
    <t>18.506.049-K</t>
  </si>
  <si>
    <t>MACARENA SEPÚLVEDA DÍAZ</t>
  </si>
  <si>
    <t>CLI-0781</t>
  </si>
  <si>
    <t>17516727-7</t>
  </si>
  <si>
    <t>Francisca Silva Rojas</t>
  </si>
  <si>
    <t>carolina soto espinoza</t>
  </si>
  <si>
    <t>CLI-0596</t>
  </si>
  <si>
    <t>15.835.786-0</t>
  </si>
  <si>
    <t>ignacio lópez morales</t>
  </si>
  <si>
    <t>ign.lópez@outlook.cl</t>
  </si>
  <si>
    <t>Francisca Soto Soto</t>
  </si>
  <si>
    <t>CLI-0598</t>
  </si>
  <si>
    <t>CLI-0923</t>
  </si>
  <si>
    <t>22.427.853-5</t>
  </si>
  <si>
    <t>12.065.869-K</t>
  </si>
  <si>
    <t>mauricio tapia pérez</t>
  </si>
  <si>
    <t>Francisca Tapia González</t>
  </si>
  <si>
    <t>mau.tapia@outlook.cl</t>
  </si>
  <si>
    <t>fra.tapia@servicios.cl</t>
  </si>
  <si>
    <t>CLI-0599</t>
  </si>
  <si>
    <t>15101992-1</t>
  </si>
  <si>
    <t>macarena díaz vergara</t>
  </si>
  <si>
    <t>mac.díaz@consultora.cl</t>
  </si>
  <si>
    <t>CLI-0903</t>
  </si>
  <si>
    <t>15.161.567-7</t>
  </si>
  <si>
    <t>Francisca Tapia Tapia</t>
  </si>
  <si>
    <t>fra.tapia@empresa.cl</t>
  </si>
  <si>
    <t>CLAUDIO GONZÁLEZ SILVA</t>
  </si>
  <si>
    <t>CLI-0601</t>
  </si>
  <si>
    <t>16.406.929-5</t>
  </si>
  <si>
    <t>Macarena Tapia Silva</t>
  </si>
  <si>
    <t>CLI-0602</t>
  </si>
  <si>
    <t>16.363.883-7</t>
  </si>
  <si>
    <t>Ignacio Rodríguez Araya</t>
  </si>
  <si>
    <t>ign.rodríguez@sura.cl</t>
  </si>
  <si>
    <t>CLI-0841</t>
  </si>
  <si>
    <t>11085741-5</t>
  </si>
  <si>
    <t>Francisca Valenzuela Rodríguez</t>
  </si>
  <si>
    <t>fra.valenzuela@empresa.cl</t>
  </si>
  <si>
    <t>francisca araya sepúlveda</t>
  </si>
  <si>
    <t>Francisca Valenzuela Tapia</t>
  </si>
  <si>
    <t>CLI-0605</t>
  </si>
  <si>
    <t>17476191-4</t>
  </si>
  <si>
    <t>Sofia Muñoz Soto</t>
  </si>
  <si>
    <t>sof.muñoz@outlook.cl</t>
  </si>
  <si>
    <t>Francisca Valenzuela Valenzuela</t>
  </si>
  <si>
    <t>CLI-0606</t>
  </si>
  <si>
    <t>11.329.226-8</t>
  </si>
  <si>
    <t>Tomas Soto Pérez</t>
  </si>
  <si>
    <t>tom.soto@gmail.com</t>
  </si>
  <si>
    <t>CLI-0608</t>
  </si>
  <si>
    <t>14857626-1</t>
  </si>
  <si>
    <t>gabriel silva espinoza</t>
  </si>
  <si>
    <t>gab.silva@empresa.cl</t>
  </si>
  <si>
    <t>Gabriel Araya González</t>
  </si>
  <si>
    <t>ÁLVARO SEPÚLVEDA LÓPEZ</t>
  </si>
  <si>
    <t>CLI-0640</t>
  </si>
  <si>
    <t>15623137-7</t>
  </si>
  <si>
    <t>Gabriel Araya Rojas</t>
  </si>
  <si>
    <t>gab.araya@servicios.cl</t>
  </si>
  <si>
    <t>catalina soto espinoza</t>
  </si>
  <si>
    <t>CLI-0612</t>
  </si>
  <si>
    <t>20639838-0</t>
  </si>
  <si>
    <t>Ignacio Díaz González</t>
  </si>
  <si>
    <t>ign.díaz@outlook.cl</t>
  </si>
  <si>
    <t>CLI-0613</t>
  </si>
  <si>
    <t>22.276.530-K</t>
  </si>
  <si>
    <t>VALENTINA ROJAS GONZÁLEZ</t>
  </si>
  <si>
    <t>CLI-0828</t>
  </si>
  <si>
    <t>val.rojas@gmail.com</t>
  </si>
  <si>
    <t>22.414.645-5</t>
  </si>
  <si>
    <t>Gabriel Contreras Morales</t>
  </si>
  <si>
    <t>CLI-0614</t>
  </si>
  <si>
    <t>21.648.841-5</t>
  </si>
  <si>
    <t>GONZALO ESPINOZA VERGARA</t>
  </si>
  <si>
    <t>gon.espinoza@servicios.cl</t>
  </si>
  <si>
    <t>Gabriel Contreras Soto</t>
  </si>
  <si>
    <t>CLI-0710</t>
  </si>
  <si>
    <t>14.033.341-K</t>
  </si>
  <si>
    <t>Gabriel Díaz Valenzuela</t>
  </si>
  <si>
    <t>gab.díaz@sura.cl</t>
  </si>
  <si>
    <t>constanza silva gonzález</t>
  </si>
  <si>
    <t>CLI-0670</t>
  </si>
  <si>
    <t>13.199.497-2</t>
  </si>
  <si>
    <t>Gabriel Espinoza Araya</t>
  </si>
  <si>
    <t>gab.espinoza@outlook.cl</t>
  </si>
  <si>
    <t>CLI-0617</t>
  </si>
  <si>
    <t>22.488.731-4</t>
  </si>
  <si>
    <t>Macarena Soto Araya</t>
  </si>
  <si>
    <t>CLI-0798</t>
  </si>
  <si>
    <t>13959448-7</t>
  </si>
  <si>
    <t>gab.espinoza@empresa.cl</t>
  </si>
  <si>
    <t>CLI-0618</t>
  </si>
  <si>
    <t>16358929-4</t>
  </si>
  <si>
    <t>Matías Muñoz Rodríguez</t>
  </si>
  <si>
    <t>mat.muñoz@consultora.cl</t>
  </si>
  <si>
    <t>CLI-0856</t>
  </si>
  <si>
    <t>15.379.306-8</t>
  </si>
  <si>
    <t>Gabriel Espinoza Vergara</t>
  </si>
  <si>
    <t>CLI-0619</t>
  </si>
  <si>
    <t>14.214.378-9</t>
  </si>
  <si>
    <t>Marcela Espinoza Valenzuela</t>
  </si>
  <si>
    <t>mar.espinoza@consultora.cl</t>
  </si>
  <si>
    <t>CLI-0620</t>
  </si>
  <si>
    <t>11.590.111-7</t>
  </si>
  <si>
    <t>Gonzalo Muñoz Sepúlveda</t>
  </si>
  <si>
    <t>gon.muñoz@consultora.cl</t>
  </si>
  <si>
    <t>CLI-0621</t>
  </si>
  <si>
    <t>17.415.100-2</t>
  </si>
  <si>
    <t>Marcela Valenzuela González</t>
  </si>
  <si>
    <t>mar.valenzuela@sura.cl</t>
  </si>
  <si>
    <t>CLI-0820</t>
  </si>
  <si>
    <t>12.811.449-9</t>
  </si>
  <si>
    <t>Gabriel González Silva</t>
  </si>
  <si>
    <t>gab.gonzález@outlook.cl</t>
  </si>
  <si>
    <t>CLI-0920</t>
  </si>
  <si>
    <t>21.392.014-3</t>
  </si>
  <si>
    <t>Gabriel González Tapia</t>
  </si>
  <si>
    <t>gab.gonzález@empresa.cl</t>
  </si>
  <si>
    <t>CLI-0624</t>
  </si>
  <si>
    <t>22.290.123-7</t>
  </si>
  <si>
    <t>Sebastián Valenzuela Morales</t>
  </si>
  <si>
    <t>seb.valenzuela@sura.cl</t>
  </si>
  <si>
    <t>Gabriel López Contreras</t>
  </si>
  <si>
    <t>CLI-0625</t>
  </si>
  <si>
    <t>13.738.328-0</t>
  </si>
  <si>
    <t>SOFIA TAPIA ESPINOZA</t>
  </si>
  <si>
    <t>sof.tapia@outlook.cl</t>
  </si>
  <si>
    <t>CLI-0626</t>
  </si>
  <si>
    <t>18.314.224-8</t>
  </si>
  <si>
    <t>Gonzalo Silva Silva</t>
  </si>
  <si>
    <t>gon.silva@consultora.cl</t>
  </si>
  <si>
    <t>CLI-0704</t>
  </si>
  <si>
    <t>18.102.378-1</t>
  </si>
  <si>
    <t>Gabriel López Rodríguez</t>
  </si>
  <si>
    <t>gab.lópez@consultora.cl</t>
  </si>
  <si>
    <t>CLI-0628</t>
  </si>
  <si>
    <t>18.077.884-K</t>
  </si>
  <si>
    <t>tomas muñoz valenzuela</t>
  </si>
  <si>
    <t>tom.muñoz@gmail.com</t>
  </si>
  <si>
    <t>CLI-0854</t>
  </si>
  <si>
    <t>18.005.566-2</t>
  </si>
  <si>
    <t>Gabriel López Soto</t>
  </si>
  <si>
    <t>catalina valenzuela valenzuela</t>
  </si>
  <si>
    <t>cristián espinoza muñoz</t>
  </si>
  <si>
    <t>catalina muñoz araya</t>
  </si>
  <si>
    <t>CLI-0632</t>
  </si>
  <si>
    <t>20.604.176-8</t>
  </si>
  <si>
    <t>Mauricio Muñoz Espinoza</t>
  </si>
  <si>
    <t>mau.muñoz@consultora.cl</t>
  </si>
  <si>
    <t>CLI-0633</t>
  </si>
  <si>
    <t>20201217-7</t>
  </si>
  <si>
    <t>Macarena López López</t>
  </si>
  <si>
    <t>mac.lópez@servicios.cl</t>
  </si>
  <si>
    <t>cristián silva lópez</t>
  </si>
  <si>
    <t>andrea morales soto</t>
  </si>
  <si>
    <t>CLI-0636</t>
  </si>
  <si>
    <t>21.472.222-2</t>
  </si>
  <si>
    <t>Ignacio López Soto</t>
  </si>
  <si>
    <t>ign.lópez@empresa.cl</t>
  </si>
  <si>
    <t>CLI-0638</t>
  </si>
  <si>
    <t>12882211-1</t>
  </si>
  <si>
    <t>jav.soto@consultora.cl</t>
  </si>
  <si>
    <t>CLI-0639</t>
  </si>
  <si>
    <t>15.054.974-8</t>
  </si>
  <si>
    <t>VALENTINA CONTRERAS DÍAZ</t>
  </si>
  <si>
    <t>val.contreras@outlook.cl</t>
  </si>
  <si>
    <t>gabriel araya rojas</t>
  </si>
  <si>
    <t>beatriz contreras gonzález</t>
  </si>
  <si>
    <t>CLI-0642</t>
  </si>
  <si>
    <t>21.871.275-1</t>
  </si>
  <si>
    <t>MATÍAS CONTRERAS SEPÚLVEDA</t>
  </si>
  <si>
    <t>mat.contreras@outlook.cl</t>
  </si>
  <si>
    <t>Gabriel Pérez Morales</t>
  </si>
  <si>
    <t>CLI-0643</t>
  </si>
  <si>
    <t>21.504.667-4</t>
  </si>
  <si>
    <t>macarena pérez sepúlveda</t>
  </si>
  <si>
    <t>mac.pérez@servicios.cl</t>
  </si>
  <si>
    <t>CLI-0645</t>
  </si>
  <si>
    <t>17.118.066-0</t>
  </si>
  <si>
    <t>Loreto Espinoza González</t>
  </si>
  <si>
    <t>lor.espinoza@empresa.cl</t>
  </si>
  <si>
    <t>CLI-0904</t>
  </si>
  <si>
    <t>13.031.041-5</t>
  </si>
  <si>
    <t>Gabriel Rojas Muñoz</t>
  </si>
  <si>
    <t>gab.rojas@servicios.cl</t>
  </si>
  <si>
    <t>CLI-0646</t>
  </si>
  <si>
    <t>17.267.663-1</t>
  </si>
  <si>
    <t>CLI-0647</t>
  </si>
  <si>
    <t>18.312.634-3</t>
  </si>
  <si>
    <t>Paula Rojas López</t>
  </si>
  <si>
    <t>Gabriel Rojas Rojas</t>
  </si>
  <si>
    <t>CLI-0648</t>
  </si>
  <si>
    <t>14.557.496-K</t>
  </si>
  <si>
    <t>Hernán Rodríguez Contreras</t>
  </si>
  <si>
    <t>her.rodríguez@consultora.cl</t>
  </si>
  <si>
    <t>CLI-0950</t>
  </si>
  <si>
    <t>18127374-3</t>
  </si>
  <si>
    <t>Gabriel Rojas Tapia</t>
  </si>
  <si>
    <t>gab.rojas@sura.cl</t>
  </si>
  <si>
    <t>CLI-0650</t>
  </si>
  <si>
    <t>12.365.915-7</t>
  </si>
  <si>
    <t>Tomas Rodríguez Araya</t>
  </si>
  <si>
    <t>tom.rodríguez@servicios.cl</t>
  </si>
  <si>
    <t>CLI-0653</t>
  </si>
  <si>
    <t>20.008.964-3</t>
  </si>
  <si>
    <t>Javiera Díaz Silva</t>
  </si>
  <si>
    <t>jav.díaz@gmail.com</t>
  </si>
  <si>
    <t>CLI-0872</t>
  </si>
  <si>
    <t>20.385.314-8</t>
  </si>
  <si>
    <t>Gabriel Sepúlveda Pérez</t>
  </si>
  <si>
    <t>gab.sepúlveda@sura.cl</t>
  </si>
  <si>
    <t>CLI-0654</t>
  </si>
  <si>
    <t>15.566.692-2</t>
  </si>
  <si>
    <t>IGNACIO DÍAZ CONTRERAS</t>
  </si>
  <si>
    <t>ign.díaz@sura.cl</t>
  </si>
  <si>
    <t>CLI-0655</t>
  </si>
  <si>
    <t>15.201.661-9</t>
  </si>
  <si>
    <t>sofia sepúlveda muñoz</t>
  </si>
  <si>
    <t>sof.sepúlveda@outlook.cl</t>
  </si>
  <si>
    <t>Gabriel Silva Espinoza</t>
  </si>
  <si>
    <t>CLI-0658</t>
  </si>
  <si>
    <t>19.527.046-6</t>
  </si>
  <si>
    <t>matías muñoz fuentes</t>
  </si>
  <si>
    <t>mat.muñoz@gmail.com</t>
  </si>
  <si>
    <t>CLI-0902</t>
  </si>
  <si>
    <t>18.433.263-3</t>
  </si>
  <si>
    <t>Gabriel Silva Morales</t>
  </si>
  <si>
    <t>CLI-0661</t>
  </si>
  <si>
    <t>15.955.249-4</t>
  </si>
  <si>
    <t>PAULA VALENZUELA VALENZUELA</t>
  </si>
  <si>
    <t>pau.valenzuela@gmail.com</t>
  </si>
  <si>
    <t>CLI-0662</t>
  </si>
  <si>
    <t>11.347.095-9</t>
  </si>
  <si>
    <t>Ignacio Silva Díaz</t>
  </si>
  <si>
    <t>Gabriel Soto Valenzuela</t>
  </si>
  <si>
    <t>claudio gonzález morales</t>
  </si>
  <si>
    <t>catalina silva rodríguez</t>
  </si>
  <si>
    <t>CLI-0667</t>
  </si>
  <si>
    <t>19125938-9</t>
  </si>
  <si>
    <t>MACARENA PÉREZ DÍAZ</t>
  </si>
  <si>
    <t>CLI-0669</t>
  </si>
  <si>
    <t>15.607.588-8</t>
  </si>
  <si>
    <t>marcela araya pérez</t>
  </si>
  <si>
    <t>mar.araya@gmail.com</t>
  </si>
  <si>
    <t>gabriel espinoza araya</t>
  </si>
  <si>
    <t>CLI-0726</t>
  </si>
  <si>
    <t>21921753-0</t>
  </si>
  <si>
    <t>Gonzalo Contreras González</t>
  </si>
  <si>
    <t>gon.contreras@gmail.com</t>
  </si>
  <si>
    <t>CLI-0672</t>
  </si>
  <si>
    <t>22.117.907-7</t>
  </si>
  <si>
    <t>Rodrigo Contreras Sepúlveda</t>
  </si>
  <si>
    <t>CLI-0673</t>
  </si>
  <si>
    <t>18.786.048-7</t>
  </si>
  <si>
    <t>Macarena Sepúlveda Sepúlveda</t>
  </si>
  <si>
    <t>mac.sepúlveda@consultora.cl</t>
  </si>
  <si>
    <t>CLI-0722</t>
  </si>
  <si>
    <t>14557116-9</t>
  </si>
  <si>
    <t>Gonzalo Díaz Tapia</t>
  </si>
  <si>
    <t>gon.díaz@gmail.com</t>
  </si>
  <si>
    <t>catalina díaz sepúlveda</t>
  </si>
  <si>
    <t>CLI-0676</t>
  </si>
  <si>
    <t>14186186-0</t>
  </si>
  <si>
    <t>mauricio gonzález lópez</t>
  </si>
  <si>
    <t>mau.gonzález@consultora.cl</t>
  </si>
  <si>
    <t>CLI-0677</t>
  </si>
  <si>
    <t>15399265-1</t>
  </si>
  <si>
    <t>Valentina Pérez López</t>
  </si>
  <si>
    <t>Gonzalo Espinoza Vergara</t>
  </si>
  <si>
    <t>CLI-0678</t>
  </si>
  <si>
    <t>15.831.076-1</t>
  </si>
  <si>
    <t>TOMAS MUÑOZ PÉREZ</t>
  </si>
  <si>
    <t>tom.muñoz@servicios.cl</t>
  </si>
  <si>
    <t>CLI-0679</t>
  </si>
  <si>
    <t>16.870.633-5</t>
  </si>
  <si>
    <t>Loreto Morales Díaz</t>
  </si>
  <si>
    <t>CLI-0912</t>
  </si>
  <si>
    <t>19606324-6</t>
  </si>
  <si>
    <t>Gonzalo Fuentes Silva</t>
  </si>
  <si>
    <t>gon.fuentes@sura.cl</t>
  </si>
  <si>
    <t>CLI-0680</t>
  </si>
  <si>
    <t>12.277.419-6</t>
  </si>
  <si>
    <t>Mauricio Espinoza Pérez</t>
  </si>
  <si>
    <t>mau.espinoza@empresa.cl</t>
  </si>
  <si>
    <t>CLI-0681</t>
  </si>
  <si>
    <t>14317116-3</t>
  </si>
  <si>
    <t>marcela espinoza rodríguez</t>
  </si>
  <si>
    <t>mar.espinoza@empresa.cl</t>
  </si>
  <si>
    <t>CRISTIÁN GONZÁLEZ MUÑOZ</t>
  </si>
  <si>
    <t>francisca silva contreras</t>
  </si>
  <si>
    <t>beatriz tapia tapia</t>
  </si>
  <si>
    <t>CLI-0690</t>
  </si>
  <si>
    <t>14.660.453-8</t>
  </si>
  <si>
    <t>Matías Vergara Soto</t>
  </si>
  <si>
    <t>mat.vergara@sura.cl</t>
  </si>
  <si>
    <t>Gonzalo Pérez Díaz</t>
  </si>
  <si>
    <t>CLI-0691</t>
  </si>
  <si>
    <t>16286124-6</t>
  </si>
  <si>
    <t>Javiera Muñoz Rodríguez</t>
  </si>
  <si>
    <t>jav.muñoz@gmail.com</t>
  </si>
  <si>
    <t>Gonzalo Pérez Morales</t>
  </si>
  <si>
    <t>CLI-0760</t>
  </si>
  <si>
    <t>14.269.683-0</t>
  </si>
  <si>
    <t>Gonzalo Rojas Fuentes</t>
  </si>
  <si>
    <t>gon.rojas@gmail.com</t>
  </si>
  <si>
    <t>CLI-0694</t>
  </si>
  <si>
    <t>16050608-1</t>
  </si>
  <si>
    <t>Sebastián Valenzuela Rojas</t>
  </si>
  <si>
    <t>Gonzalo Rojas Soto</t>
  </si>
  <si>
    <t>CLI-0695</t>
  </si>
  <si>
    <t>22.064.179-3</t>
  </si>
  <si>
    <t>Sofia Rodríguez Vergara</t>
  </si>
  <si>
    <t>sof.rodríguez@servicios.cl</t>
  </si>
  <si>
    <t>CLI-0696</t>
  </si>
  <si>
    <t>19.743.139-4</t>
  </si>
  <si>
    <t>RODRIGO FUENTES VERGARA</t>
  </si>
  <si>
    <t>CLI-0700</t>
  </si>
  <si>
    <t>19062672-8</t>
  </si>
  <si>
    <t>mauricio gonzález silva</t>
  </si>
  <si>
    <t>mau.gonzález@outlook.cl</t>
  </si>
  <si>
    <t>CLI-0954</t>
  </si>
  <si>
    <t>11515221-6</t>
  </si>
  <si>
    <t>Gonzalo Soto Pérez</t>
  </si>
  <si>
    <t>gon.soto@gmail.com</t>
  </si>
  <si>
    <t>diego pérez espinoza</t>
  </si>
  <si>
    <t>CLI-0874</t>
  </si>
  <si>
    <t>19.070.577-K</t>
  </si>
  <si>
    <t>Gonzalo Soto Soto</t>
  </si>
  <si>
    <t>gon.soto@outlook.cl</t>
  </si>
  <si>
    <t>CLI-0703</t>
  </si>
  <si>
    <t>17006297-5</t>
  </si>
  <si>
    <t>macarena rojas vergara</t>
  </si>
  <si>
    <t>mac.rojas@gmail.com</t>
  </si>
  <si>
    <t>CLI-0705</t>
  </si>
  <si>
    <t>13.137.317-K</t>
  </si>
  <si>
    <t>marcela fuentes rodríguez</t>
  </si>
  <si>
    <t>mar.fuentes@sura.cl</t>
  </si>
  <si>
    <t>CLI-0706</t>
  </si>
  <si>
    <t>20670432-3</t>
  </si>
  <si>
    <t>Rodrigo Silva González</t>
  </si>
  <si>
    <t>rod.silva@gmail.com</t>
  </si>
  <si>
    <t>CLI-0774</t>
  </si>
  <si>
    <t>19.972.651-K</t>
  </si>
  <si>
    <t>Gonzalo Vergara Araya</t>
  </si>
  <si>
    <t>gon.vergara@servicios.cl</t>
  </si>
  <si>
    <t>CLI-0707</t>
  </si>
  <si>
    <t>21.668.331-2</t>
  </si>
  <si>
    <t>MACARENA TAPIA RODRÍGUEZ</t>
  </si>
  <si>
    <t>Gonzalo Vergara Rojas</t>
  </si>
  <si>
    <t>camila morales sepúlveda</t>
  </si>
  <si>
    <t>CLI-0711</t>
  </si>
  <si>
    <t>13.292.673-5</t>
  </si>
  <si>
    <t>JAVIERA SOTO LÓPEZ</t>
  </si>
  <si>
    <t>CLI-0804</t>
  </si>
  <si>
    <t>21.702.391-4</t>
  </si>
  <si>
    <t>Hernán Araya Fuentes</t>
  </si>
  <si>
    <t>her.araya@empresa.cl</t>
  </si>
  <si>
    <t>constanza rodríguez morales</t>
  </si>
  <si>
    <t>CLI-0730</t>
  </si>
  <si>
    <t>16460400-8</t>
  </si>
  <si>
    <t>Hernán Araya Silva</t>
  </si>
  <si>
    <t>her.araya@outlook.cl</t>
  </si>
  <si>
    <t>CLI-0714</t>
  </si>
  <si>
    <t>21929445-1</t>
  </si>
  <si>
    <t>TOMAS CONTRERAS PÉREZ</t>
  </si>
  <si>
    <t>tom.contreras@servicios.cl</t>
  </si>
  <si>
    <t>CLI-0848</t>
  </si>
  <si>
    <t>19.291.077-K</t>
  </si>
  <si>
    <t>Hernán Araya Vergara</t>
  </si>
  <si>
    <t>her.araya@sura.cl</t>
  </si>
  <si>
    <t>CLI-0716</t>
  </si>
  <si>
    <t>11.356.961-4</t>
  </si>
  <si>
    <t>javier muñoz valenzuela</t>
  </si>
  <si>
    <t>Hernán Contreras Vergara</t>
  </si>
  <si>
    <t>felipe tapia espinoza</t>
  </si>
  <si>
    <t>CLI-0719</t>
  </si>
  <si>
    <t>CLI-0892</t>
  </si>
  <si>
    <t>21.116.953-6</t>
  </si>
  <si>
    <t>15.399.824-1</t>
  </si>
  <si>
    <t>javiera araya valenzuela</t>
  </si>
  <si>
    <t>Hernán Díaz Tapia</t>
  </si>
  <si>
    <t>jav.araya@outlook.cl</t>
  </si>
  <si>
    <t>her.díaz@empresa.cl</t>
  </si>
  <si>
    <t>CLI-0720</t>
  </si>
  <si>
    <t>21343443-K</t>
  </si>
  <si>
    <t>Ignacio Espinoza Contreras</t>
  </si>
  <si>
    <t>ign.espinoza@outlook.cl</t>
  </si>
  <si>
    <t>Hernán Espinoza Soto</t>
  </si>
  <si>
    <t>CAMILA FUENTES VERGARA</t>
  </si>
  <si>
    <t>gonzalo díaz tapia</t>
  </si>
  <si>
    <t>Hernán Fuentes Valenzuela</t>
  </si>
  <si>
    <t>CLI-0723</t>
  </si>
  <si>
    <t>Hernán González Contreras</t>
  </si>
  <si>
    <t>21.504.216-K</t>
  </si>
  <si>
    <t>Macarena Rodríguez Díaz</t>
  </si>
  <si>
    <t>mac.rodríguez@servicios.cl</t>
  </si>
  <si>
    <t>CLI-0724</t>
  </si>
  <si>
    <t>17181860-9</t>
  </si>
  <si>
    <t>IGNACIO PÉREZ MUÑOZ</t>
  </si>
  <si>
    <t>Hernán González Pérez</t>
  </si>
  <si>
    <t>CLI-0725</t>
  </si>
  <si>
    <t>16.481.237-2</t>
  </si>
  <si>
    <t>VALENTINA ROJAS VERGARA</t>
  </si>
  <si>
    <t>val.rojas@empresa.cl</t>
  </si>
  <si>
    <t>CLI-0729</t>
  </si>
  <si>
    <t>19.479.808-K</t>
  </si>
  <si>
    <t>javiera silva araya</t>
  </si>
  <si>
    <t>hernán araya silva</t>
  </si>
  <si>
    <t>CLI-0731</t>
  </si>
  <si>
    <t>15.595.705-8</t>
  </si>
  <si>
    <t>Paula Muñoz Pérez</t>
  </si>
  <si>
    <t>pau.muñoz@empresa.cl</t>
  </si>
  <si>
    <t>Hernán Muñoz Valenzuela</t>
  </si>
  <si>
    <t>CLI-0732</t>
  </si>
  <si>
    <t>19.077.235-7</t>
  </si>
  <si>
    <t>Ignacio Vergara González</t>
  </si>
  <si>
    <t>ign.vergara@outlook.cl</t>
  </si>
  <si>
    <t>BEATRIZ VALENZUELA RODRÍGUEZ</t>
  </si>
  <si>
    <t>CLI-0736</t>
  </si>
  <si>
    <t>11.394.486-4</t>
  </si>
  <si>
    <t>Hernán Pérez Sepúlveda</t>
  </si>
  <si>
    <t>Ignacio Pérez Rodríguez</t>
  </si>
  <si>
    <t>ign.pérez@consultora.cl</t>
  </si>
  <si>
    <t>CLI-0737</t>
  </si>
  <si>
    <t>15.578.153-2</t>
  </si>
  <si>
    <t>Marcela Valenzuela Muñoz</t>
  </si>
  <si>
    <t>mar.valenzuela@servicios.cl</t>
  </si>
  <si>
    <t>CLI-0738</t>
  </si>
  <si>
    <t>19556534-4</t>
  </si>
  <si>
    <t>MATÍAS VALENZUELA ARAYA</t>
  </si>
  <si>
    <t>mat.valenzuela@empresa.cl</t>
  </si>
  <si>
    <t>FRANCISCA CONTRERAS VERGARA</t>
  </si>
  <si>
    <t>Hernán Rodríguez González</t>
  </si>
  <si>
    <t>CLI-0740</t>
  </si>
  <si>
    <t>16.617.720-K</t>
  </si>
  <si>
    <t>Sebastián López Espinoza</t>
  </si>
  <si>
    <t>seb.lópez@servicios.cl</t>
  </si>
  <si>
    <t>CLI-0741</t>
  </si>
  <si>
    <t>13374637-1</t>
  </si>
  <si>
    <t>valentina silva soto</t>
  </si>
  <si>
    <t>val.silva@consultora.cl</t>
  </si>
  <si>
    <t>CLI-0742</t>
  </si>
  <si>
    <t>19.637.927-2</t>
  </si>
  <si>
    <t>SEBASTIÁN PÉREZ CONTRERAS</t>
  </si>
  <si>
    <t>seb.pérez@outlook.cl</t>
  </si>
  <si>
    <t>CLI-0862</t>
  </si>
  <si>
    <t>CLI-0744</t>
  </si>
  <si>
    <t>16186901-1</t>
  </si>
  <si>
    <t>13.398.324-7</t>
  </si>
  <si>
    <t>Javier López Fuentes</t>
  </si>
  <si>
    <t>jav.lópez@sura.cl</t>
  </si>
  <si>
    <t>her.rojas@consultora.cl</t>
  </si>
  <si>
    <t>Hernán Soto Muñoz</t>
  </si>
  <si>
    <t>CLI-0749</t>
  </si>
  <si>
    <t>20.261.325-7</t>
  </si>
  <si>
    <t>Javiera Vergara Rojas</t>
  </si>
  <si>
    <t>CLI-0898</t>
  </si>
  <si>
    <t>19.859.067-1</t>
  </si>
  <si>
    <t>Hernán Soto Pérez</t>
  </si>
  <si>
    <t>diego araya espinoza</t>
  </si>
  <si>
    <t>her.soto@sura.cl</t>
  </si>
  <si>
    <t>CLI-0751</t>
  </si>
  <si>
    <t>13.978.939-6</t>
  </si>
  <si>
    <t>sofia silva vergara</t>
  </si>
  <si>
    <t>CLI-0752</t>
  </si>
  <si>
    <t>20.139.527-6</t>
  </si>
  <si>
    <t>matías díaz sepúlveda</t>
  </si>
  <si>
    <t>mat.díaz@consultora.cl</t>
  </si>
  <si>
    <t>CLI-0753</t>
  </si>
  <si>
    <t>11.390.200-1</t>
  </si>
  <si>
    <t>Sofia López Pérez</t>
  </si>
  <si>
    <t>sof.lópez@gmail.com</t>
  </si>
  <si>
    <t>francisca díaz gonzález</t>
  </si>
  <si>
    <t>ESTEBAN CONTRERAS CONTRERAS</t>
  </si>
  <si>
    <t>CLI-0757</t>
  </si>
  <si>
    <t>CLI-0944</t>
  </si>
  <si>
    <t>16695468-8</t>
  </si>
  <si>
    <t>15.283.259-1</t>
  </si>
  <si>
    <t>Loreto Rodríguez Morales</t>
  </si>
  <si>
    <t>Hernán Vergara Tapia</t>
  </si>
  <si>
    <t>lor.rodríguez@outlook.cl</t>
  </si>
  <si>
    <t>her.vergara@empresa.cl</t>
  </si>
  <si>
    <t>ÁLVARO LÓPEZ MORALES</t>
  </si>
  <si>
    <t>Ignacio Araya Pérez</t>
  </si>
  <si>
    <t>andrea sepúlveda lópez</t>
  </si>
  <si>
    <t>claudio fuentes lópez</t>
  </si>
  <si>
    <t>CLI-0763</t>
  </si>
  <si>
    <t>19783717-4</t>
  </si>
  <si>
    <t>Ignacio Contreras Díaz</t>
  </si>
  <si>
    <t>Javiera Soto Pérez</t>
  </si>
  <si>
    <t>CLI-0764</t>
  </si>
  <si>
    <t>11.053.368-6</t>
  </si>
  <si>
    <t>Tomas Fuentes Valenzuela</t>
  </si>
  <si>
    <t>tom.fuentes@outlook.cl</t>
  </si>
  <si>
    <t>CLI-0765</t>
  </si>
  <si>
    <t>17.034.609-0</t>
  </si>
  <si>
    <t>Sofia Silva Espinoza</t>
  </si>
  <si>
    <t>sof.silva@outlook.cl</t>
  </si>
  <si>
    <t>CLI-0766</t>
  </si>
  <si>
    <t>18.689.610-6</t>
  </si>
  <si>
    <t>ignacio gonzález rojas</t>
  </si>
  <si>
    <t>ign.gonzález@empresa.cl</t>
  </si>
  <si>
    <t>Ignacio Contreras Silva</t>
  </si>
  <si>
    <t>CLI-0767</t>
  </si>
  <si>
    <t>11.806.861-7</t>
  </si>
  <si>
    <t>Macarena Morales Vergara</t>
  </si>
  <si>
    <t>mac.morales@gmail.com</t>
  </si>
  <si>
    <t>Ignacio Díaz Contreras</t>
  </si>
  <si>
    <t>CLI-0768</t>
  </si>
  <si>
    <t>18036179-1</t>
  </si>
  <si>
    <t>javier díaz gonzález</t>
  </si>
  <si>
    <t>CLI-0769</t>
  </si>
  <si>
    <t>16.570.888-6</t>
  </si>
  <si>
    <t>MARCELA MORALES MORALES</t>
  </si>
  <si>
    <t>mar.morales@consultora.cl</t>
  </si>
  <si>
    <t>CLI-0770</t>
  </si>
  <si>
    <t>18.344.489-0</t>
  </si>
  <si>
    <t>MATÍAS ROJAS ARAYA</t>
  </si>
  <si>
    <t>Ignacio Díaz López</t>
  </si>
  <si>
    <t>CLI-0773</t>
  </si>
  <si>
    <t>14361797-0</t>
  </si>
  <si>
    <t>SOFIA RODRÍGUEZ TAPIA</t>
  </si>
  <si>
    <t>CLI-0775</t>
  </si>
  <si>
    <t>12.183.435-6</t>
  </si>
  <si>
    <t>javiera soto gonzález</t>
  </si>
  <si>
    <t>CLI-0868</t>
  </si>
  <si>
    <t>17.644.890-8</t>
  </si>
  <si>
    <t>Ignacio Fuentes Morales</t>
  </si>
  <si>
    <t>ign.fuentes@empresa.cl</t>
  </si>
  <si>
    <t>CLI-0776</t>
  </si>
  <si>
    <t>13.095.448-9</t>
  </si>
  <si>
    <t>Mauricio Contreras González</t>
  </si>
  <si>
    <t>mau.contreras@consultora.cl</t>
  </si>
  <si>
    <t>Ignacio Fuentes Sepúlveda</t>
  </si>
  <si>
    <t>CLI-0777</t>
  </si>
  <si>
    <t>21241989-7</t>
  </si>
  <si>
    <t>MACARENA PÉREZ VERGARA</t>
  </si>
  <si>
    <t>mac.pérez@sura.cl</t>
  </si>
  <si>
    <t>CLI-0778</t>
  </si>
  <si>
    <t>14.398.770-5</t>
  </si>
  <si>
    <t>Sebastián Tapia Soto</t>
  </si>
  <si>
    <t>seb.tapia@sura.cl</t>
  </si>
  <si>
    <t>CLI-0779</t>
  </si>
  <si>
    <t>18.332.488-6</t>
  </si>
  <si>
    <t>Loreto Morales Contreras</t>
  </si>
  <si>
    <t>CLI-0780</t>
  </si>
  <si>
    <t>13.977.978-6</t>
  </si>
  <si>
    <t>matías valenzuela tapia</t>
  </si>
  <si>
    <t>mat.valenzuela@consultora.cl</t>
  </si>
  <si>
    <t>Ignacio González Fuentes</t>
  </si>
  <si>
    <t>CLI-0783</t>
  </si>
  <si>
    <t>Ignacio González Rojas</t>
  </si>
  <si>
    <t>16.766.254-5</t>
  </si>
  <si>
    <t>Sofia Espinoza Espinoza</t>
  </si>
  <si>
    <t>sof.espinoza@consultora.cl</t>
  </si>
  <si>
    <t>CLI-0784</t>
  </si>
  <si>
    <t>17.956.679-5</t>
  </si>
  <si>
    <t>Tomas Rodríguez Valenzuela</t>
  </si>
  <si>
    <t>tom.rodríguez@gmail.com</t>
  </si>
  <si>
    <t>Ignacio López Morales</t>
  </si>
  <si>
    <t>CLI-0785</t>
  </si>
  <si>
    <t>13.573.284-1</t>
  </si>
  <si>
    <t>Loreto Vergara Contreras</t>
  </si>
  <si>
    <t>lor.vergara@consultora.cl</t>
  </si>
  <si>
    <t>CLI-0786</t>
  </si>
  <si>
    <t>17404614-9</t>
  </si>
  <si>
    <t>MAURICIO ROJAS PÉREZ</t>
  </si>
  <si>
    <t>mau.rojas@empresa.cl</t>
  </si>
  <si>
    <t>fernanda morales díaz</t>
  </si>
  <si>
    <t>CLI-0789</t>
  </si>
  <si>
    <t>20134873-K</t>
  </si>
  <si>
    <t>Ignacio Pérez Muñoz</t>
  </si>
  <si>
    <t>loreto araya vergara</t>
  </si>
  <si>
    <t>lor.araya@outlook.cl</t>
  </si>
  <si>
    <t>ESTEBAN CONTRERAS PÉREZ</t>
  </si>
  <si>
    <t>CLI-0791</t>
  </si>
  <si>
    <t>18.589.730-4</t>
  </si>
  <si>
    <t>Paula Tapia Muñoz</t>
  </si>
  <si>
    <t>CLI-0794</t>
  </si>
  <si>
    <t>15.099.642-7</t>
  </si>
  <si>
    <t>Mauricio Rojas Fuentes</t>
  </si>
  <si>
    <t>mau.rojas@sura.cl</t>
  </si>
  <si>
    <t>CLI-0795</t>
  </si>
  <si>
    <t>12.244.266-8</t>
  </si>
  <si>
    <t>JAVIERA DÍAZ ESPINOZA</t>
  </si>
  <si>
    <t>jav.díaz@sura.cl</t>
  </si>
  <si>
    <t>GABRIEL ESPINOZA ARAYA</t>
  </si>
  <si>
    <t>ANDREA SEPÚLVEDA ESPINOZA</t>
  </si>
  <si>
    <t>CLI-0800</t>
  </si>
  <si>
    <t>20.151.659-4</t>
  </si>
  <si>
    <t>Tomas Valenzuela Muñoz</t>
  </si>
  <si>
    <t>tom.valenzuela@consultora.cl</t>
  </si>
  <si>
    <t>francisca rojas valenzuela</t>
  </si>
  <si>
    <t>CLAUDIO GONZÁLEZ PÉREZ</t>
  </si>
  <si>
    <t>hernán araya fuentes</t>
  </si>
  <si>
    <t>CLI-0805</t>
  </si>
  <si>
    <t>16259379-5</t>
  </si>
  <si>
    <t>Sofia Fuentes López</t>
  </si>
  <si>
    <t>sof.fuentes@servicios.cl</t>
  </si>
  <si>
    <t>Ignacio Rojas Espinoza</t>
  </si>
  <si>
    <t>CLI-0807</t>
  </si>
  <si>
    <t>15.366.388-1</t>
  </si>
  <si>
    <t>Sofia Soto Araya</t>
  </si>
  <si>
    <t>sof.soto@empresa.cl</t>
  </si>
  <si>
    <t>CONSTANZA CONTRERAS FUENTES</t>
  </si>
  <si>
    <t>Ignacio Silva Espinoza</t>
  </si>
  <si>
    <t>cristián silva gonzález</t>
  </si>
  <si>
    <t>CLI-0811</t>
  </si>
  <si>
    <t>18460324-5</t>
  </si>
  <si>
    <t>MARCELA MORALES LÓPEZ</t>
  </si>
  <si>
    <t>CLI-0812</t>
  </si>
  <si>
    <t>11154460-6</t>
  </si>
  <si>
    <t>IGNACIO VALENZUELA MUÑOZ</t>
  </si>
  <si>
    <t>ign.valenzuela@empresa.cl</t>
  </si>
  <si>
    <t>CLI-0813</t>
  </si>
  <si>
    <t>17.633.779-8</t>
  </si>
  <si>
    <t>Sofia Fuentes Valenzuela</t>
  </si>
  <si>
    <t>ESTEBAN CONTRERAS SEPÚLVEDA</t>
  </si>
  <si>
    <t>Ignacio Soto Espinoza</t>
  </si>
  <si>
    <t>CLI-0815</t>
  </si>
  <si>
    <t>20481651-5</t>
  </si>
  <si>
    <t>Javiera Silva Contreras</t>
  </si>
  <si>
    <t>jav.silva@sura.cl</t>
  </si>
  <si>
    <t>CLI-0816</t>
  </si>
  <si>
    <t>13.923.397-K</t>
  </si>
  <si>
    <t>matías morales araya</t>
  </si>
  <si>
    <t>mat.morales@outlook.cl</t>
  </si>
  <si>
    <t>camila vergara morales</t>
  </si>
  <si>
    <t>ÁLVARO FUENTES GONZÁLEZ</t>
  </si>
  <si>
    <t>BEATRIZ FUENTES ROJAS</t>
  </si>
  <si>
    <t>Ignacio Soto Rojas</t>
  </si>
  <si>
    <t>CAROLINA PÉREZ SEPÚLVEDA</t>
  </si>
  <si>
    <t>CLI-0829</t>
  </si>
  <si>
    <t>18.376.078-9</t>
  </si>
  <si>
    <t>Loreto Morales Valenzuela</t>
  </si>
  <si>
    <t>lor.morales@empresa.cl</t>
  </si>
  <si>
    <t>claudio muñoz tapia</t>
  </si>
  <si>
    <t>CLI-0832</t>
  </si>
  <si>
    <t>20.947.049-9</t>
  </si>
  <si>
    <t>Matías Morales Rojas</t>
  </si>
  <si>
    <t>mat.morales@gmail.com</t>
  </si>
  <si>
    <t>Ignacio Valenzuela Muñoz</t>
  </si>
  <si>
    <t>CLI-0835</t>
  </si>
  <si>
    <t>22175780-4</t>
  </si>
  <si>
    <t>VALENTINA SILVA VERGARA</t>
  </si>
  <si>
    <t>val.silva@empresa.cl</t>
  </si>
  <si>
    <t>CLI-0837</t>
  </si>
  <si>
    <t>21.872.901-7</t>
  </si>
  <si>
    <t>CLI-0838</t>
  </si>
  <si>
    <t>17.694.695-2</t>
  </si>
  <si>
    <t>sebastián pérez muñoz</t>
  </si>
  <si>
    <t>CLI-0839</t>
  </si>
  <si>
    <t>12419872-K</t>
  </si>
  <si>
    <t>Paula López Sepúlveda</t>
  </si>
  <si>
    <t>CLI-0840</t>
  </si>
  <si>
    <t>16.466.946-4</t>
  </si>
  <si>
    <t>Matías González López</t>
  </si>
  <si>
    <t>mat.gonzález@sura.cl</t>
  </si>
  <si>
    <t>CAMILA ARAYA SEPÚLVEDA</t>
  </si>
  <si>
    <t>CLI-0844</t>
  </si>
  <si>
    <t>16.608.401-9</t>
  </si>
  <si>
    <t>Javier Morales Morales</t>
  </si>
  <si>
    <t>Javier Díaz González</t>
  </si>
  <si>
    <t>jav.morales@servicios.cl</t>
  </si>
  <si>
    <t>camila tapia sepúlveda</t>
  </si>
  <si>
    <t>HERNÁN ARAYA VERGARA</t>
  </si>
  <si>
    <t>CLI-0858</t>
  </si>
  <si>
    <t>19445442-K</t>
  </si>
  <si>
    <t>Javier López Morales</t>
  </si>
  <si>
    <t>CLI-0850</t>
  </si>
  <si>
    <t>17.700.855-2</t>
  </si>
  <si>
    <t>Rodrigo Contreras Tapia</t>
  </si>
  <si>
    <t>rod.contreras@outlook.cl</t>
  </si>
  <si>
    <t>Javier Morales Fuentes</t>
  </si>
  <si>
    <t>CLI-0851</t>
  </si>
  <si>
    <t>14.853.288-K</t>
  </si>
  <si>
    <t>Javiera Rodríguez Soto</t>
  </si>
  <si>
    <t>CLI-0852</t>
  </si>
  <si>
    <t>16635029-5</t>
  </si>
  <si>
    <t>Javier Morales Sepúlveda</t>
  </si>
  <si>
    <t>ANDREA SOTO RODRÍGUEZ</t>
  </si>
  <si>
    <t>GABRIEL LÓPEZ SOTO</t>
  </si>
  <si>
    <t>fernanda soto lópez</t>
  </si>
  <si>
    <t>Javier Muñoz Valenzuela</t>
  </si>
  <si>
    <t>CLI-0918</t>
  </si>
  <si>
    <t>16.239.673-0</t>
  </si>
  <si>
    <t>Javier Pérez González</t>
  </si>
  <si>
    <t>jav.pérez@servicios.cl</t>
  </si>
  <si>
    <t>CLI-0859</t>
  </si>
  <si>
    <t>12.664.059-K</t>
  </si>
  <si>
    <t>SOFIA SOTO LÓPEZ</t>
  </si>
  <si>
    <t>CLI-0860</t>
  </si>
  <si>
    <t>11.272.844-6</t>
  </si>
  <si>
    <t>TOMAS ARAYA RODRÍGUEZ</t>
  </si>
  <si>
    <t>Javier Rodríguez Vergara</t>
  </si>
  <si>
    <t>CLI-0861</t>
  </si>
  <si>
    <t>13.220.131-9</t>
  </si>
  <si>
    <t>Valentina López Soto</t>
  </si>
  <si>
    <t>val.lópez@consultora.cl</t>
  </si>
  <si>
    <t>HERNÁN ROJAS VERGARA</t>
  </si>
  <si>
    <t>Javier Rojas Espinoza</t>
  </si>
  <si>
    <t>CLI-0864</t>
  </si>
  <si>
    <t>15405499-K</t>
  </si>
  <si>
    <t>Sebastián Fuentes Silva</t>
  </si>
  <si>
    <t>seb.fuentes@servicios.cl</t>
  </si>
  <si>
    <t>CLI-0865</t>
  </si>
  <si>
    <t>14.550.971-4</t>
  </si>
  <si>
    <t>Marcela Rodríguez Espinoza</t>
  </si>
  <si>
    <t>mar.rodríguez@gmail.com</t>
  </si>
  <si>
    <t>CLI-0866</t>
  </si>
  <si>
    <t>13.866.124-K</t>
  </si>
  <si>
    <t>Matías Pérez Vergara</t>
  </si>
  <si>
    <t>mat.pérez@servicios.cl</t>
  </si>
  <si>
    <t>CLI-0867</t>
  </si>
  <si>
    <t>19.157.124-1</t>
  </si>
  <si>
    <t>Macarena Contreras Pérez</t>
  </si>
  <si>
    <t>mac.contreras@sura.cl</t>
  </si>
  <si>
    <t>Javier Sepúlveda Rojas</t>
  </si>
  <si>
    <t>andrea vergara lópez</t>
  </si>
  <si>
    <t>Javier Silva Vergara</t>
  </si>
  <si>
    <t>cristián díaz muñoz</t>
  </si>
  <si>
    <t>CLI-0871</t>
  </si>
  <si>
    <t>19.492.163-0</t>
  </si>
  <si>
    <t>Macarena Soto Rodríguez</t>
  </si>
  <si>
    <t>mac.soto@empresa.cl</t>
  </si>
  <si>
    <t>Javier Tapia Contreras</t>
  </si>
  <si>
    <t>CLAUDIO MUÑOZ RODRÍGUEZ</t>
  </si>
  <si>
    <t>CLI-0879</t>
  </si>
  <si>
    <t>15.131.605-3</t>
  </si>
  <si>
    <t>SOFIA TAPIA PÉREZ</t>
  </si>
  <si>
    <t>sof.tapia@servicios.cl</t>
  </si>
  <si>
    <t>cristián araya espinoza</t>
  </si>
  <si>
    <t>CLI-0881</t>
  </si>
  <si>
    <t>18.247.565-2</t>
  </si>
  <si>
    <t>Macarena Araya Espinoza</t>
  </si>
  <si>
    <t>mac.araya@servicios.cl</t>
  </si>
  <si>
    <t>CLI-0882</t>
  </si>
  <si>
    <t>15686862-6</t>
  </si>
  <si>
    <t>Rodrigo Morales Díaz</t>
  </si>
  <si>
    <t>rod.morales@gmail.com</t>
  </si>
  <si>
    <t>CLI-0883</t>
  </si>
  <si>
    <t>21.035.289-2</t>
  </si>
  <si>
    <t>Sofia Fuentes Muñoz</t>
  </si>
  <si>
    <t>sof.fuentes@outlook.cl</t>
  </si>
  <si>
    <t>CLI-0884</t>
  </si>
  <si>
    <t>14651582-0</t>
  </si>
  <si>
    <t>seb.soto@outlook.cl</t>
  </si>
  <si>
    <t>CLI-0887</t>
  </si>
  <si>
    <t>19.157.010-8</t>
  </si>
  <si>
    <t>CLI-0888</t>
  </si>
  <si>
    <t>18534699-2</t>
  </si>
  <si>
    <t>rodrigo muñoz espinoza</t>
  </si>
  <si>
    <t>rod.muñoz@servicios.cl</t>
  </si>
  <si>
    <t>Javiera Araya Soto</t>
  </si>
  <si>
    <t>CLI-0889</t>
  </si>
  <si>
    <t>11543884-4</t>
  </si>
  <si>
    <t>valentina soto rojas</t>
  </si>
  <si>
    <t>val.soto@consultora.cl</t>
  </si>
  <si>
    <t>diego fuentes rodríguez</t>
  </si>
  <si>
    <t>Javiera Araya Valenzuela</t>
  </si>
  <si>
    <t>CLI-0891</t>
  </si>
  <si>
    <t>18.073.078-8</t>
  </si>
  <si>
    <t>Sofia Pérez Silva</t>
  </si>
  <si>
    <t>sof.pérez@servicios.cl</t>
  </si>
  <si>
    <t>CLI-0893</t>
  </si>
  <si>
    <t>21243426-0</t>
  </si>
  <si>
    <t>loreto araya gonzález</t>
  </si>
  <si>
    <t>Javiera Díaz Espinoza</t>
  </si>
  <si>
    <t>daniela morales valenzuela</t>
  </si>
  <si>
    <t>CLI-0896</t>
  </si>
  <si>
    <t>12.762.444-8</t>
  </si>
  <si>
    <t>rod.morales@outlook.cl</t>
  </si>
  <si>
    <t>CLI-0897</t>
  </si>
  <si>
    <t>19.157.371-2</t>
  </si>
  <si>
    <t>MACARENA PÉREZ ARAYA</t>
  </si>
  <si>
    <t>Javiera Díaz Rojas</t>
  </si>
  <si>
    <t>hernán soto pérez</t>
  </si>
  <si>
    <t>CLI-0900</t>
  </si>
  <si>
    <t>19534637-4</t>
  </si>
  <si>
    <t>Matías Araya Silva</t>
  </si>
  <si>
    <t>mat.araya@empresa.cl</t>
  </si>
  <si>
    <t>CLI-0901</t>
  </si>
  <si>
    <t>13.425.058-7</t>
  </si>
  <si>
    <t>PAULA GONZÁLEZ RODRÍGUEZ</t>
  </si>
  <si>
    <t>GABRIEL ROJAS MUÑOZ</t>
  </si>
  <si>
    <t>Javiera Fuentes Morales</t>
  </si>
  <si>
    <t>CAROLINA SOTO TAPIA</t>
  </si>
  <si>
    <t>DIEGO PÉREZ RODRÍGUEZ</t>
  </si>
  <si>
    <t>CLI-0915</t>
  </si>
  <si>
    <t>13.259.534-5</t>
  </si>
  <si>
    <t>Javiera Fuentes Vergara</t>
  </si>
  <si>
    <t>jav.fuentes@servicios.cl</t>
  </si>
  <si>
    <t>catalina morales rojas</t>
  </si>
  <si>
    <t>FELIPE CONTRERAS MORALES</t>
  </si>
  <si>
    <t>CLI-0910</t>
  </si>
  <si>
    <t>13.098.010-8</t>
  </si>
  <si>
    <t>Sebastián Espinoza Díaz</t>
  </si>
  <si>
    <t>seb.espinoza@consultora.cl</t>
  </si>
  <si>
    <t>Javiera Muñoz Rojas</t>
  </si>
  <si>
    <t>CLI-0913</t>
  </si>
  <si>
    <t>21.026.989-9</t>
  </si>
  <si>
    <t>Sofia Espinoza Valenzuela</t>
  </si>
  <si>
    <t>CLI-0914</t>
  </si>
  <si>
    <t>Javiera Muñoz Sepúlveda</t>
  </si>
  <si>
    <t>20693029-2</t>
  </si>
  <si>
    <t>Mauricio Contreras Muñoz</t>
  </si>
  <si>
    <t>mau.contreras@empresa.cl</t>
  </si>
  <si>
    <t>Javiera Pérez López</t>
  </si>
  <si>
    <t>CLI-0916</t>
  </si>
  <si>
    <t>19.510.024-1</t>
  </si>
  <si>
    <t>MAURICIO ARAYA CONTRERAS</t>
  </si>
  <si>
    <t>mau.araya@consultora.cl</t>
  </si>
  <si>
    <t>fernanda silva morales</t>
  </si>
  <si>
    <t>CLI-0919</t>
  </si>
  <si>
    <t>15688278-1</t>
  </si>
  <si>
    <t>Loreto Vergara Soto</t>
  </si>
  <si>
    <t>lor.vergara@gmail.com</t>
  </si>
  <si>
    <t>Javiera Rodríguez Silva</t>
  </si>
  <si>
    <t>GABRIEL GONZÁLEZ TAPIA</t>
  </si>
  <si>
    <t>Javiera Rojas Araya</t>
  </si>
  <si>
    <t>Javiera Sepúlveda Sepúlveda</t>
  </si>
  <si>
    <t>carolina lópez gonzález</t>
  </si>
  <si>
    <t>álvaro rojas morales</t>
  </si>
  <si>
    <t>CLI-0927</t>
  </si>
  <si>
    <t>19.755.977-2</t>
  </si>
  <si>
    <t>Sofia Silva Contreras</t>
  </si>
  <si>
    <t>sof.silva@sura.cl</t>
  </si>
  <si>
    <t>DIEGO SILVA TAPIA</t>
  </si>
  <si>
    <t>DANIELA PÉREZ ESPINOZA</t>
  </si>
  <si>
    <t>CLI-0930</t>
  </si>
  <si>
    <t>14.652.289-K</t>
  </si>
  <si>
    <t>Javiera Soto González</t>
  </si>
  <si>
    <t>Matías Rojas Espinoza</t>
  </si>
  <si>
    <t>CLI-0931</t>
  </si>
  <si>
    <t>16493706-8</t>
  </si>
  <si>
    <t>Sofia Muñoz Pérez</t>
  </si>
  <si>
    <t>Javiera Soto López</t>
  </si>
  <si>
    <t>CLI-0933</t>
  </si>
  <si>
    <t>17.015.200-3</t>
  </si>
  <si>
    <t>MACARENA FUENTES ROJAS</t>
  </si>
  <si>
    <t>mac.fuentes@outlook.cl</t>
  </si>
  <si>
    <t>DIEGO SEPÚLVEDA ARAYA</t>
  </si>
  <si>
    <t>CLI-0937</t>
  </si>
  <si>
    <t>19.693.520-2</t>
  </si>
  <si>
    <t>loreto fuentes soto</t>
  </si>
  <si>
    <t>lor.fuentes@servicios.cl</t>
  </si>
  <si>
    <t>carolina morales gonzález</t>
  </si>
  <si>
    <t>Loreto Araya González</t>
  </si>
  <si>
    <t>Loreto Araya Pérez</t>
  </si>
  <si>
    <t>felipe díaz soto</t>
  </si>
  <si>
    <t>BEATRIZ ARAYA VALENZUELA</t>
  </si>
  <si>
    <t>Loreto Araya Vergara</t>
  </si>
  <si>
    <t>CLI-0947</t>
  </si>
  <si>
    <t>14.102.561-4</t>
  </si>
  <si>
    <t>Marcela González Valenzuela</t>
  </si>
  <si>
    <t>mar.gonzález@consultora.cl</t>
  </si>
  <si>
    <t>Loreto Fuentes Soto</t>
  </si>
  <si>
    <t>CLI-0948</t>
  </si>
  <si>
    <t>20.909.324-5</t>
  </si>
  <si>
    <t>Mauricio González Rojas</t>
  </si>
  <si>
    <t>CLI-0949</t>
  </si>
  <si>
    <t>19.238.374-2</t>
  </si>
  <si>
    <t>CLI-0951</t>
  </si>
  <si>
    <t>16.895.044-K</t>
  </si>
  <si>
    <t>Valentina Fuentes Contreras</t>
  </si>
  <si>
    <t>val.fuentes@empresa.cl</t>
  </si>
  <si>
    <t>CLI-0952</t>
  </si>
  <si>
    <t>12.256.687-3</t>
  </si>
  <si>
    <t>tomas soto rojas</t>
  </si>
  <si>
    <t>tom.soto@consultora.cl</t>
  </si>
  <si>
    <t>CLI-0953</t>
  </si>
  <si>
    <t>19.033.265-0</t>
  </si>
  <si>
    <t>Macarena Rodríguez Silva</t>
  </si>
  <si>
    <t>mac.rodríguez@outlook.cl</t>
  </si>
  <si>
    <t>DANIELA SOTO VERGARA</t>
  </si>
  <si>
    <t>CLI-0956</t>
  </si>
  <si>
    <t>20.500.405-0</t>
  </si>
  <si>
    <t>MATÍAS VALENZUELA SOTO</t>
  </si>
  <si>
    <t>CLI-0957</t>
  </si>
  <si>
    <t>16.582.830-3</t>
  </si>
  <si>
    <t>Loreto Valenzuela Contreras</t>
  </si>
  <si>
    <t>lor.valenzuela@outlook.cl</t>
  </si>
  <si>
    <t>Loreto Muñoz Morales</t>
  </si>
  <si>
    <t>Loreto Pérez Pérez</t>
  </si>
  <si>
    <t>Loreto Sepúlveda Rojas</t>
  </si>
  <si>
    <t>Loreto Silva Araya</t>
  </si>
  <si>
    <t>Macarena Díaz Vergara</t>
  </si>
  <si>
    <t>Macarena Espinoza Espinoza</t>
  </si>
  <si>
    <t>Macarena Espinoza López</t>
  </si>
  <si>
    <t>Macarena Fuentes Rojas</t>
  </si>
  <si>
    <t>Macarena Fuentes Sepúlveda</t>
  </si>
  <si>
    <t>Macarena Muñoz Araya</t>
  </si>
  <si>
    <t>Macarena Muñoz Morales</t>
  </si>
  <si>
    <t>Macarena Pérez Araya</t>
  </si>
  <si>
    <t>Macarena Pérez Díaz</t>
  </si>
  <si>
    <t>Macarena Pérez Sepúlveda</t>
  </si>
  <si>
    <t>Macarena Pérez Vergara</t>
  </si>
  <si>
    <t>Macarena Rodríguez Rodríguez</t>
  </si>
  <si>
    <t>Macarena Rojas Vergara</t>
  </si>
  <si>
    <t>Macarena Sepúlveda Díaz</t>
  </si>
  <si>
    <t>Macarena Tapia Morales</t>
  </si>
  <si>
    <t>Macarena Tapia Rodríguez</t>
  </si>
  <si>
    <t>Macarena Tapia Valenzuela</t>
  </si>
  <si>
    <t>Marcela Araya Pérez</t>
  </si>
  <si>
    <t>Marcela Espinoza Espinoza</t>
  </si>
  <si>
    <t>Marcela Espinoza Rodríguez</t>
  </si>
  <si>
    <t>Marcela Fuentes Rodríguez</t>
  </si>
  <si>
    <t>Marcela López Vergara</t>
  </si>
  <si>
    <t>Marcela Morales López</t>
  </si>
  <si>
    <t>Marcela Morales Morales</t>
  </si>
  <si>
    <t>Marcela Morales Rodríguez</t>
  </si>
  <si>
    <t>Marcela Pérez Fuentes</t>
  </si>
  <si>
    <t>Marcela Rodríguez Araya</t>
  </si>
  <si>
    <t>Marcela Rojas Muñoz</t>
  </si>
  <si>
    <t>Marcela Silva Soto</t>
  </si>
  <si>
    <t>Marcela Vergara Valenzuela</t>
  </si>
  <si>
    <t>Matías Araya Pérez</t>
  </si>
  <si>
    <t>Matías Contreras Sepúlveda</t>
  </si>
  <si>
    <t>Matías Díaz Sepúlveda</t>
  </si>
  <si>
    <t>Matías Fuentes Espinoza</t>
  </si>
  <si>
    <t>Matías Fuentes Morales</t>
  </si>
  <si>
    <t>Matías Morales Araya</t>
  </si>
  <si>
    <t>Matías Muñoz Fuentes</t>
  </si>
  <si>
    <t>Matías Muñoz González</t>
  </si>
  <si>
    <t>Matías Rojas Araya</t>
  </si>
  <si>
    <t>Matías Rojas Díaz</t>
  </si>
  <si>
    <t>Matías Rojas Rodríguez</t>
  </si>
  <si>
    <t>Matías Sepúlveda Contreras</t>
  </si>
  <si>
    <t>Matías Sepúlveda Silva</t>
  </si>
  <si>
    <t>Matías Tapia Fuentes</t>
  </si>
  <si>
    <t>Matías Valenzuela Araya</t>
  </si>
  <si>
    <t>Matías Valenzuela López</t>
  </si>
  <si>
    <t>Matías Valenzuela Soto</t>
  </si>
  <si>
    <t>Matías Valenzuela Tapia</t>
  </si>
  <si>
    <t>Mauricio Araya Contreras</t>
  </si>
  <si>
    <t>Mauricio Araya Soto</t>
  </si>
  <si>
    <t>Mauricio Fuentes Soto</t>
  </si>
  <si>
    <t>Mauricio González López</t>
  </si>
  <si>
    <t>Mauricio González Silva</t>
  </si>
  <si>
    <t>Mauricio Rojas Pérez</t>
  </si>
  <si>
    <t>Mauricio Tapia Pérez</t>
  </si>
  <si>
    <t>Mauricio Tapia Sepúlveda</t>
  </si>
  <si>
    <t>Mauricio Valenzuela Soto</t>
  </si>
  <si>
    <t>Paula Fuentes Araya</t>
  </si>
  <si>
    <t>Paula Fuentes Rojas</t>
  </si>
  <si>
    <t>Paula González Espinoza</t>
  </si>
  <si>
    <t>Paula González Rodríguez</t>
  </si>
  <si>
    <t>Paula Morales Pérez</t>
  </si>
  <si>
    <t>Paula Morales Silva</t>
  </si>
  <si>
    <t>Paula Pérez Morales</t>
  </si>
  <si>
    <t>Paula Sepúlveda Sepúlveda</t>
  </si>
  <si>
    <t>Paula Silva Muñoz</t>
  </si>
  <si>
    <t>Paula Valenzuela Valenzuela</t>
  </si>
  <si>
    <t>Paula Vergara Silva</t>
  </si>
  <si>
    <t>Rodrigo Contreras Soto</t>
  </si>
  <si>
    <t>Rodrigo Díaz López</t>
  </si>
  <si>
    <t>Rodrigo Fuentes Araya</t>
  </si>
  <si>
    <t>Rodrigo Fuentes Vergara</t>
  </si>
  <si>
    <t>Rodrigo López Soto</t>
  </si>
  <si>
    <t>Rodrigo Muñoz Espinoza</t>
  </si>
  <si>
    <t>Rodrigo Sepúlveda Rodríguez</t>
  </si>
  <si>
    <t>Rodrigo Soto Sepúlveda</t>
  </si>
  <si>
    <t>Rodrigo Soto Vergara</t>
  </si>
  <si>
    <t>Rodrigo Valenzuela Valenzuela</t>
  </si>
  <si>
    <t>Sebastián Araya Pérez</t>
  </si>
  <si>
    <t>Sebastián Araya Valenzuela</t>
  </si>
  <si>
    <t>Sebastián Contreras Silva</t>
  </si>
  <si>
    <t>Sebastián Díaz Araya</t>
  </si>
  <si>
    <t>Sebastián López Muñoz</t>
  </si>
  <si>
    <t>Sebastián Morales Fuentes</t>
  </si>
  <si>
    <t>Sebastián Pérez Muñoz</t>
  </si>
  <si>
    <t>Sebastián Pérez Soto</t>
  </si>
  <si>
    <t>Sofia Espinoza González</t>
  </si>
  <si>
    <t>Sofia López Muñoz</t>
  </si>
  <si>
    <t>Sofia Morales González</t>
  </si>
  <si>
    <t>Sofia Muñoz Muñoz</t>
  </si>
  <si>
    <t>Sofia Pérez González</t>
  </si>
  <si>
    <t>Sofia Rodríguez Tapia</t>
  </si>
  <si>
    <t>Sofia Sepúlveda Muñoz</t>
  </si>
  <si>
    <t>Sofia Silva Morales</t>
  </si>
  <si>
    <t>Sofia Silva Muñoz</t>
  </si>
  <si>
    <t>Sofia Silva Rojas</t>
  </si>
  <si>
    <t>Sofia Silva Vergara</t>
  </si>
  <si>
    <t>Sofia Soto López</t>
  </si>
  <si>
    <t>Sofia Soto Pérez</t>
  </si>
  <si>
    <t>Sofia Soto Valenzuela</t>
  </si>
  <si>
    <t>Sofia Tapia Espinoza</t>
  </si>
  <si>
    <t>Sofia Tapia Pérez</t>
  </si>
  <si>
    <t>Sofia Tapia Valenzuela</t>
  </si>
  <si>
    <t>Tomas Araya Contreras</t>
  </si>
  <si>
    <t>Tomas Araya Pérez</t>
  </si>
  <si>
    <t>Tomas Araya Rodríguez</t>
  </si>
  <si>
    <t>Tomas Contreras Muñoz</t>
  </si>
  <si>
    <t>Tomas Contreras Pérez</t>
  </si>
  <si>
    <t>Tomas López Rodríguez</t>
  </si>
  <si>
    <t>Tomas López Soto</t>
  </si>
  <si>
    <t>Tomas Muñoz Pérez</t>
  </si>
  <si>
    <t>Tomas Muñoz Valenzuela</t>
  </si>
  <si>
    <t>Tomas Pérez Morales</t>
  </si>
  <si>
    <t>Tomas Rodríguez Muñoz</t>
  </si>
  <si>
    <t>Tomas Silva Soto</t>
  </si>
  <si>
    <t>Tomas Soto González</t>
  </si>
  <si>
    <t>Tomas Soto Rojas</t>
  </si>
  <si>
    <t>Tomas Tapia Vergara</t>
  </si>
  <si>
    <t>Tomas Valenzuela Araya</t>
  </si>
  <si>
    <t>Valentina Araya Araya</t>
  </si>
  <si>
    <t>Valentina Contreras Díaz</t>
  </si>
  <si>
    <t>Valentina Contreras Fuentes</t>
  </si>
  <si>
    <t>Valentina Contreras Rojas</t>
  </si>
  <si>
    <t>Valentina González Contreras</t>
  </si>
  <si>
    <t>Valentina González Tapia</t>
  </si>
  <si>
    <t>Valentina Rojas González</t>
  </si>
  <si>
    <t>Valentina Rojas Vergara</t>
  </si>
  <si>
    <t>Valentina Silva Muñoz</t>
  </si>
  <si>
    <t>Valentina Silva Soto</t>
  </si>
  <si>
    <t>Valentina Silva Vergara</t>
  </si>
  <si>
    <t>Valentina Soto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</si>
</sst>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yyyy-mm-dd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rgb="FF334155"/>
      <name val="Arial"/>
    </font>
    <font>
      <color theme="1"/>
      <name val="Arial"/>
    </font>
    <font>
      <b/>
      <color theme="1"/>
      <name val="Arial"/>
    </font>
    <font>
      <sz val="8.0"/>
      <color rgb="FFF8FAFC"/>
      <name val="Monospace"/>
    </font>
    <font>
      <b/>
      <sz val="12.0"/>
      <color rgb="FF2D3748"/>
      <name val="Outfit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65" xfId="0" applyAlignment="1" applyFont="1" applyNumberFormat="1">
      <alignment readingOrder="0"/>
    </xf>
    <xf borderId="0" fillId="2" fontId="3" numFmtId="0" xfId="0" applyFill="1" applyFont="1"/>
    <xf borderId="0" fillId="0" fontId="4" numFmtId="164" xfId="0" applyAlignment="1" applyFont="1" applyNumberFormat="1">
      <alignment readingOrder="0" vertical="bottom"/>
    </xf>
    <xf borderId="0" fillId="0" fontId="5" numFmtId="164" xfId="0" applyAlignment="1" applyFont="1" applyNumberFormat="1">
      <alignment vertical="bottom"/>
    </xf>
    <xf borderId="0" fillId="0" fontId="1" numFmtId="0" xfId="0" applyFont="1"/>
    <xf borderId="0" fillId="0" fontId="1" numFmtId="164" xfId="0" applyFont="1" applyNumberFormat="1"/>
    <xf borderId="0" fillId="0" fontId="4" numFmtId="164" xfId="0" applyAlignment="1" applyFont="1" applyNumberFormat="1">
      <alignment vertical="bottom"/>
    </xf>
    <xf borderId="0" fillId="3" fontId="6" numFmtId="0" xfId="0" applyFill="1" applyFont="1"/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8" numFmtId="0" xfId="0" applyFont="1"/>
    <xf borderId="1" fillId="0" fontId="9" numFmtId="0" xfId="0" applyAlignment="1" applyBorder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theme="7"/>
          <bgColor theme="7"/>
        </patternFill>
      </fill>
      <border/>
    </dxf>
    <dxf>
      <font>
        <color rgb="FF434343"/>
      </font>
      <fill>
        <patternFill patternType="solid">
          <fgColor rgb="FFBF9000"/>
          <bgColor rgb="FFBF9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923925</xdr:colOff>
      <xdr:row>1</xdr:row>
      <xdr:rowOff>190500</xdr:rowOff>
    </xdr:from>
    <xdr:ext cx="7096125" cy="838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15</xdr:row>
      <xdr:rowOff>200025</xdr:rowOff>
    </xdr:from>
    <xdr:ext cx="4943475" cy="6477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957" sheet="Dataset_limpio_A2"/>
  </cacheSource>
  <cacheFields>
    <cacheField name="ID_Cliente" numFmtId="0">
      <sharedItems>
        <s v="CLI-0666"/>
        <s v="CLI-0734"/>
        <s v="CLI-0924"/>
        <s v="CLI-0668"/>
        <s v="CLI-0934"/>
        <s v="CLI-0818"/>
        <s v="CLI-0364"/>
        <s v="CLI-0758"/>
        <s v="CLI-0386"/>
        <s v="CLI-0822"/>
        <s v="CLI-0604"/>
        <s v="CLI-0842"/>
        <s v="CLI-0012"/>
        <s v="CLI-0536"/>
        <s v="CLI-0792"/>
        <s v="CLI-0130"/>
        <s v="CLI-0926"/>
        <s v="CLI-0946"/>
        <s v="CLI-0610"/>
        <s v="CLI-0258"/>
        <s v="CLI-0230"/>
        <s v="CLI-0120"/>
        <s v="CLI-0692"/>
        <s v="CLI-0078"/>
        <s v="CLI-0570"/>
        <s v="CLI-0622"/>
        <s v="CLI-0878"/>
        <s v="CLI-0182"/>
        <s v="CLI-0447"/>
        <s v="CLI-0747"/>
        <s v="CLI-0087"/>
        <s v="CLI-0557"/>
        <s v="CLI-0909"/>
        <s v="CLI-0391"/>
        <s v="CLI-0177"/>
        <s v="CLI-0067"/>
        <s v="CLI-0277"/>
        <s v="CLI-0171"/>
        <s v="CLI-0535"/>
        <s v="CLI-0353"/>
        <s v="CLI-0495"/>
        <s v="CLI-0525"/>
        <s v="CLI-0635"/>
        <s v="CLI-0071"/>
        <s v="CLI-0657"/>
        <s v="CLI-0543"/>
        <s v="CLI-0237"/>
        <s v="CLI-0799"/>
        <s v="CLI-0761"/>
        <s v="CLI-0335"/>
        <s v="CLI-0935"/>
        <s v="CLI-0003"/>
        <s v="CLI-0623"/>
        <s v="CLI-0853"/>
        <s v="CLI-0281"/>
        <s v="CLI-0869"/>
        <s v="CLI-0209"/>
        <s v="CLI-0427"/>
        <s v="CLI-0943"/>
        <s v="CLI-0641"/>
        <s v="CLI-0273"/>
        <s v="CLI-0115"/>
        <s v="CLI-0331"/>
        <s v="CLI-0135"/>
        <s v="CLI-0819"/>
        <s v="CLI-0471"/>
        <s v="CLI-0167"/>
        <s v="CLI-0407"/>
        <s v="CLI-0845"/>
        <s v="CLI-0659"/>
        <s v="CLI-0885"/>
        <s v="CLI-0057"/>
        <s v="CLI-0803"/>
        <s v="CLI-0575"/>
        <s v="CLI-0025"/>
        <s v="CLI-0515"/>
        <s v="CLI-0007"/>
        <s v="CLI-0689"/>
        <s v="CLI-0045"/>
        <s v="CLI-0733"/>
        <s v="CLI-0107"/>
        <s v="CLI-0857"/>
        <s v="CLI-0843"/>
        <s v="CLI-0091"/>
        <s v="CLI-0205"/>
        <s v="CLI-0501"/>
        <s v="CLI-0411"/>
        <s v="CLI-0297"/>
        <s v="CLI-0721"/>
        <s v="CLI-0563"/>
        <s v="CLI-0709"/>
        <s v="CLI-0699"/>
        <s v="CLI-0145"/>
        <s v="CLI-0307"/>
        <s v="CLI-0377"/>
        <s v="CLI-0343"/>
        <s v="CLI-0173"/>
        <s v="CLI-0727"/>
        <s v="CLI-0245"/>
        <s v="CLI-0111"/>
        <s v="CLI-0847"/>
        <s v="CLI-0239"/>
        <s v="CLI-0349"/>
        <s v="CLI-0831"/>
        <s v="CLI-0059"/>
        <s v="CLI-0817"/>
        <s v="CLI-0051"/>
        <s v="CLI-0103"/>
        <s v="CLI-0899"/>
        <s v="CLI-0395"/>
        <s v="CLI-0717"/>
        <s v="CLI-0035"/>
        <s v="CLI-0609"/>
        <s v="CLI-0129"/>
        <s v="CLI-0141"/>
        <s v="CLI-0113"/>
        <s v="CLI-0379"/>
        <s v="CLI-0571"/>
        <s v="CLI-0505"/>
        <s v="CLI-0697"/>
        <s v="CLI-0241"/>
        <s v="CLI-0423"/>
        <s v="CLI-0223"/>
        <s v="CLI-0925"/>
        <s v="CLI-0939"/>
        <s v="CLI-0433"/>
        <s v="CLI-0823"/>
        <s v="CLI-0261"/>
        <s v="CLI-0759"/>
        <s v="CLI-0181"/>
        <s v="CLI-0069"/>
        <s v="CLI-0367"/>
        <s v="CLI-0329"/>
        <s v="CLI-0365"/>
        <s v="CLI-0595"/>
        <s v="CLI-0905"/>
        <s v="CLI-0513"/>
        <s v="CLI-0941"/>
        <s v="CLI-0009"/>
        <s v="CLI-0559"/>
        <s v="CLI-0849"/>
        <s v="CLI-0101"/>
        <s v="CLI-0797"/>
        <s v="CLI-0153"/>
        <s v="CLI-0267"/>
        <s v="CLI-0675"/>
        <s v="CLI-0771"/>
        <s v="CLI-0393"/>
        <s v="CLI-0041"/>
        <s v="CLI-0303"/>
        <s v="CLI-0793"/>
        <s v="CLI-0907"/>
        <s v="CLI-0299"/>
        <s v="CLI-0631"/>
        <s v="CLI-0337"/>
        <s v="CLI-0033"/>
        <s v="CLI-0567"/>
        <s v="CLI-0405"/>
        <s v="CLI-0637"/>
        <s v="CLI-0743"/>
        <s v="CLI-0627"/>
        <s v="CLI-0149"/>
        <s v="CLI-0189"/>
        <s v="CLI-0409"/>
        <s v="CLI-0715"/>
        <s v="CLI-0553"/>
        <s v="CLI-0493"/>
        <s v="CLI-0665"/>
        <s v="CLI-0611"/>
        <s v="CLI-0271"/>
        <s v="CLI-0275"/>
        <s v="CLI-0133"/>
        <s v="CLI-0629"/>
        <s v="CLI-0728"/>
        <s v="CLI-0440"/>
        <s v="CLI-0462"/>
        <s v="CLI-0576"/>
        <s v="CLI-0508"/>
        <s v="CLI-0296"/>
        <s v="CLI-0762"/>
        <s v="CLI-0126"/>
        <s v="CLI-0664"/>
        <s v="CLI-0802"/>
        <s v="CLI-0600"/>
        <s v="CLI-0346"/>
        <s v="CLI-0158"/>
        <s v="CLI-0876"/>
        <s v="CLI-0754"/>
        <s v="CLI-0830"/>
        <s v="CLI-0588"/>
        <s v="CLI-0708"/>
        <s v="CLI-0162"/>
        <s v="CLI-0380"/>
        <s v="CLI-0212"/>
        <s v="CLI-0660"/>
        <s v="CLI-0562"/>
        <s v="CLI-0332"/>
        <s v="CLI-0824"/>
        <s v="CLI-0616"/>
        <s v="CLI-0474"/>
        <s v="CLI-0330"/>
        <s v="CLI-0698"/>
        <s v="CLI-0454"/>
        <s v="CLI-0283"/>
        <s v="CLI-0529"/>
        <s v="CLI-0809"/>
        <s v="CLI-0295"/>
        <s v="CLI-0591"/>
        <s v="CLI-0073"/>
        <s v="CLI-0701"/>
        <s v="CLI-0321"/>
        <s v="CLI-0597"/>
        <s v="CLI-0179"/>
        <s v="CLI-0491"/>
        <s v="CLI-0455"/>
        <s v="CLI-0077"/>
        <s v="CLI-0713"/>
        <s v="CLI-0191"/>
        <s v="CLI-0693"/>
        <s v="CLI-0305"/>
        <s v="CLI-0615"/>
        <s v="CLI-0381"/>
        <s v="CLI-0373"/>
        <s v="CLI-0169"/>
        <s v="CLI-0013"/>
        <s v="CLI-0255"/>
        <s v="CLI-0880"/>
        <s v="CLI-0046"/>
        <s v="CLI-0870"/>
        <s v="CLI-0630"/>
        <s v="CLI-0264"/>
        <s v="CLI-0410"/>
        <s v="CLI-0886"/>
        <s v="CLI-0834"/>
        <s v="CLI-0138"/>
        <s v="CLI-0772"/>
        <s v="CLI-0682"/>
        <s v="CLI-0420"/>
        <s v="CLI-0270"/>
        <s v="CLI-0558"/>
        <s v="CLI-0140"/>
        <s v="CLI-0272"/>
        <s v="CLI-0444"/>
        <s v="CLI-0932"/>
        <s v="CLI-0788"/>
        <s v="CLI-0294"/>
        <s v="CLI-0810"/>
        <s v="CLI-0634"/>
        <s v="CLI-0390"/>
        <s v="CLI-0254"/>
        <s v="CLI-0002"/>
        <s v="CLI-0104"/>
        <s v="CLI-0938"/>
        <s v="CLI-0366"/>
        <s v="CLI-0374"/>
        <s v="CLI-0782"/>
        <s v="CLI-0044"/>
        <s v="CLI-0877"/>
        <s v="CLI-0215"/>
        <s v="CLI-0527"/>
        <s v="CLI-0207"/>
        <s v="CLI-0159"/>
        <s v="CLI-0485"/>
        <s v="CLI-0415"/>
        <s v="CLI-0671"/>
        <s v="CLI-0895"/>
        <s v="CLI-0499"/>
        <s v="CLI-0745"/>
        <s v="CLI-0735"/>
        <s v="CLI-0497"/>
        <s v="CLI-0929"/>
        <s v="CLI-0873"/>
        <s v="CLI-0651"/>
        <s v="CLI-0251"/>
        <s v="CLI-0489"/>
        <s v="CLI-0053"/>
        <s v="CLI-0437"/>
        <s v="CLI-0561"/>
        <s v="CLI-0093"/>
        <s v="CLI-0235"/>
        <s v="CLI-0955"/>
        <s v="CLI-0833"/>
        <s v="CLI-0157"/>
        <s v="CLI-0089"/>
        <s v="CLI-0685"/>
        <s v="CLI-0750"/>
        <s v="CLI-0186"/>
        <s v="CLI-0526"/>
        <s v="CLI-0178"/>
        <s v="CLI-0398"/>
        <s v="CLI-0036"/>
        <s v="CLI-0586"/>
        <s v="CLI-0020"/>
        <s v="CLI-0684"/>
        <s v="CLI-0014"/>
        <s v="CLI-0890"/>
        <s v="CLI-0124"/>
        <s v="CLI-0032"/>
        <s v="CLI-0446"/>
        <s v="CLI-0324"/>
        <s v="CLI-0416"/>
        <s v="CLI-0352"/>
        <s v="CLI-0894"/>
        <s v="CLI-0108"/>
        <s v="CLI-0188"/>
        <s v="CLI-0702"/>
        <s v="CLI-0906"/>
        <s v="CLI-0584"/>
        <s v="CLI-0582"/>
        <s v="CLI-0472"/>
        <s v="CLI-0936"/>
        <s v="CLI-0210"/>
        <s v="CLI-0102"/>
        <s v="CLI-0424"/>
        <s v="CLI-0280"/>
        <s v="CLI-0928"/>
        <s v="CLI-0846"/>
        <s v="CLI-0826"/>
        <s v="CLI-0746"/>
        <s v="CLI-0290"/>
        <s v="CLI-0674"/>
        <s v="CLI-0796"/>
        <s v="CLI-0712"/>
        <s v="CLI-0756"/>
        <s v="CLI-0510"/>
        <s v="CLI-0790"/>
        <s v="CLI-0814"/>
        <s v="CLI-0396"/>
        <s v="CLI-0808"/>
        <s v="CLI-0150"/>
        <s v="CLI-0748"/>
        <s v="CLI-0240"/>
        <s v="CLI-0358"/>
        <s v="CLI-0464"/>
        <s v="CLI-0594"/>
        <s v="CLI-0506"/>
        <s v="CLI-0686"/>
        <s v="CLI-0560"/>
        <s v="CLI-0528"/>
        <s v="CLI-0072"/>
        <s v="CLI-0394"/>
        <s v="CLI-0348"/>
        <s v="CLI-0050"/>
        <s v="CLI-0908"/>
        <s v="CLI-0644"/>
        <s v="CLI-0370"/>
        <s v="CLI-0942"/>
        <s v="CLI-0132"/>
        <s v="CLI-0652"/>
        <s v="CLI-0482"/>
        <s v="CLI-0656"/>
        <s v="CLI-0256"/>
        <s v="CLI-0064"/>
        <s v="CLI-0090"/>
        <s v="CLI-0304"/>
        <s v="CLI-0222"/>
        <s v="CLI-0836"/>
        <s v="CLI-0176"/>
        <s v="CLI-0940"/>
        <s v="CLI-0028"/>
        <s v="CLI-0568"/>
        <s v="CLI-0198"/>
        <s v="CLI-0428"/>
        <s v="CLI-0718"/>
        <s v="CLI-0922"/>
        <s v="CLI-0152"/>
        <s v="CLI-0094"/>
        <s v="CLI-0806"/>
        <s v="CLI-0590"/>
        <s v="CLI-0688"/>
        <s v="CLI-0112"/>
        <s v="CLI-0875"/>
        <s v="CLI-0183"/>
        <s v="CLI-0911"/>
        <s v="CLI-0921"/>
        <s v="CLI-0175"/>
        <s v="CLI-0015"/>
        <s v="CLI-0369"/>
        <s v="CLI-0787"/>
        <s v="CLI-0417"/>
        <s v="CLI-0037"/>
        <s v="CLI-0453"/>
        <s v="CLI-0217"/>
        <s v="CLI-0821"/>
        <s v="CLI-0587"/>
        <s v="CLI-0473"/>
        <s v="CLI-0507"/>
        <s v="CLI-0917"/>
        <s v="CLI-0023"/>
        <s v="CLI-0855"/>
        <s v="CLI-0825"/>
        <s v="CLI-0577"/>
        <s v="CLI-0827"/>
        <s v="CLI-0663"/>
        <s v="CLI-0155"/>
        <s v="CLI-0687"/>
        <s v="CLI-0229"/>
        <s v="CLI-0097"/>
        <s v="CLI-0603"/>
        <s v="CLI-0031"/>
        <s v="CLI-0201"/>
        <s v="CLI-0739"/>
        <s v="CLI-0243"/>
        <s v="CLI-0755"/>
        <s v="CLI-0421"/>
        <s v="CLI-0555"/>
        <s v="CLI-0351"/>
        <s v="CLI-0945"/>
        <s v="CLI-0863"/>
        <s v="CLI-0649"/>
        <s v="CLI-0357"/>
        <s v="CLI-0449"/>
        <s v="CLI-0607"/>
        <s v="CLI-0117"/>
        <s v="CLI-0581"/>
        <s v="CLI-0459"/>
        <s v="CLI-0481"/>
        <s v="CLI-0801"/>
        <s v="CLI-0339"/>
        <s v="CLI-0683"/>
        <s v="CLI-0429"/>
        <s v="CLI-0195"/>
        <s v="CLI-0545"/>
        <s v="CLI-0781"/>
        <s v="CLI-0413"/>
        <s v="CLI-0005"/>
        <s v="CLI-0923"/>
        <s v="CLI-0903"/>
        <s v="CLI-0147"/>
        <s v="CLI-0841"/>
        <s v="CLI-0065"/>
        <s v="CLI-0539"/>
        <s v="CLI-0533"/>
        <s v="CLI-0344"/>
        <s v="CLI-0640"/>
        <s v="CLI-0362"/>
        <s v="CLI-0828"/>
        <s v="CLI-0018"/>
        <s v="CLI-0710"/>
        <s v="CLI-0670"/>
        <s v="CLI-0798"/>
        <s v="CLI-0856"/>
        <s v="CLI-0438"/>
        <s v="CLI-0820"/>
        <s v="CLI-0920"/>
        <s v="CLI-0160"/>
        <s v="CLI-0704"/>
        <s v="CLI-0854"/>
        <s v="CLI-0062"/>
        <s v="CLI-0544"/>
        <s v="CLI-0248"/>
        <s v="CLI-0426"/>
        <s v="CLI-0388"/>
        <s v="CLI-0092"/>
        <s v="CLI-0024"/>
        <s v="CLI-0904"/>
        <s v="CLI-0538"/>
        <s v="CLI-0950"/>
        <s v="CLI-0480"/>
        <s v="CLI-0872"/>
        <s v="CLI-0608"/>
        <s v="CLI-0902"/>
        <s v="CLI-0284"/>
        <s v="CLI-0518"/>
        <s v="CLI-0236"/>
        <s v="CLI-0498"/>
        <s v="CLI-0564"/>
        <s v="CLI-0726"/>
        <s v="CLI-0722"/>
        <s v="CLI-0456"/>
        <s v="CLI-0614"/>
        <s v="CLI-0912"/>
        <s v="CLI-0252"/>
        <s v="CLI-0204"/>
        <s v="CLI-0458"/>
        <s v="CLI-0620"/>
        <s v="CLI-0492"/>
        <s v="CLI-0128"/>
        <s v="CLI-0760"/>
        <s v="CLI-0306"/>
        <s v="CLI-0552"/>
        <s v="CLI-0626"/>
        <s v="CLI-0954"/>
        <s v="CLI-0874"/>
        <s v="CLI-0302"/>
        <s v="CLI-0774"/>
        <s v="CLI-0556"/>
        <s v="CLI-0106"/>
        <s v="CLI-0804"/>
        <s v="CLI-0730"/>
        <s v="CLI-0848"/>
        <s v="CLI-0114"/>
        <s v="CLI-0892"/>
        <s v="CLI-0534"/>
        <s v="CLI-0408"/>
        <s v="CLI-0412"/>
        <s v="CLI-0224"/>
        <s v="CLI-0406"/>
        <s v="CLI-0168"/>
        <s v="CLI-0174"/>
        <s v="CLI-0042"/>
        <s v="CLI-0308"/>
        <s v="CLI-0452"/>
        <s v="CLI-0648"/>
        <s v="CLI-0172"/>
        <s v="CLI-0226"/>
        <s v="CLI-0862"/>
        <s v="CLI-0496"/>
        <s v="CLI-0218"/>
        <s v="CLI-0898"/>
        <s v="CLI-0468"/>
        <s v="CLI-0146"/>
        <s v="CLI-0430"/>
        <s v="CLI-0944"/>
        <s v="CLI-0136"/>
        <s v="CLI-0566"/>
        <s v="CLI-0242"/>
        <s v="CLI-0052"/>
        <s v="CLI-0310"/>
        <s v="CLI-0432"/>
        <s v="CLI-0654"/>
        <s v="CLI-0612"/>
        <s v="CLI-0082"/>
        <s v="CLI-0074"/>
        <s v="CLI-0720"/>
        <s v="CLI-0868"/>
        <s v="CLI-0098"/>
        <s v="CLI-0030"/>
        <s v="CLI-0546"/>
        <s v="CLI-0766"/>
        <s v="CLI-0596"/>
        <s v="CLI-0636"/>
        <s v="CLI-0724"/>
        <s v="CLI-0736"/>
        <s v="CLI-0516"/>
        <s v="CLI-0354"/>
        <s v="CLI-0382"/>
        <s v="CLI-0522"/>
        <s v="CLI-0602"/>
        <s v="CLI-0646"/>
        <s v="CLI-0004"/>
        <s v="CLI-0662"/>
        <s v="CLI-0192"/>
        <s v="CLI-0338"/>
        <s v="CLI-0206"/>
        <s v="CLI-0246"/>
        <s v="CLI-0442"/>
        <s v="CLI-0026"/>
        <s v="CLI-0006"/>
        <s v="CLI-0144"/>
        <s v="CLI-0170"/>
        <s v="CLI-0266"/>
        <s v="CLI-0812"/>
        <s v="CLI-0732"/>
        <s v="CLI-0316"/>
        <s v="CLI-0494"/>
        <s v="CLI-0356"/>
        <s v="CLI-0292"/>
        <s v="CLI-0768"/>
        <s v="CLI-0460"/>
        <s v="CLI-0744"/>
        <s v="CLI-0858"/>
        <s v="CLI-0202"/>
        <s v="CLI-0844"/>
        <s v="CLI-0852"/>
        <s v="CLI-0216"/>
        <s v="CLI-0716"/>
        <s v="CLI-0918"/>
        <s v="CLI-0486"/>
        <s v="CLI-0512"/>
        <s v="CLI-0060"/>
        <s v="CLI-0260"/>
        <s v="CLI-0084"/>
        <s v="CLI-0228"/>
        <s v="CLI-0476"/>
        <s v="CLI-0638"/>
        <s v="CLI-0466"/>
        <s v="CLI-0268"/>
        <s v="CLI-0402"/>
        <s v="CLI-0350"/>
        <s v="CLI-0244"/>
        <s v="CLI-0550"/>
        <s v="CLI-0360"/>
        <s v="CLI-0385"/>
        <s v="CLI-0061"/>
        <s v="CLI-0719"/>
        <s v="CLI-0887"/>
        <s v="CLI-0795"/>
        <s v="CLI-0519"/>
        <s v="CLI-0419"/>
        <s v="CLI-0653"/>
        <s v="CLI-0389"/>
        <s v="CLI-0253"/>
        <s v="CLI-0403"/>
        <s v="CLI-0915"/>
        <s v="CLI-0445"/>
        <s v="CLI-0435"/>
        <s v="CLI-0691"/>
        <s v="CLI-0125"/>
        <s v="CLI-0127"/>
        <s v="CLI-0269"/>
        <s v="CLI-0463"/>
        <s v="CLI-0355"/>
        <s v="CLI-0851"/>
        <s v="CLI-0185"/>
        <s v="CLI-0511"/>
        <s v="CLI-0285"/>
        <s v="CLI-0729"/>
        <s v="CLI-0815"/>
        <s v="CLI-0775"/>
        <s v="CLI-0711"/>
        <s v="CLI-0763"/>
        <s v="CLI-0363"/>
        <s v="CLI-0301"/>
        <s v="CLI-0749"/>
        <s v="CLI-0893"/>
        <s v="CLI-0573"/>
        <s v="CLI-0789"/>
        <s v="CLI-0645"/>
        <s v="CLI-0583"/>
        <s v="CLI-0937"/>
        <s v="CLI-0779"/>
        <s v="CLI-0679"/>
        <s v="CLI-0063"/>
        <s v="CLI-0829"/>
        <s v="CLI-0461"/>
        <s v="CLI-0029"/>
        <s v="CLI-0313"/>
        <s v="CLI-0465"/>
        <s v="CLI-0757"/>
        <s v="CLI-0537"/>
        <s v="CLI-0531"/>
        <s v="CLI-0565"/>
        <s v="CLI-0279"/>
        <s v="CLI-0957"/>
        <s v="CLI-0233"/>
        <s v="CLI-0785"/>
        <s v="CLI-0919"/>
        <s v="CLI-0881"/>
        <s v="CLI-0867"/>
        <s v="CLI-0099"/>
        <s v="CLI-0123"/>
        <s v="CLI-0599"/>
        <s v="CLI-0477"/>
        <s v="CLI-0265"/>
        <s v="CLI-0933"/>
        <s v="CLI-0333"/>
        <s v="CLI-0083"/>
        <s v="CLI-0633"/>
        <s v="CLI-0431"/>
        <s v="CLI-0767"/>
        <s v="CLI-0315"/>
        <s v="CLI-0399"/>
        <s v="CLI-0897"/>
        <s v="CLI-0667"/>
        <s v="CLI-0131"/>
        <s v="CLI-0643"/>
        <s v="CLI-0777"/>
        <s v="CLI-0723"/>
        <s v="CLI-0085"/>
        <s v="CLI-0161"/>
        <s v="CLI-0953"/>
        <s v="CLI-0211"/>
        <s v="CLI-0049"/>
        <s v="CLI-0703"/>
        <s v="CLI-0593"/>
        <s v="CLI-0673"/>
        <s v="CLI-0549"/>
        <s v="CLI-0617"/>
        <s v="CLI-0043"/>
        <s v="CLI-0441"/>
        <s v="CLI-0871"/>
        <s v="CLI-0001"/>
        <s v="CLI-0707"/>
        <s v="CLI-0601"/>
        <s v="CLI-0541"/>
        <s v="CLI-0225"/>
        <s v="CLI-0669"/>
        <s v="CLI-0361"/>
        <s v="CLI-0047"/>
        <s v="CLI-0187"/>
        <s v="CLI-0483"/>
        <s v="CLI-0079"/>
        <s v="CLI-0021"/>
        <s v="CLI-0257"/>
        <s v="CLI-0681"/>
        <s v="CLI-0619"/>
        <s v="CLI-0221"/>
        <s v="CLI-0705"/>
        <s v="CLI-0947"/>
        <s v="CLI-0143"/>
        <s v="CLI-0811"/>
        <s v="CLI-0769"/>
        <s v="CLI-0569"/>
        <s v="CLI-0119"/>
        <s v="CLI-0837"/>
        <s v="CLI-0503"/>
        <s v="CLI-0521"/>
        <s v="CLI-0259"/>
        <s v="CLI-0865"/>
        <s v="CLI-0439"/>
        <s v="CLI-0387"/>
        <s v="CLI-0075"/>
        <s v="CLI-0397"/>
        <s v="CLI-0163"/>
        <s v="CLI-0095"/>
        <s v="CLI-0249"/>
        <s v="CLI-0621"/>
        <s v="CLI-0737"/>
        <s v="CLI-0475"/>
        <s v="CLI-0291"/>
        <s v="CLI-0336"/>
        <s v="CLI-0900"/>
        <s v="CLI-0642"/>
        <s v="CLI-0752"/>
        <s v="CLI-0580"/>
        <s v="CLI-0154"/>
        <s v="CLI-0314"/>
        <s v="CLI-0068"/>
        <s v="CLI-0840"/>
        <s v="CLI-0816"/>
        <s v="CLI-0318"/>
        <s v="CLI-0832"/>
        <s v="CLI-0658"/>
        <s v="CLI-0196"/>
        <s v="CLI-0618"/>
        <s v="CLI-0058"/>
        <s v="CLI-0866"/>
        <s v="CLI-0770"/>
        <s v="CLI-0276"/>
        <s v="CLI-0930"/>
        <s v="CLI-0514"/>
        <s v="CLI-0116"/>
        <s v="CLI-0448"/>
        <s v="CLI-0478"/>
        <s v="CLI-0118"/>
        <s v="CLI-0738"/>
        <s v="CLI-0134"/>
        <s v="CLI-0956"/>
        <s v="CLI-0470"/>
        <s v="CLI-0780"/>
        <s v="CLI-0690"/>
        <s v="CLI-0916"/>
        <s v="CLI-0070"/>
        <s v="CLI-0008"/>
        <s v="CLI-0776"/>
        <s v="CLI-0914"/>
        <s v="CLI-0578"/>
        <s v="CLI-0180"/>
        <s v="CLI-0392"/>
        <s v="CLI-0034"/>
        <s v="CLI-0680"/>
        <s v="CLI-0142"/>
        <s v="CLI-0676"/>
        <s v="CLI-0948"/>
        <s v="CLI-0700"/>
        <s v="CLI-0376"/>
        <s v="CLI-0208"/>
        <s v="CLI-0530"/>
        <s v="CLI-0632"/>
        <s v="CLI-0080"/>
        <s v="CLI-0086"/>
        <s v="CLI-0066"/>
        <s v="CLI-0378"/>
        <s v="CLI-0554"/>
        <s v="CLI-0794"/>
        <s v="CLI-0326"/>
        <s v="CLI-0786"/>
        <s v="CLI-0384"/>
        <s v="CLI-0520"/>
        <s v="CLI-0598"/>
        <s v="CLI-0166"/>
        <s v="CLI-0016"/>
        <s v="CLI-0238"/>
        <s v="CLI-0017"/>
        <s v="CLI-0231"/>
        <s v="CLI-0213"/>
        <s v="CLI-0383"/>
        <s v="CLI-0509"/>
        <s v="CLI-0901"/>
        <s v="CLI-0585"/>
        <s v="CLI-0839"/>
        <s v="CLI-0457"/>
        <s v="CLI-0443"/>
        <s v="CLI-0375"/>
        <s v="CLI-0731"/>
        <s v="CLI-0137"/>
        <s v="CLI-0589"/>
        <s v="CLI-0347"/>
        <s v="CLI-0647"/>
        <s v="CLI-0151"/>
        <s v="CLI-0401"/>
        <s v="CLI-0451"/>
        <s v="CLI-0341"/>
        <s v="CLI-0949"/>
        <s v="CLI-0523"/>
        <s v="CLI-0323"/>
        <s v="CLI-0791"/>
        <s v="CLI-0165"/>
        <s v="CLI-0661"/>
        <s v="CLI-0359"/>
        <s v="CLI-0274"/>
        <s v="CLI-0672"/>
        <s v="CLI-0400"/>
        <s v="CLI-0850"/>
        <s v="CLI-0200"/>
        <s v="CLI-0234"/>
        <s v="CLI-0532"/>
        <s v="CLI-0250"/>
        <s v="CLI-0368"/>
        <s v="CLI-0696"/>
        <s v="CLI-0282"/>
        <s v="CLI-0882"/>
        <s v="CLI-0896"/>
        <s v="CLI-0888"/>
        <s v="CLI-0184"/>
        <s v="CLI-0286"/>
        <s v="CLI-0148"/>
        <s v="CLI-0056"/>
        <s v="CLI-0706"/>
        <s v="CLI-0500"/>
        <s v="CLI-0574"/>
        <s v="CLI-0404"/>
        <s v="CLI-0340"/>
        <s v="CLI-0220"/>
        <s v="CLI-0022"/>
        <s v="CLI-0436"/>
        <s v="CLI-0164"/>
        <s v="CLI-0312"/>
        <s v="CLI-0502"/>
        <s v="CLI-0524"/>
        <s v="CLI-0418"/>
        <s v="CLI-0298"/>
        <s v="CLI-0334"/>
        <s v="CLI-0040"/>
        <s v="CLI-0910"/>
        <s v="CLI-0864"/>
        <s v="CLI-0484"/>
        <s v="CLI-0740"/>
        <s v="CLI-0490"/>
        <s v="CLI-0048"/>
        <s v="CLI-0262"/>
        <s v="CLI-0342"/>
        <s v="CLI-0592"/>
        <s v="CLI-0742"/>
        <s v="CLI-0838"/>
        <s v="CLI-0110"/>
        <s v="CLI-0156"/>
        <s v="CLI-0122"/>
        <s v="CLI-0450"/>
        <s v="CLI-0194"/>
        <s v="CLI-0054"/>
        <s v="CLI-0300"/>
        <s v="CLI-0884"/>
        <s v="CLI-0096"/>
        <s v="CLI-0778"/>
        <s v="CLI-0190"/>
        <s v="CLI-0624"/>
        <s v="CLI-0694"/>
        <s v="CLI-0422"/>
        <s v="CLI-0105"/>
        <s v="CLI-0197"/>
        <s v="CLI-0027"/>
        <s v="CLI-0783"/>
        <s v="CLI-0311"/>
        <s v="CLI-0345"/>
        <s v="CLI-0551"/>
        <s v="CLI-0019"/>
        <s v="CLI-0913"/>
        <s v="CLI-0805"/>
        <s v="CLI-0883"/>
        <s v="CLI-0813"/>
        <s v="CLI-0121"/>
        <s v="CLI-0579"/>
        <s v="CLI-0753"/>
        <s v="CLI-0517"/>
        <s v="CLI-0293"/>
        <s v="CLI-0931"/>
        <s v="CLI-0605"/>
        <s v="CLI-0199"/>
        <s v="CLI-0891"/>
        <s v="CLI-0425"/>
        <s v="CLI-0773"/>
        <s v="CLI-0695"/>
        <s v="CLI-0655"/>
        <s v="CLI-0927"/>
        <s v="CLI-0765"/>
        <s v="CLI-0219"/>
        <s v="CLI-0203"/>
        <s v="CLI-0327"/>
        <s v="CLI-0751"/>
        <s v="CLI-0807"/>
        <s v="CLI-0859"/>
        <s v="CLI-0317"/>
        <s v="CLI-0325"/>
        <s v="CLI-0625"/>
        <s v="CLI-0879"/>
        <s v="CLI-0139"/>
        <s v="CLI-0081"/>
        <s v="CLI-0038"/>
        <s v="CLI-0434"/>
        <s v="CLI-0860"/>
        <s v="CLI-0278"/>
        <s v="CLI-0540"/>
        <s v="CLI-0714"/>
        <s v="CLI-0100"/>
        <s v="CLI-0328"/>
        <s v="CLI-0764"/>
        <s v="CLI-0504"/>
        <s v="CLI-0076"/>
        <s v="CLI-0214"/>
        <s v="CLI-0010"/>
        <s v="CLI-0372"/>
        <s v="CLI-0678"/>
        <s v="CLI-0628"/>
        <s v="CLI-0320"/>
        <s v="CLI-0650"/>
        <s v="CLI-0542"/>
        <s v="CLI-0784"/>
        <s v="CLI-0288"/>
        <s v="CLI-0232"/>
        <s v="CLI-0572"/>
        <s v="CLI-0488"/>
        <s v="CLI-0606"/>
        <s v="CLI-0952"/>
        <s v="CLI-0322"/>
        <s v="CLI-0088"/>
        <s v="CLI-0800"/>
        <s v="CLI-0414"/>
        <s v="CLI-0548"/>
        <s v="CLI-0547"/>
        <s v="CLI-0263"/>
        <s v="CLI-0011"/>
        <s v="CLI-0639"/>
        <s v="CLI-0371"/>
        <s v="CLI-0289"/>
        <s v="CLI-0951"/>
        <s v="CLI-0309"/>
        <s v="CLI-0247"/>
        <s v="CLI-0039"/>
        <s v="CLI-0861"/>
        <s v="CLI-0109"/>
        <s v="CLI-0467"/>
        <s v="CLI-0479"/>
        <s v="CLI-0677"/>
        <s v="CLI-0319"/>
        <s v="CLI-0227"/>
        <s v="CLI-0613"/>
        <s v="CLI-0725"/>
        <s v="CLI-0193"/>
        <s v="CLI-0469"/>
        <s v="CLI-0741"/>
        <s v="CLI-0835"/>
        <s v="CLI-0055"/>
        <s v="CLI-0889"/>
        <s v="CLI-0487"/>
      </sharedItems>
    </cacheField>
    <cacheField name="RUT_Cliente" numFmtId="0">
      <sharedItems>
        <s v="17.907.842-1"/>
        <s v="18.661.277-6"/>
        <s v="19.532.688-1"/>
        <s v="17.238.764-2"/>
        <s v="21.180.527-K"/>
        <s v="15.617.915-5"/>
        <s v="18.809.561-9"/>
        <s v="21.871.809-9"/>
        <s v="15107618-7"/>
        <s v="22.476.077-K"/>
        <s v="13776102-7"/>
        <s v="20.297.968-3"/>
        <s v="19.537.899-0"/>
        <s v="17.286.867-9"/>
        <s v="13.189.660-2"/>
        <s v="22344182-8"/>
        <s v="14.191.545-7"/>
        <s v="12.390.974-2"/>
        <s v="14.774.123-3"/>
        <s v="15042157-3"/>
        <s v="16.752.592-9"/>
        <s v="16.902.804-3"/>
        <s v="15.508.689-5"/>
        <s v="20.532.244-4"/>
        <s v="21384372-2"/>
        <s v="18.405.031-4"/>
        <s v="14.707.341-2"/>
        <s v="12.466.467-9"/>
        <s v="15.737.306-6"/>
        <s v="14.068.812-0"/>
        <s v="12.715.632-3"/>
        <s v="21409726-8"/>
        <s v="15.114.550-4"/>
        <s v="12727815-0"/>
        <s v="12.170.111-9"/>
        <s v="11.955.434-4"/>
        <s v="13.451.347-2"/>
        <s v="15.481.798-9"/>
        <s v="21204928-8"/>
        <s v="11.719.561-0"/>
        <s v="20.881.696-6"/>
        <s v="17.148.986-5"/>
        <s v="14.910.269-7"/>
        <s v="11364673-7"/>
        <s v="13.008.833-3"/>
        <s v="18.580.834-7"/>
        <s v="13019670-2"/>
        <s v="11.124.171-2"/>
        <s v="17191972-2"/>
        <s v="16494746-5"/>
        <s v="20.992.389-9"/>
        <s v="14.402.092-1"/>
        <s v="19.349.246-8"/>
        <s v="17.550.135-7"/>
        <s v="13.913.938-0"/>
        <s v="17035538-0"/>
        <s v="15.447.490-9"/>
        <s v="19.079.232-2"/>
        <s v="21.272.458-K"/>
        <s v="20539681-6"/>
        <s v="17549161-0"/>
        <s v="19.580.611-4"/>
        <s v="15701172-8"/>
        <s v="18.456.416-2"/>
        <s v="17.180.304-4"/>
        <s v="19.083.668-6"/>
        <s v="19.714.207-1"/>
        <s v="15800408-5"/>
        <s v="21.961.385-3"/>
        <s v="16449603-4"/>
        <s v="22.335.089-8"/>
        <s v="21.122.939-8"/>
        <s v="19.334.906-5"/>
        <s v="14042889-8"/>
        <s v="20.139.202-3"/>
        <s v="13.832.868-7"/>
        <s v="17.684.442-7"/>
        <s v="13.560.270-4"/>
        <s v="21720037-1"/>
        <s v="21.006.193-8"/>
        <s v="15880893-6"/>
        <s v="12.338.090-0"/>
        <s v="16.640.904-8"/>
        <s v="22.160.319-1"/>
        <s v="19.132.132-4"/>
        <s v="19.855.454-8"/>
        <s v="12.693.162-2"/>
        <s v="13.567.526-1"/>
        <s v="15.884.916-5"/>
        <s v="13.994.580-1"/>
        <s v="15.793.359-4"/>
        <s v="22.103.785-5"/>
        <s v="20.569.422-4"/>
        <s v="14.570.317-2"/>
        <s v="13.127.689-6"/>
        <s v="12123240-4"/>
        <s v="13.870.401-5"/>
        <s v="12.684.699-1"/>
        <s v="17.948.040-3"/>
        <s v="16.331.357-3"/>
        <s v="12983533-4"/>
        <s v="17.175.124-K"/>
        <s v="17.077.140-3"/>
        <s v="22.465.052-9"/>
        <s v="19.745.270-K"/>
        <s v="15.389.419-1"/>
        <s v="19.107.255-1"/>
        <s v="22.398.288-8"/>
        <s v="17.304.268-1"/>
        <s v="21.406.401-6"/>
        <s v="15.362.740-2"/>
        <s v="16582459-2"/>
        <s v="11523517-0"/>
        <s v="14.053.360-1"/>
        <s v="15.748.609-1"/>
        <s v="13.760.186-2"/>
        <s v="15.243.099-8"/>
        <s v="11.817.630-6"/>
        <s v="20033907-7"/>
        <s v="17.104.224-5"/>
        <s v="19.237.425-6"/>
        <s v="11954776-2"/>
        <s v="20.135.847-2"/>
        <s v="14739177-1"/>
        <s v="19.274.372-5"/>
        <s v="13949475-4"/>
        <s v="13.182.612-K"/>
        <s v="16.003.120-8"/>
        <s v="12923901-1"/>
        <s v="13665216-3"/>
        <s v="13.859.516-2"/>
        <s v="18892472-7"/>
        <s v="22.143.256-0"/>
        <s v="22.471.805-K"/>
        <s v="14.504.587-8"/>
        <s v="12.432.984-4"/>
        <s v="16.790.585-1"/>
        <s v="13.738.369-1"/>
        <s v="13660995-K"/>
        <s v="16.570.174-3"/>
        <s v="19041953-0"/>
        <s v="15068863-9"/>
        <s v="11.334.295-K"/>
        <s v="12.128.111-6"/>
        <s v="18.597.293-3"/>
        <s v="14.794.638-1"/>
        <s v="20978853-9"/>
        <s v="15.941.938-2"/>
        <s v="15.068.981-8"/>
        <s v="15154631-6"/>
        <s v="16.198.351-5"/>
        <s v="18595218-3"/>
        <s v="11337710-K"/>
        <s v="16.853.495-8"/>
        <s v="16.778.830-K"/>
        <s v="13.937.626-4"/>
        <s v="18.568.719-4"/>
        <s v="19.780.884-9"/>
        <s v="18.307.928-2"/>
        <s v="13.705.155-9"/>
        <s v="17267821-3"/>
        <s v="22.439.068-5"/>
        <s v="11644274-6"/>
        <s v="18.136.797-1"/>
        <s v="11.711.201-3"/>
        <s v="11.371.492-K"/>
        <s v="21725442-1"/>
        <s v="16674344-9"/>
        <s v="18435178-1"/>
        <s v="15.803.213-7"/>
        <s v="19.686.743-6"/>
        <s v="15175033-2"/>
        <s v="16.213.253-9"/>
        <s v="15.251.345-3"/>
        <s v="12.798.780-K"/>
        <s v="22.496.173-1"/>
        <s v="18.401.624-8"/>
        <s v="16568024-6"/>
        <s v="14744482-7"/>
        <s v="14875190-K"/>
        <s v="11492005-4"/>
        <s v="17.746.452-8"/>
        <s v="22.452.644-K"/>
        <s v="18.725.853-K"/>
        <s v="11.006.460-0"/>
        <s v="20.240.014-6"/>
        <s v="15135391-8"/>
        <s v="19.874.701-7"/>
        <s v="14.379.132-7"/>
        <s v="20.005.286-7"/>
        <s v="14.442.129-8"/>
        <s v="18.733.998-0"/>
        <s v="12340018-9"/>
        <s v="18.622.686-3"/>
        <s v="21.146.164-1"/>
        <s v="17.564.282-1"/>
        <s v="16.433.272-3"/>
        <s v="19.801.145-6"/>
        <s v="12.785.688-8"/>
        <s v="16989738-2"/>
        <s v="14.777.630-2"/>
        <s v="19.008.702-7"/>
        <s v="16.780.298-1"/>
        <s v="13.869.290-4"/>
        <s v="11.109.485-6"/>
        <s v="17294373-7"/>
        <s v="18658986-5"/>
        <s v="19000979-6"/>
        <s v="16.529.760-7"/>
        <s v="15196514-5"/>
        <s v="12.812.552-0"/>
        <s v="14.527.558-5"/>
        <s v="11.144.885-4"/>
        <s v="15089448-8"/>
        <s v="12.842.943-K"/>
        <s v="14950656-4"/>
        <s v="11.789.099-K"/>
        <s v="17.036.648-1"/>
        <s v="20087213-1"/>
        <s v="19.561.465-8"/>
        <s v="19.533.094-4"/>
        <s v="19.227.000-9"/>
        <s v="21.710.466-4"/>
        <s v="12.496.774-0"/>
        <s v="20.660.647-1"/>
        <s v="19.148.073-2"/>
        <s v="13.172.553-6"/>
        <s v="12.133.167-1"/>
        <s v="16.321.210-4"/>
        <s v="11748830-1"/>
        <s v="11.314.663-7"/>
        <s v="22.208.727-4"/>
        <s v="12391240-2"/>
        <s v="20.171.697-K"/>
        <s v="15.894.833-4"/>
        <s v="20947764-8"/>
        <s v="13.452.058-2"/>
        <s v="11.132.063-6"/>
        <s v="22.046.704-5"/>
        <s v="14.592.281-K"/>
        <s v="14.363.811-1"/>
        <s v="20522529-8"/>
        <s v="16.653.101-9"/>
        <s v="17.702.238-6"/>
        <s v="16.782.697-2"/>
        <s v="20.890.986-K"/>
        <s v="18.814.444-8"/>
        <s v="19.956.154-K"/>
        <s v="13.709.077-9"/>
        <s v="13.329.525-0"/>
        <s v="21773005-0"/>
        <s v="14.182.624-6"/>
        <s v="19.932.030-4"/>
        <s v="20.368.247-9"/>
        <s v="18.441.773-K"/>
        <s v="19.354.909-4"/>
        <s v="12.737.571-K"/>
        <s v="20.055.540-8"/>
        <s v="16288328-4"/>
        <s v="18.477.147-3"/>
        <s v="14.974.035-2"/>
        <s v="14.288.735-9"/>
        <s v="18.012.616-2"/>
        <s v="13.265.380-1"/>
        <s v="20.269.552-1"/>
        <s v="17.962.366-9"/>
        <s v="19.819.983-0"/>
        <s v="12406274-K"/>
        <s v="22321388-5"/>
        <s v="20.120.349-K"/>
        <s v="20.630.690-6"/>
        <s v="17.616.164-2"/>
        <s v="12.657.047-1"/>
        <s v="18.690.873-3"/>
        <s v="14106242-5"/>
        <s v="21.890.262-5"/>
        <s v="16568734-5"/>
        <s v="14.622.252-K"/>
        <s v="17.257.650-4"/>
        <s v="13536070-0"/>
        <s v="16333000-K"/>
        <s v="13.089.278-7"/>
        <s v="18.058.116-0"/>
        <s v="20336972-4"/>
        <s v="22.218.806-5"/>
        <s v="11158641-2"/>
        <s v="15.480.982-0"/>
        <s v="15.570.317-9"/>
        <s v="21.940.732-9"/>
        <s v="14084888-K"/>
        <s v="15.180.463-K"/>
        <s v="13.745.009-7"/>
        <s v="22.082.736-1"/>
        <s v="15.205.400-3"/>
        <s v="14.790.263-0"/>
        <s v="18108370-2"/>
        <s v="17.577.741-3"/>
        <s v="12.940.421-3"/>
        <s v="19.641.338-6"/>
        <s v="19940033-9"/>
        <s v="13658191-7"/>
        <s v="14962382-4"/>
        <s v="20.618.398-K"/>
        <s v="11.267.000-7"/>
        <s v="17.728.851-3"/>
        <s v="12.087.846-7"/>
        <s v="11.106.386-8"/>
        <s v="21.481.289-9"/>
        <s v="19499949-6"/>
        <s v="12.218.638-K"/>
        <s v="21654314-7"/>
        <s v="12504337-5"/>
        <s v="15.833.955-4"/>
        <s v="20.646.993-7"/>
        <s v="16396429-1"/>
        <s v="18.203.480-4"/>
        <s v="20.607.532-5"/>
        <s v="18.309.696-0"/>
        <s v="11.365.738-5"/>
        <s v="13391356-5"/>
        <s v="11.429.457-0"/>
        <s v="13.248.557-6"/>
        <s v="12.130.613-7"/>
        <s v="22.490.862-3"/>
        <s v="13.365.982-4"/>
        <s v="14.353.927-5"/>
        <s v="22.111.002-6"/>
        <s v="16.484.106-5"/>
        <s v="17.574.755-4"/>
        <s v="12.793.884-2"/>
        <s v="14.151.650-3"/>
        <s v="17.751.844-0"/>
        <s v="15346894-6"/>
        <s v="22.205.910-K"/>
        <s v="11.784.698-7"/>
        <s v="15.319.162-9"/>
        <s v="18.135.952-3"/>
        <s v="14.320.931-0"/>
        <s v="21.792.962-8"/>
        <s v="16.639.676-7"/>
        <s v="13214911-5"/>
        <s v="18.968.758-6"/>
        <s v="20.171.486-1"/>
        <s v="17.270.351-4"/>
        <s v="18.142.181-5"/>
        <s v="20.238.579-6"/>
        <s v="16.226.884-9"/>
        <s v="14.761.892-9"/>
        <s v="18329058-1"/>
        <s v="11.634.869-2"/>
        <s v="16778493-4"/>
        <s v="16.287.875-4"/>
        <s v="15748097-K"/>
        <s v="14.197.146-6"/>
        <s v="22.429.727-0"/>
        <s v="13.831.723-5"/>
        <s v="12.232.514-4"/>
        <s v="16174998-K"/>
        <s v="21820682-7"/>
        <s v="20.093.525-5"/>
        <s v="20.692.778-7"/>
        <s v="18.781.729-8"/>
        <s v="12.454.201-2"/>
        <s v="17847176-8"/>
        <s v="12.321.728-6"/>
        <s v="21.144.931-6"/>
        <s v="14.827.339-6"/>
        <s v="13804487-9"/>
        <s v="13.658.110-1"/>
        <s v="13155270-5"/>
        <s v="19.485.484-7"/>
        <s v="11.419.875-7"/>
        <s v="15.099.380-3"/>
        <s v="21.438.850-4"/>
        <s v="18.278.828-4"/>
        <s v="15596050-3"/>
        <s v="17847811-6"/>
        <s v="17544238-6"/>
        <s v="13300212-9"/>
        <s v="20.174.207-2"/>
        <s v="15.325.544-5"/>
        <s v="20.046.968-0"/>
        <s v="15.357.005-K"/>
        <s v="13935105-3"/>
        <s v="21.183.521-3"/>
        <s v="21.856.829-7"/>
        <s v="17.104.152-7"/>
        <s v="14.121.772-1"/>
        <s v="11.924.064-K"/>
        <s v="11.035.787-2"/>
        <s v="20.481.881-6"/>
        <s v="16.299.256-3"/>
        <s v="20813557-K"/>
        <s v="21.645.631-9"/>
        <s v="21.060.298-5"/>
        <s v="14.683.944-7"/>
        <s v="14.274.417-9"/>
        <s v="19.176.462-3"/>
        <s v="15.504.619-7"/>
        <s v="21.148.772-3"/>
        <s v="20.402.060-0"/>
        <s v="21.664.994-6"/>
        <s v="13018615-9"/>
        <s v="20.274.430-9"/>
        <s v="16.930.582-3"/>
        <s v="17.658.967-3"/>
        <s v="11.996.907-K"/>
        <s v="14.307.016-8"/>
        <s v="18.171.355-0"/>
        <s v="18554186-9"/>
        <s v="18.089.185-5"/>
        <s v="12545104-9"/>
        <s v="13.781.787-4"/>
        <s v="17.292.330-0"/>
        <s v="17.882.605-5"/>
        <s v="13.677.685-7"/>
        <s v="17530160-K"/>
        <s v="13.023.527-6"/>
        <s v="17.768.195-8"/>
        <s v="17.993.339-9"/>
        <s v="14.609.386-4"/>
        <s v="21.977.460-4"/>
        <s v="11.855.680-0"/>
        <s v="17516727-7"/>
        <s v="19.674.606-K"/>
        <s v="22320514-8"/>
        <s v="12.065.869-K"/>
        <s v="15.161.567-7"/>
        <s v="13.034.986-8"/>
        <s v="11085741-5"/>
        <s v="14.288.488-4"/>
        <s v="19.734.827-9"/>
        <s v="13.968.025-9"/>
        <s v="21.973.771-K"/>
        <s v="15623137-7"/>
        <s v="21043067-5"/>
        <s v="22.414.645-5"/>
        <s v="21.435.970-1"/>
        <s v="14.033.341-K"/>
        <s v="13.199.497-2"/>
        <s v="13959448-7"/>
        <s v="15.379.306-8"/>
        <s v="19.239.974-8"/>
        <s v="12.811.449-9"/>
        <s v="21.392.014-3"/>
        <s v="13.623.382-7"/>
        <s v="18.102.378-1"/>
        <s v="18.005.566-2"/>
        <s v="19406750-3"/>
        <s v="12.308.398-2"/>
        <s v="19.331.716-2"/>
        <s v="11.770.984-4"/>
        <s v="21.035.069-7"/>
        <s v="15199395-K"/>
        <s v="13.858.633-3"/>
        <s v="13.031.041-5"/>
        <s v="11.455.790-3"/>
        <s v="18127374-3"/>
        <s v="17082484-5"/>
        <s v="20.385.314-8"/>
        <s v="14857626-1"/>
        <s v="18.433.263-3"/>
        <s v="20.974.505-1"/>
        <s v="14.290.806-6"/>
        <s v="18.671.315-3"/>
        <s v="13.327.454-4"/>
        <s v="13.044.924-9"/>
        <s v="21921753-0"/>
        <s v="14557116-9"/>
        <s v="19.321.865-5"/>
        <s v="21.648.841-5"/>
        <s v="19606324-6"/>
        <s v="15.944.823-1"/>
        <s v="18.906.949-2"/>
        <s v="17.556.280-2"/>
        <s v="11.590.111-7"/>
        <s v="13.317.013-0"/>
        <s v="14.640.218-2"/>
        <s v="14.269.683-0"/>
        <s v="11.565.633-2"/>
        <s v="13.503.749-2"/>
        <s v="18.314.224-8"/>
        <s v="11515221-6"/>
        <s v="19.070.577-K"/>
        <s v="13.496.683-7"/>
        <s v="19.972.651-K"/>
        <s v="19427433-5"/>
        <s v="15189603-3"/>
        <s v="21.702.391-4"/>
        <s v="16460400-8"/>
        <s v="19.291.077-K"/>
        <s v="13.697.302-7"/>
        <s v="15.399.824-1"/>
        <s v="18798805-9"/>
        <s v="11768224-1"/>
        <s v="17.952.914-2"/>
        <s v="13.602.416-2"/>
        <s v="19.719.398-K"/>
        <s v="21.072.670-4"/>
        <s v="18.284.772-7"/>
        <s v="22.280.617-7"/>
        <s v="20.807.597-0"/>
        <s v="12813546-K"/>
        <s v="14.557.496-K"/>
        <s v="14.040.606-9"/>
        <s v="21710510-7"/>
        <s v="13.398.324-7"/>
        <s v="17.187.426-6"/>
        <s v="14.126.254-8"/>
        <s v="19.859.067-1"/>
        <s v="21.727.277-4"/>
        <s v="21.587.796-6"/>
        <s v="20.676.953-3"/>
        <s v="15.283.259-1"/>
        <s v="13.947.751-1"/>
        <s v="18.519.776-2"/>
        <s v="21015512-3"/>
        <s v="13.054.944-6"/>
        <s v="11.920.183-K"/>
        <s v="12444565-7"/>
        <s v="15.566.692-2"/>
        <s v="20639838-0"/>
        <s v="17.942.818-3"/>
        <s v="21.681.359-7"/>
        <s v="21343443-K"/>
        <s v="17.644.890-8"/>
        <s v="20.597.692-K"/>
        <s v="15782346-2"/>
        <s v="22262140-4"/>
        <s v="18.689.610-6"/>
        <s v="15.835.786-0"/>
        <s v="21.472.222-2"/>
        <s v="17181860-9"/>
        <s v="11.394.486-4"/>
        <s v="11.685.287-7"/>
        <s v="14.134.648-9"/>
        <s v="13.686.668-5"/>
        <s v="16.734.602-0"/>
        <s v="16.363.883-7"/>
        <s v="17.267.663-1"/>
        <s v="21.059.002-8"/>
        <s v="11.347.095-9"/>
        <s v="15.417.614-1"/>
        <s v="11.385.229-7"/>
        <s v="12.577.238-5"/>
        <s v="17.723.690-1"/>
        <s v="12.592.377-0"/>
        <s v="13205217-8"/>
        <s v="11.045.450-1"/>
        <s v="19540155-7"/>
        <s v="15.213.079-0"/>
        <s v="15.152.724-3"/>
        <s v="11154460-6"/>
        <s v="19.077.235-7"/>
        <s v="21.781.456-4"/>
        <s v="12.587.011-9"/>
        <s v="19.577.833-1"/>
        <s v="11.401.900-2"/>
        <s v="18036179-1"/>
        <s v="21.978.377-3"/>
        <s v="16186901-1"/>
        <s v="19445442-K"/>
        <s v="19244049-1"/>
        <s v="16.608.401-9"/>
        <s v="16635029-5"/>
        <s v="12.573.722-5"/>
        <s v="11.356.961-4"/>
        <s v="16.239.673-0"/>
        <s v="12653236-K"/>
        <s v="14.590.258-1"/>
        <s v="20.646.504-5"/>
        <s v="21.323.918-1"/>
        <s v="18.844.773-2"/>
        <s v="15.297.059-5"/>
        <s v="15.017.305-3"/>
        <s v="12882211-1"/>
        <s v="19.767.846-K"/>
        <s v="13.273.886-0"/>
        <s v="11.094.056-2"/>
        <s v="17.329.221-2"/>
        <s v="17.879.542-4"/>
        <s v="21.818.532-4"/>
        <s v="16.351.348-6"/>
        <s v="17.830.539-7"/>
        <s v="20.366.353-0"/>
        <s v="21.116.953-6"/>
        <s v="19.157.010-8"/>
        <s v="12.244.266-8"/>
        <s v="20.767.455-0"/>
        <s v="22.378.663-3"/>
        <s v="20.008.964-3"/>
        <s v="17.114.870-6"/>
        <s v="18958546-6"/>
        <s v="14.637.441-K"/>
        <s v="13.259.534-5"/>
        <s v="21.230.920-5"/>
        <s v="13271733-3"/>
        <s v="16286124-6"/>
        <s v="14.294.333-2"/>
        <s v="19888134-9"/>
        <s v="12.019.596-4"/>
        <s v="12080467-K"/>
        <s v="11040355-4"/>
        <s v="14.853.288-K"/>
        <s v="15.877.258-3"/>
        <s v="11.837.195-9"/>
        <s v="12.564.358-1"/>
        <s v="19.479.808-K"/>
        <s v="20481651-5"/>
        <s v="12.183.435-6"/>
        <s v="13.292.673-5"/>
        <s v="19783717-4"/>
        <s v="18770320-1"/>
        <s v="13.137.745-7"/>
        <s v="20.261.325-7"/>
        <s v="21243426-0"/>
        <s v="16510482-0"/>
        <s v="20134873-K"/>
        <s v="17.118.066-0"/>
        <s v="17.018.530-4"/>
        <s v="19.693.520-2"/>
        <s v="18.332.488-6"/>
        <s v="16.870.633-5"/>
        <s v="14.331.264-2"/>
        <s v="18.376.078-9"/>
        <s v="18765805-3"/>
        <s v="11562196-8"/>
        <s v="14.750.266-K"/>
        <s v="20.227.925-4"/>
        <s v="16695468-8"/>
        <s v="18115354-6"/>
        <s v="22.006.541-5"/>
        <s v="20.589.402-2"/>
        <s v="18.223.820-2"/>
        <s v="16.582.830-3"/>
        <s v="19.431.904-7"/>
        <s v="13.573.284-1"/>
        <s v="15688278-1"/>
        <s v="18.247.565-2"/>
        <s v="19.157.124-1"/>
        <s v="18.898.568-6"/>
        <s v="11949041-8"/>
        <s v="15101992-1"/>
        <s v="14.114.949-7"/>
        <s v="12.928.449-8"/>
        <s v="17.015.200-3"/>
        <s v="14.781.887-6"/>
        <s v="15.412.692-4"/>
        <s v="20201217-7"/>
        <s v="16.796.171-3"/>
        <s v="11.806.861-7"/>
        <s v="16.228.639-5"/>
        <s v="22.392.295-7"/>
        <s v="19.157.371-2"/>
        <s v="19125938-9"/>
        <s v="17.980.299-5"/>
        <s v="21.504.667-4"/>
        <s v="21241989-7"/>
        <s v="21.504.216-K"/>
        <s v="12.449.255-5"/>
        <s v="22.397.117-0"/>
        <s v="19.033.265-0"/>
        <s v="18.375.973-3"/>
        <s v="20.762.083-9"/>
        <s v="17006297-5"/>
        <s v="18.506.049-K"/>
        <s v="18.786.048-7"/>
        <s v="16714058-4"/>
        <s v="22.488.731-4"/>
        <s v="16.747.630-6"/>
        <s v="16.987.090-9"/>
        <s v="19.492.163-0"/>
        <s v="12.857.780-8"/>
        <s v="21.668.331-2"/>
        <s v="16.406.929-5"/>
        <s v="12.665.727-0"/>
        <s v="17391541-7"/>
        <s v="15.607.588-8"/>
        <s v="18.066.386-0"/>
        <s v="18.346.735-2"/>
        <s v="18.159.339-0"/>
        <s v="19.242.265-4"/>
        <s v="13856777-7"/>
        <s v="22051983-2"/>
        <s v="12886659-4"/>
        <s v="14317116-3"/>
        <s v="14.214.378-9"/>
        <s v="14409785-2"/>
        <s v="13.137.317-K"/>
        <s v="14.102.561-4"/>
        <s v="17.537.410-9"/>
        <s v="18460324-5"/>
        <s v="16.570.888-6"/>
        <s v="12.592.312-3"/>
        <s v="11964091-1"/>
        <s v="21.872.901-7"/>
        <s v="18.203.155-2"/>
        <s v="21.373.232-6"/>
        <s v="20616469-6"/>
        <s v="14.550.971-4"/>
        <s v="12.224.435-5"/>
        <s v="14831577-1"/>
        <s v="17.345.273-4"/>
        <s v="11.947.956-9"/>
        <s v="19.764.054-K"/>
        <s v="15.488.455-5"/>
        <s v="17.165.614-7"/>
        <s v="17.415.100-2"/>
        <s v="15.578.153-2"/>
        <s v="14.508.733-0"/>
        <s v="20772777-8"/>
        <s v="14680066-K"/>
        <s v="19534637-4"/>
        <s v="21.871.275-1"/>
        <s v="20.139.527-6"/>
        <s v="20.920.402-8"/>
        <s v="22.116.094-3"/>
        <s v="14.754.313-4"/>
        <s v="20.069.414-5"/>
        <s v="16.466.946-4"/>
        <s v="13.923.397-K"/>
        <s v="17.186.427-9"/>
        <s v="20.947.049-9"/>
        <s v="19.527.046-6"/>
        <s v="22.258.129-1"/>
        <s v="16358929-4"/>
        <s v="14443843-0"/>
        <s v="13.866.124-K"/>
        <s v="18.344.489-0"/>
        <s v="21.045.510-0"/>
        <s v="14.652.289-K"/>
        <s v="19.362.264-8"/>
        <s v="20183945-2"/>
        <s v="16.879.611-K"/>
        <s v="16.919.998-8"/>
        <s v="21.955.710-0"/>
        <s v="19556534-4"/>
        <s v="16.712.548-7"/>
        <s v="20.500.405-0"/>
        <s v="22.089.634-3"/>
        <s v="13.977.978-6"/>
        <s v="14.660.453-8"/>
        <s v="19.510.024-1"/>
        <s v="20.266.869-8"/>
        <s v="20.205.046-2"/>
        <s v="13.095.448-9"/>
        <s v="20693029-2"/>
        <s v="18.129.373-8"/>
        <s v="15.214.856-0"/>
        <s v="16.731.889-7"/>
        <s v="17840614-1"/>
        <s v="12.277.419-6"/>
        <s v="12019949-K"/>
        <s v="14186186-0"/>
        <s v="20.909.324-5"/>
        <s v="19062672-8"/>
        <s v="20923128-9"/>
        <s v="17.189.268-3"/>
        <s v="16.210.224-6"/>
        <s v="20.604.176-8"/>
        <s v="13.263.736-6"/>
        <s v="20.269.276-3"/>
        <s v="20.498.090-2"/>
        <s v="12.819.085-3"/>
        <s v="18349367-1"/>
        <s v="15.099.642-7"/>
        <s v="16724811-4"/>
        <s v="17404614-9"/>
        <s v="18.925.361-6"/>
        <s v="11.115.623-8"/>
        <s v="22.427.853-5"/>
        <s v="18620093-6"/>
        <s v="18686604-4"/>
        <s v="18.670.989-K"/>
        <s v="19518387-3"/>
        <s v="17.924.887-7"/>
        <s v="18.955.877-2"/>
        <s v="11.155.046-6"/>
        <s v="12.905.286-7"/>
        <s v="13.425.058-7"/>
        <s v="14.609.189-2"/>
        <s v="12419872-K"/>
        <s v="14.530.108-8"/>
        <s v="13925978-2"/>
        <s v="16.201.734-5"/>
        <s v="15.595.705-8"/>
        <s v="12619604-1"/>
        <s v="20.901.942-9"/>
        <s v="19.919.858-2"/>
        <s v="18.312.634-3"/>
        <s v="12.722.794-2"/>
        <s v="19.452.816-9"/>
        <s v="16.063.861-7"/>
        <s v="19.868.589-5"/>
        <s v="19.238.374-2"/>
        <s v="15.160.951-5"/>
        <s v="13.044.577-K"/>
        <s v="18.589.730-4"/>
        <s v="22.022.194-3"/>
        <s v="15.955.249-4"/>
        <s v="17.428.855-K"/>
        <s v="13.024.456-3"/>
        <s v="22.117.907-7"/>
        <s v="13411907-8"/>
        <s v="17.700.855-2"/>
        <s v="21.302.188-7"/>
        <s v="17918884-4"/>
        <s v="14.693.736-7"/>
        <s v="21.074.922-3"/>
        <s v="13611488-2"/>
        <s v="19.743.139-4"/>
        <s v="17.108.951-7"/>
        <s v="15686862-6"/>
        <s v="12.762.444-8"/>
        <s v="18534699-2"/>
        <s v="22.249.982-5"/>
        <s v="15.753.418-K"/>
        <s v="16.049.078-K"/>
        <s v="14216753-K"/>
        <s v="20670432-3"/>
        <s v="15999628-0"/>
        <s v="18.156.584-1"/>
        <s v="21.906.214-3"/>
        <s v="12.820.959-5"/>
        <s v="16129204-0"/>
        <s v="12.322.581-5"/>
        <s v="20462604-K"/>
        <s v="22007561-3"/>
        <s v="20.502.004-6"/>
        <s v="14838575-4"/>
        <s v="17.279.773-9"/>
        <s v="15956189-5"/>
        <s v="14046123-2"/>
        <s v="21.632.921-6"/>
        <s v="19.552.605-0"/>
        <s v="13.098.010-8"/>
        <s v="15405499-K"/>
        <s v="17976596-0"/>
        <s v="16.617.720-K"/>
        <s v="20.266.622-8"/>
        <s v="18.378.016-2"/>
        <s v="15.610.715-5"/>
        <s v="19.595.950-5"/>
        <s v="20.942.549-4"/>
        <s v="19.637.927-2"/>
        <s v="17.694.695-2"/>
        <s v="13.520.150-2"/>
        <s v="16.770.456-K"/>
        <s v="20.871.270-5"/>
        <s v="16327799-3"/>
        <s v="13.347.500-4"/>
        <s v="17.449.223-K"/>
        <s v="11.750.826-1"/>
        <s v="14651582-0"/>
        <s v="12.265.019-7"/>
        <s v="14.398.770-5"/>
        <s v="14.913.083-K"/>
        <s v="22.290.123-7"/>
        <s v="16050608-1"/>
        <s v="15.950.657-5"/>
        <s v="22.467.181-4"/>
        <s v="16.632.116-2"/>
        <s v="13.667.446-4"/>
        <s v="16.766.254-5"/>
        <s v="22174016-3"/>
        <s v="11.664.625-K"/>
        <s v="16.677.110-8"/>
        <s v="14.972.823-9"/>
        <s v="21.026.989-9"/>
        <s v="16259379-5"/>
        <s v="21.035.289-2"/>
        <s v="17.633.779-8"/>
        <s v="21.326.779-3"/>
        <s v="16.779.465-4"/>
        <s v="11.390.200-1"/>
        <s v="14.055.883-K"/>
        <s v="11702055-6"/>
        <s v="16493706-8"/>
        <s v="17476191-4"/>
        <s v="21135963-2"/>
        <s v="18.073.078-8"/>
        <s v="11.750.197-7"/>
        <s v="14361797-0"/>
        <s v="22.064.179-3"/>
        <s v="15.201.661-9"/>
        <s v="19.755.977-2"/>
        <s v="17.034.609-0"/>
        <s v="17610948-8"/>
        <s v="19.448.862-6"/>
        <s v="21.528.661-4"/>
        <s v="13.978.939-6"/>
        <s v="15.366.388-1"/>
        <s v="12.664.059-K"/>
        <s v="21.140.047-5"/>
        <s v="18.612.743-1"/>
        <s v="13.738.328-0"/>
        <s v="15.131.605-3"/>
        <s v="12.921.500-1"/>
        <s v="11.338.107-4"/>
        <s v="15.343.944-1"/>
        <s v="17.921.702-3"/>
        <s v="11.272.844-6"/>
        <s v="12.643.286-2"/>
        <s v="22.221.584-1"/>
        <s v="21929445-1"/>
        <s v="15194399-2"/>
        <s v="11.589.484-7"/>
        <s v="11.053.368-6"/>
        <s v="13.117.339-5"/>
        <s v="18.692.246-4"/>
        <s v="13.544.045-8"/>
        <s v="11.050.232-K"/>
        <s v="18844610-4"/>
        <s v="15.831.076-1"/>
        <s v="18.077.884-K"/>
        <s v="13788476-9"/>
        <s v="12.365.915-7"/>
        <s v="14.746.278-4"/>
        <s v="17.956.679-5"/>
        <s v="17874958-4"/>
        <s v="18271689-0"/>
        <s v="20.122.214-9"/>
        <s v="11768210-4"/>
        <s v="11.329.226-8"/>
        <s v="12.256.687-3"/>
        <s v="16.723.002-0"/>
        <s v="11.678.385-2"/>
        <s v="20.151.659-4"/>
        <s v="22376288-1"/>
        <s v="11.496.340-5"/>
        <s v="11894967-4"/>
        <s v="11.000.930-9"/>
        <s v="14.532.054-2"/>
        <s v="15.054.974-8"/>
        <s v="12.170.250-5"/>
        <s v="16.965.529-2"/>
        <s v="16.895.044-K"/>
        <s v="20818268-6"/>
        <s v="20.227.751-1"/>
        <s v="18.340.158-8"/>
        <s v="13.220.131-9"/>
        <s v="19.431.960-9"/>
        <s v="14.863.931-1"/>
        <s v="13.940.643-3"/>
        <s v="15399265-1"/>
        <s v="19.011.762-1"/>
        <s v="11.817.756-3"/>
        <s v="22.276.530-K"/>
        <s v="16.481.237-2"/>
        <s v="20230848-3"/>
        <s v="12.150.969-1"/>
        <s v="13374637-1"/>
        <s v="22175780-4"/>
        <s v="11.500.055-5"/>
        <s v="11543884-4"/>
        <s v="17.871.403-2"/>
      </sharedItems>
    </cacheField>
    <cacheField name="Nombre Limpio" numFmtId="0">
      <sharedItems>
        <s v="Álvaro Araya Soto"/>
        <s v="Álvaro Contreras Pérez"/>
        <s v="Álvaro Díaz Vergara"/>
        <s v="Álvaro Fuentes Araya"/>
        <s v="Álvaro Fuentes González"/>
        <s v="Álvaro López Araya"/>
        <s v="Álvaro López Morales"/>
        <s v="Álvaro López Silva"/>
        <s v="Álvaro López Vergara"/>
        <s v="Álvaro Morales López"/>
        <s v="Álvaro Muñoz Sepúlveda"/>
        <s v="Álvaro Pérez Soto"/>
        <s v="Álvaro Pérez Vergara"/>
        <s v="Álvaro Rodríguez Rodríguez"/>
        <s v="Álvaro Rojas Contreras"/>
        <s v="Álvaro Rojas Morales"/>
        <s v="Álvaro Rojas Soto"/>
        <s v="Álvaro Sepúlveda López"/>
        <s v="Álvaro Soto Silva"/>
        <s v="Álvaro Soto Vergara"/>
        <s v="Álvaro Tapia Contreras"/>
        <s v="Álvaro Tapia Díaz"/>
        <s v="Álvaro Tapia Espinoza"/>
        <s v="Álvaro Tapia Morales"/>
        <s v="Álvaro Tapia Rojas"/>
        <s v="Álvaro Valenzuela Rodríguez"/>
        <s v="Álvaro Valenzuela Valenzuela"/>
        <s v="Andrea Araya Muñoz"/>
        <s v="Andrea Contreras Díaz"/>
        <s v="Andrea Contreras González"/>
        <s v="Andrea Contreras Morales"/>
        <s v="Andrea Díaz Araya"/>
        <s v="Andrea Díaz Tapia"/>
        <s v="Andrea Espinoza Vergara"/>
        <s v="Andrea González Espinoza"/>
        <s v="Andrea González Sepúlveda"/>
        <s v="Andrea González Silva"/>
        <s v="Andrea López Fuentes"/>
        <s v="Andrea López González"/>
        <s v="Andrea López Rojas"/>
        <s v="Andrea Morales Díaz"/>
        <s v="Andrea Morales Soto"/>
        <s v="Andrea Muñoz Araya"/>
        <s v="Andrea Pérez Contreras"/>
        <s v="Andrea Pérez López"/>
        <s v="Andrea Rojas Fuentes"/>
        <s v="Andrea Sepúlveda Espinoza"/>
        <s v="Andrea Sepúlveda López"/>
        <s v="Andrea Sepúlveda Valenzuela"/>
        <s v="Andrea Silva Díaz"/>
        <s v="Andrea Silva Morales"/>
        <s v="Andrea Silva Silva"/>
        <s v="Andrea Soto Rodríguez"/>
        <s v="Andrea Tapia Pérez"/>
        <s v="Andrea Vergara López"/>
        <s v="Beatriz Araya Fuentes"/>
        <s v="Beatriz Araya Valenzuela"/>
        <s v="Beatriz Contreras González"/>
        <s v="Beatriz Espinoza Pérez"/>
        <s v="Beatriz Espinoza Silva"/>
        <s v="Beatriz Fuentes Araya"/>
        <s v="Beatriz Fuentes Espinoza"/>
        <s v="Beatriz Fuentes Rojas"/>
        <s v="Beatriz González Sepúlveda"/>
        <s v="Beatriz Muñoz Díaz"/>
        <s v="Beatriz Pérez Fuentes"/>
        <s v="Beatriz Pérez Silva"/>
        <s v="Beatriz Rojas Valenzuela"/>
        <s v="Beatriz Sepúlveda Morales"/>
        <s v="Beatriz Silva Araya"/>
        <s v="Beatriz Silva Díaz"/>
        <s v="Beatriz Silva Morales"/>
        <s v="Beatriz Tapia Morales"/>
        <s v="Beatriz Tapia Silva"/>
        <s v="Beatriz Tapia Tapia"/>
        <s v="Beatriz Tapia Valenzuela"/>
        <s v="Beatriz Valenzuela Rodríguez"/>
        <s v="Camila Araya Araya"/>
        <s v="Camila Araya Fuentes"/>
        <s v="Camila Araya Sepúlveda"/>
        <s v="Camila Contreras Espinoza"/>
        <s v="Camila Contreras Silva"/>
        <s v="Camila Díaz Fuentes"/>
        <s v="Camila Espinoza Sepúlveda"/>
        <s v="Camila Fuentes González"/>
        <s v="Camila Fuentes Vergara"/>
        <s v="Camila Morales González"/>
        <s v="Camila Morales Sepúlveda"/>
        <s v="Camila Morales Tapia"/>
        <s v="Camila Rodríguez Silva"/>
        <s v="Camila Rojas González"/>
        <s v="Camila Rojas López"/>
        <s v="Camila Rojas Morales"/>
        <s v="Camila Rojas Silva"/>
        <s v="Camila Rojas Tapia"/>
        <s v="Camila Silva Vergara"/>
        <s v="Camila Soto Morales"/>
        <s v="Camila Tapia Sepúlveda"/>
        <s v="Camila Valenzuela Contreras"/>
        <s v="Camila Valenzuela Rojas"/>
        <s v="Camila Vergara Espinoza"/>
        <s v="Camila Vergara Morales"/>
        <s v="Camila Vergara Sepúlveda"/>
        <s v="Camila Vergara Tapia"/>
        <s v="Camila Vergara Valenzuela"/>
        <s v="Carolina Araya López"/>
        <s v="Carolina Araya Muñoz"/>
        <s v="Carolina Araya Pérez"/>
        <s v="Carolina Contreras Espinoza"/>
        <s v="Carolina Contreras Pérez"/>
        <s v="Carolina Díaz Espinoza"/>
        <s v="Carolina Espinoza Díaz"/>
        <s v="Carolina Espinoza Espinoza"/>
        <s v="Carolina Fuentes Valenzuela"/>
        <s v="Carolina González Pérez"/>
        <s v="Carolina González Soto"/>
        <s v="Carolina González Valenzuela"/>
        <s v="Carolina López González"/>
        <s v="Carolina Morales González"/>
        <s v="Carolina Morales López"/>
        <s v="Carolina Pérez Sepúlveda"/>
        <s v="Carolina Rodríguez Araya"/>
        <s v="Carolina Rodríguez Espinoza"/>
        <s v="Carolina Rodríguez Morales"/>
        <s v="Carolina Rojas Araya"/>
        <s v="Carolina Sepúlveda Araya"/>
        <s v="Carolina Silva Fuentes"/>
        <s v="Carolina Silva Rodríguez"/>
        <s v="Carolina Soto Espinoza"/>
        <s v="Carolina Soto Tapia"/>
        <s v="Carolina Tapia Rodríguez"/>
        <s v="Carolina Tapia Tapia"/>
        <s v="Carolina Vergara Valenzuela"/>
        <s v="Catalina Araya Morales"/>
        <s v="Catalina Araya Soto"/>
        <s v="Catalina Contreras Contreras"/>
        <s v="Catalina Contreras Rojas"/>
        <s v="Catalina Contreras Silva"/>
        <s v="Catalina Díaz Araya"/>
        <s v="Catalina Díaz Sepúlveda"/>
        <s v="Catalina Espinoza González"/>
        <s v="Catalina Espinoza Valenzuela"/>
        <s v="Catalina Fuentes Espinoza"/>
        <s v="Catalina González Contreras"/>
        <s v="Catalina López Fuentes"/>
        <s v="Catalina Morales Rojas"/>
        <s v="Catalina Morales Sepúlveda"/>
        <s v="Catalina Muñoz Araya"/>
        <s v="Catalina Muñoz López"/>
        <s v="Catalina Muñoz Morales"/>
        <s v="Catalina Muñoz Muñoz"/>
        <s v="Catalina Pérez Díaz"/>
        <s v="Catalina Pérez Sepúlveda"/>
        <s v="Catalina Rodríguez Fuentes"/>
        <s v="Catalina Rodríguez Tapia"/>
        <s v="Catalina Rojas Araya"/>
        <s v="Catalina Rojas Rojas"/>
        <s v="Catalina Rojas Sepúlveda"/>
        <s v="Catalina Sepúlveda Sepúlveda"/>
        <s v="Catalina Silva Araya"/>
        <s v="Catalina Silva Díaz"/>
        <s v="Catalina Silva Rodríguez"/>
        <s v="Catalina Soto Espinoza"/>
        <s v="Catalina Soto Silva"/>
        <s v="Catalina Tapia Fuentes"/>
        <s v="Catalina Valenzuela Morales"/>
        <s v="Catalina Valenzuela Valenzuela"/>
        <s v="Claudio Araya Fuentes"/>
        <s v="Claudio Contreras Díaz"/>
        <s v="Claudio Contreras Rodríguez"/>
        <s v="Claudio Díaz Tapia"/>
        <s v="Claudio Espinoza Valenzuela"/>
        <s v="Claudio Espinoza Vergara"/>
        <s v="Claudio Fuentes López"/>
        <s v="Claudio Fuentes Pérez"/>
        <s v="Claudio González Morales"/>
        <s v="Claudio González Pérez"/>
        <s v="Claudio González Silva"/>
        <s v="Claudio López Rodríguez"/>
        <s v="Claudio Muñoz López"/>
        <s v="Claudio Muñoz Rodríguez"/>
        <s v="Claudio Muñoz Sepúlveda"/>
        <s v="Claudio Muñoz Tapia"/>
        <s v="Claudio Pérez López"/>
        <s v="Claudio Rodríguez Vergara"/>
        <s v="Claudio Rojas Araya"/>
        <s v="Claudio Rojas Pérez"/>
        <s v="Claudio Rojas Valenzuela"/>
        <s v="Claudio Sepúlveda Tapia"/>
        <s v="Claudio Silva González"/>
        <s v="Claudio Silva Silva"/>
        <s v="Claudio Soto González"/>
        <s v="Claudio Tapia Morales"/>
        <s v="Claudio Valenzuela López"/>
        <s v="Claudio Valenzuela Muñoz"/>
        <s v="Claudio Vergara Espinoza"/>
        <s v="Claudio Vergara González"/>
        <s v="Constanza Araya Fuentes"/>
        <s v="Constanza Araya Silva"/>
        <s v="Constanza Contreras Fuentes"/>
        <s v="Constanza Contreras González"/>
        <s v="Constanza Fuentes Contreras"/>
        <s v="Constanza Fuentes Rodríguez"/>
        <s v="Constanza López Díaz"/>
        <s v="Constanza López López"/>
        <s v="Constanza López Morales"/>
        <s v="Constanza López Muñoz"/>
        <s v="Constanza Morales López"/>
        <s v="Constanza Muñoz López"/>
        <s v="Constanza Rodríguez Fuentes"/>
        <s v="Constanza Rodríguez Morales"/>
        <s v="Constanza Rodríguez Vergara"/>
        <s v="Constanza Rojas Vergara"/>
        <s v="Constanza Sepúlveda Fuentes"/>
        <s v="Constanza Silva González"/>
        <s v="Constanza Silva Muñoz"/>
        <s v="Constanza Tapia Sepúlveda"/>
        <s v="Constanza Vergara Muñoz"/>
        <s v="Constanza Vergara Sepúlveda"/>
        <s v="Constanza Vergara Valenzuela"/>
        <s v="Cristián Araya Espinoza"/>
        <s v="Cristián Díaz Morales"/>
        <s v="Cristián Díaz Muñoz"/>
        <s v="Cristián Espinoza Muñoz"/>
        <s v="Cristián Espinoza Vergara"/>
        <s v="Cristián Fuentes Araya"/>
        <s v="Cristián Fuentes González"/>
        <s v="Cristián Fuentes López"/>
        <s v="Cristián González Contreras"/>
        <s v="Cristián González Muñoz"/>
        <s v="Cristián González Pérez"/>
        <s v="Cristián González Sepúlveda"/>
        <s v="Cristián López Vergara"/>
        <s v="Cristián Muñoz Tapia"/>
        <s v="Cristián Pérez Araya"/>
        <s v="Cristián Pérez Díaz"/>
        <s v="Cristián Rojas López"/>
        <s v="Cristián Rojas Rodríguez"/>
        <s v="Cristián Silva Araya"/>
        <s v="Cristián Silva González"/>
        <s v="Cristián Silva López"/>
        <s v="Cristián Soto Tapia"/>
        <s v="Cristián Tapia Vergara"/>
        <s v="Cristián Valenzuela Araya"/>
        <s v="Cristián Valenzuela González"/>
        <s v="Cristián Valenzuela Sepúlveda"/>
        <s v="Cristián Valenzuela Soto"/>
        <s v="Cristián Valenzuela Valenzuela"/>
        <s v="Cristián Valenzuela Vergara"/>
        <s v="Cristián Vergara Soto"/>
        <s v="Daniela Araya Díaz"/>
        <s v="Daniela Contreras Díaz"/>
        <s v="Daniela Contreras Rodríguez"/>
        <s v="Daniela Díaz Araya"/>
        <s v="Daniela Espinoza González"/>
        <s v="Daniela González Vergara"/>
        <s v="Daniela López Silva"/>
        <s v="Daniela Morales Valenzuela"/>
        <s v="Daniela Muñoz Araya"/>
        <s v="Daniela Muñoz González"/>
        <s v="Daniela Muñoz Pérez"/>
        <s v="Daniela Muñoz Valenzuela"/>
        <s v="Daniela Pérez Espinoza"/>
        <s v="Daniela Pérez Rodríguez"/>
        <s v="Daniela Rodríguez Contreras"/>
        <s v="Daniela Rodríguez Muñoz"/>
        <s v="Daniela Rodríguez Pérez"/>
        <s v="Daniela Rojas Contreras"/>
        <s v="Daniela Sepúlveda Morales"/>
        <s v="Daniela Sepúlveda Pérez"/>
        <s v="Daniela Silva Tapia"/>
        <s v="Daniela Soto Vergara"/>
        <s v="Daniela Tapia Tapia"/>
        <s v="Daniela Valenzuela Morales"/>
        <s v="Daniela Valenzuela Rodríguez"/>
        <s v="Daniela Vergara Soto"/>
        <s v="Diego Araya Espinoza"/>
        <s v="Diego Araya López"/>
        <s v="Diego Araya Morales"/>
        <s v="Diego Araya Vergara"/>
        <s v="Diego Contreras Araya"/>
        <s v="Diego Díaz Fuentes"/>
        <s v="Diego Espinoza Silva"/>
        <s v="Diego Espinoza Valenzuela"/>
        <s v="Diego Espinoza Vergara"/>
        <s v="Diego Fuentes Araya"/>
        <s v="Diego Fuentes Rodríguez"/>
        <s v="Diego Fuentes Silva"/>
        <s v="Diego González Sepúlveda"/>
        <s v="Diego López Araya"/>
        <s v="Diego Morales Araya"/>
        <s v="Diego Morales López"/>
        <s v="Diego Muñoz Fuentes"/>
        <s v="Diego Muñoz Muñoz"/>
        <s v="Diego Muñoz Soto"/>
        <s v="Diego Muñoz Vergara"/>
        <s v="Diego Pérez Espinoza"/>
        <s v="Diego Pérez Rodríguez"/>
        <s v="Diego Pérez Valenzuela"/>
        <s v="Diego Rojas Araya"/>
        <s v="Diego Rojas Vergara"/>
        <s v="Diego Sepúlveda Araya"/>
        <s v="Diego Sepúlveda Tapia"/>
        <s v="Diego Silva Araya"/>
        <s v="Diego Silva Espinoza"/>
        <s v="Diego Silva Tapia"/>
        <s v="Diego Soto Muñoz"/>
        <s v="Diego Soto Soto"/>
        <s v="Diego Valenzuela López"/>
        <s v="Esteban Araya Pérez"/>
        <s v="Esteban Araya Rodríguez"/>
        <s v="Esteban Araya Sepúlveda"/>
        <s v="Esteban Contreras Contreras"/>
        <s v="Esteban Contreras Morales"/>
        <s v="Esteban Contreras Pérez"/>
        <s v="Esteban Contreras Sepúlveda"/>
        <s v="Esteban Díaz Rojas"/>
        <s v="Esteban Fuentes Araya"/>
        <s v="Esteban González González"/>
        <s v="Esteban López Soto"/>
        <s v="Esteban López Vergara"/>
        <s v="Esteban Morales Muñoz"/>
        <s v="Esteban Muñoz Vergara"/>
        <s v="Esteban Rodríguez Morales"/>
        <s v="Esteban Sepúlveda Araya"/>
        <s v="Esteban Sepúlveda Morales"/>
        <s v="Esteban Soto Vergara"/>
        <s v="Esteban Valenzuela Díaz"/>
        <s v="Esteban Vergara Pérez"/>
        <s v="Felipe Araya Fuentes"/>
        <s v="Felipe Araya Sepúlveda"/>
        <s v="Felipe Contreras Morales"/>
        <s v="Felipe Contreras Vergara"/>
        <s v="Felipe Díaz Rodríguez"/>
        <s v="Felipe Díaz Soto"/>
        <s v="Felipe Díaz Tapia"/>
        <s v="Felipe Fuentes Espinoza"/>
        <s v="Felipe Fuentes Tapia"/>
        <s v="Felipe González Fuentes"/>
        <s v="Felipe González González"/>
        <s v="Felipe González López"/>
        <s v="Felipe González Rodríguez"/>
        <s v="Felipe González Rojas"/>
        <s v="Felipe Pérez Fuentes"/>
        <s v="Felipe Pérez Muñoz"/>
        <s v="Felipe Rodríguez Silva"/>
        <s v="Felipe Sepúlveda González"/>
        <s v="Felipe Sepúlveda Rodríguez"/>
        <s v="Felipe Silva Morales"/>
        <s v="Felipe Silva Valenzuela"/>
        <s v="Felipe Soto Tapia"/>
        <s v="Felipe Tapia Espinoza"/>
        <s v="Felipe Tapia Pérez"/>
        <s v="Felipe Tapia Sepúlveda"/>
        <s v="Felipe Valenzuela Sepúlveda"/>
        <s v="Felipe Valenzuela Soto"/>
        <s v="Felipe Vergara Silva"/>
        <s v="Felipe Vergara Vergara"/>
        <s v="Fernanda Contreras Araya"/>
        <s v="Fernanda Díaz Valenzuela"/>
        <s v="Fernanda Fuentes Rojas"/>
        <s v="Fernanda López Contreras"/>
        <s v="Fernanda López Silva"/>
        <s v="Fernanda Morales Díaz"/>
        <s v="Fernanda Morales González"/>
        <s v="Fernanda Morales Vergara"/>
        <s v="Fernanda Muñoz Díaz"/>
        <s v="Fernanda Muñoz López"/>
        <s v="Fernanda Muñoz Morales"/>
        <s v="Fernanda Rodríguez Contreras"/>
        <s v="Fernanda Rodríguez Fuentes"/>
        <s v="Fernanda Rojas Araya"/>
        <s v="Fernanda Silva Morales"/>
        <s v="Fernanda Soto Araya"/>
        <s v="Fernanda Soto López"/>
        <s v="Fernanda Soto Rodríguez"/>
        <s v="Fernanda Soto Tapia"/>
        <s v="Fernanda Tapia Fuentes"/>
        <s v="Fernanda Tapia Rodríguez"/>
        <s v="Fernanda Valenzuela Araya"/>
        <s v="Fernanda Valenzuela Muñoz"/>
        <s v="Fernanda Vergara Fuentes"/>
        <s v="Francisca Araya López"/>
        <s v="Francisca Araya Sepúlveda"/>
        <s v="Francisca Araya Tapia"/>
        <s v="Francisca Contreras González"/>
        <s v="Francisca Contreras Vergara"/>
        <s v="Francisca Díaz Díaz"/>
        <s v="Francisca Díaz González"/>
        <s v="Francisca Espinoza Rojas"/>
        <s v="Francisca González Espinoza"/>
        <s v="Francisca López Díaz"/>
        <s v="Francisca López Sepúlveda"/>
        <s v="Francisca Morales Espinoza"/>
        <s v="Francisca Morales Fuentes"/>
        <s v="Francisca Muñoz López"/>
        <s v="Francisca Muñoz Sepúlveda"/>
        <s v="Francisca Muñoz Soto"/>
        <s v="Francisca Pérez Tapia"/>
        <s v="Francisca Pérez Valenzuela"/>
        <s v="Francisca Rodríguez Rodríguez"/>
        <s v="Francisca Rojas Sepúlveda"/>
        <s v="Francisca Rojas Valenzuela"/>
        <s v="Francisca Sepúlveda Valenzuela"/>
        <s v="Francisca Silva Contreras"/>
        <s v="Francisca Silva Espinoza"/>
        <s v="Francisca Silva Muñoz"/>
        <s v="Francisca Silva Rodríguez"/>
        <s v="Francisca Silva Rojas"/>
        <s v="Francisca Silva Valenzuela"/>
        <s v="Francisca Soto Soto"/>
        <s v="Francisca Tapia González"/>
        <s v="Francisca Tapia Tapia"/>
        <s v="Francisca Valenzuela Pérez"/>
        <s v="Francisca Valenzuela Rodríguez"/>
        <s v="Francisca Valenzuela Tapia"/>
        <s v="Francisca Valenzuela Valenzuela"/>
        <s v="Francisca Vergara Valenzuela"/>
        <s v="Gabriel Araya González"/>
        <s v="Gabriel Araya Rojas"/>
        <s v="Gabriel Contreras López"/>
        <s v="Gabriel Contreras Morales"/>
        <s v="Gabriel Contreras Soto"/>
        <s v="Gabriel Díaz Valenzuela"/>
        <s v="Gabriel Espinoza Araya"/>
        <s v="Gabriel Espinoza Vergara"/>
        <s v="Gabriel González Muñoz"/>
        <s v="Gabriel González Silva"/>
        <s v="Gabriel González Tapia"/>
        <s v="Gabriel López Contreras"/>
        <s v="Gabriel López Rodríguez"/>
        <s v="Gabriel López Soto"/>
        <s v="Gabriel López Vergara"/>
        <s v="Gabriel Morales Contreras"/>
        <s v="Gabriel Muñoz Araya"/>
        <s v="Gabriel Muñoz Espinoza"/>
        <s v="Gabriel Muñoz Soto"/>
        <s v="Gabriel Pérez Morales"/>
        <s v="Gabriel Rojas Muñoz"/>
        <s v="Gabriel Rojas Rojas"/>
        <s v="Gabriel Rojas Tapia"/>
        <s v="Gabriel Sepúlveda Araya"/>
        <s v="Gabriel Sepúlveda Pérez"/>
        <s v="Gabriel Silva Espinoza"/>
        <s v="Gabriel Silva Morales"/>
        <s v="Gabriel Soto Rojas"/>
        <s v="Gabriel Soto Valenzuela"/>
        <s v="Gabriel Valenzuela Tapia"/>
        <s v="Gabriel Vergara Araya"/>
        <s v="Gonzalo Araya Sepúlveda"/>
        <s v="Gonzalo Contreras González"/>
        <s v="Gonzalo Díaz Tapia"/>
        <s v="Gonzalo Espinoza Rojas"/>
        <s v="Gonzalo Espinoza Vergara"/>
        <s v="Gonzalo Fuentes Silva"/>
        <s v="Gonzalo Fuentes Tapia"/>
        <s v="Gonzalo López Muñoz"/>
        <s v="Gonzalo López Vergara"/>
        <s v="Gonzalo Muñoz Sepúlveda"/>
        <s v="Gonzalo Pérez Díaz"/>
        <s v="Gonzalo Pérez Morales"/>
        <s v="Gonzalo Rojas Fuentes"/>
        <s v="Gonzalo Rojas Soto"/>
        <s v="Gonzalo Silva Silva"/>
        <s v="Gonzalo Soto Pérez"/>
        <s v="Gonzalo Soto Soto"/>
        <s v="Gonzalo Valenzuela Rodríguez"/>
        <s v="Gonzalo Vergara Araya"/>
        <s v="Gonzalo Vergara Rojas"/>
        <s v="Gonzalo Vergara Sepúlveda"/>
        <s v="Hernán Araya Fuentes"/>
        <s v="Hernán Araya Silva"/>
        <s v="Hernán Araya Vergara"/>
        <s v="Hernán Contreras Vergara"/>
        <s v="Hernán Díaz Tapia"/>
        <s v="Hernán Espinoza Soto"/>
        <s v="Hernán Fuentes Valenzuela"/>
        <s v="Hernán González Contreras"/>
        <s v="Hernán González Pérez"/>
        <s v="Hernán López Contreras"/>
        <s v="Hernán López Rodríguez"/>
        <s v="Hernán Morales Contreras"/>
        <s v="Hernán Muñoz Valenzuela"/>
        <s v="Hernán Pérez López"/>
        <s v="Hernán Pérez Sepúlveda"/>
        <s v="Hernán Rodríguez Contreras"/>
        <s v="Hernán Rodríguez González"/>
        <s v="Hernán Rojas Vergara"/>
        <s v="Hernán Silva Muñoz"/>
        <s v="Hernán Soto Muñoz"/>
        <s v="Hernán Soto Pérez"/>
        <s v="Hernán Tapia Espinoza"/>
        <s v="Hernán Tapia Muñoz"/>
        <s v="Hernán Valenzuela Rodríguez"/>
        <s v="Hernán Vergara Tapia"/>
        <s v="Ignacio Araya Pérez"/>
        <s v="Ignacio Araya Rojas"/>
        <s v="Ignacio Araya Soto"/>
        <s v="Ignacio Contreras Díaz"/>
        <s v="Ignacio Contreras Pérez"/>
        <s v="Ignacio Contreras Silva"/>
        <s v="Ignacio Díaz Contreras"/>
        <s v="Ignacio Díaz González"/>
        <s v="Ignacio Díaz López"/>
        <s v="Ignacio Espinoza Araya"/>
        <s v="Ignacio Espinoza Contreras"/>
        <s v="Ignacio Fuentes Morales"/>
        <s v="Ignacio Fuentes Sepúlveda"/>
        <s v="Ignacio Fuentes Silva"/>
        <s v="Ignacio González Fuentes"/>
        <s v="Ignacio González Rojas"/>
        <s v="Ignacio López Morales"/>
        <s v="Ignacio López Soto"/>
        <s v="Ignacio Pérez Muñoz"/>
        <s v="Ignacio Pérez Rodríguez"/>
        <s v="Ignacio Pérez Tapia"/>
        <s v="Ignacio Pérez Vergara"/>
        <s v="Ignacio Rodríguez Araya"/>
        <s v="Ignacio Rodríguez Contreras"/>
        <s v="Ignacio Rojas Espinoza"/>
        <s v="Ignacio Silva Díaz"/>
        <s v="Ignacio Silva Espinoza"/>
        <s v="Ignacio Silva Muñoz"/>
        <s v="Ignacio Soto Espinoza"/>
        <s v="Ignacio Soto Morales"/>
        <s v="Ignacio Soto Pérez"/>
        <s v="Ignacio Soto Rojas"/>
        <s v="Ignacio Soto Vergara"/>
        <s v="Ignacio Tapia López"/>
        <s v="Ignacio Valenzuela Morales"/>
        <s v="Ignacio Valenzuela Muñoz"/>
        <s v="Ignacio Vergara González"/>
        <s v="Javier Araya Pérez"/>
        <s v="Javier Contreras Rodríguez"/>
        <s v="Javier Díaz Espinoza"/>
        <s v="Javier Díaz González"/>
        <s v="Javier Fuentes Vergara"/>
        <s v="Javier López Fuentes"/>
        <s v="Javier López Morales"/>
        <s v="Javier Morales Fuentes"/>
        <s v="Javier Morales Morales"/>
        <s v="Javier Morales Sepúlveda"/>
        <s v="Javier Muñoz Espinoza"/>
        <s v="Javier Muñoz Valenzuela"/>
        <s v="Javier Pérez González"/>
        <s v="Javier Rodríguez Vergara"/>
        <s v="Javier Rojas Espinoza"/>
        <s v="Javier Rojas Soto"/>
        <s v="Javier Sepúlveda Contreras"/>
        <s v="Javier Sepúlveda Rojas"/>
        <s v="Javier Silva Vergara"/>
        <s v="Javier Soto Silva"/>
        <s v="Javier Soto Vergara"/>
        <s v="Javier Tapia Contreras"/>
        <s v="Javier Tapia Espinoza"/>
        <s v="Javier Tapia Fuentes"/>
        <s v="Javier Valenzuela López"/>
        <s v="Javier Vergara Araya"/>
        <s v="Javier Vergara Pérez"/>
        <s v="Javiera Araya Rojas"/>
        <s v="Javiera Araya Soto"/>
        <s v="Javiera Araya Valenzuela"/>
        <s v="Javiera Díaz Espinoza"/>
        <s v="Javiera Díaz Muñoz"/>
        <s v="Javiera Díaz Rojas"/>
        <s v="Javiera Díaz Silva"/>
        <s v="Javiera Espinoza Contreras"/>
        <s v="Javiera Espinoza Valenzuela"/>
        <s v="Javiera Fuentes Morales"/>
        <s v="Javiera Fuentes Vergara"/>
        <s v="Javiera López Vergara"/>
        <s v="Javiera Morales Díaz"/>
        <s v="Javiera Muñoz Rodríguez"/>
        <s v="Javiera Muñoz Rojas"/>
        <s v="Javiera Muñoz Sepúlveda"/>
        <s v="Javiera Pérez López"/>
        <s v="Javiera Rodríguez Rojas"/>
        <s v="Javiera Rodríguez Silva"/>
        <s v="Javiera Rodríguez Soto"/>
        <s v="Javiera Rojas Araya"/>
        <s v="Javiera Sepúlveda Sepúlveda"/>
        <s v="Javiera Silva Araya"/>
        <s v="Javiera Silva Contreras"/>
        <s v="Javiera Soto González"/>
        <s v="Javiera Soto López"/>
        <s v="Javiera Soto Pérez"/>
        <s v="Javiera Soto Silva"/>
        <s v="Javiera Soto Soto"/>
        <s v="Javiera Vergara Rojas"/>
        <s v="Loreto Araya González"/>
        <s v="Loreto Araya Pérez"/>
        <s v="Loreto Araya Vergara"/>
        <s v="Loreto Espinoza González"/>
        <s v="Loreto Espinoza Soto"/>
        <s v="Loreto Fuentes Soto"/>
        <s v="Loreto Morales Contreras"/>
        <s v="Loreto Morales Díaz"/>
        <s v="Loreto Morales Pérez"/>
        <s v="Loreto Morales Valenzuela"/>
        <s v="Loreto Muñoz Morales"/>
        <s v="Loreto Pérez Araya"/>
        <s v="Loreto Pérez Pérez"/>
        <s v="Loreto Rodríguez Díaz"/>
        <s v="Loreto Rodríguez Morales"/>
        <s v="Loreto Sepúlveda Rojas"/>
        <s v="Loreto Sepúlveda Sepúlveda"/>
        <s v="Loreto Silva Araya"/>
        <s v="Loreto Silva Pérez"/>
        <s v="Loreto Valenzuela Contreras"/>
        <s v="Loreto Valenzuela Pérez"/>
        <s v="Loreto Vergara Contreras"/>
        <s v="Loreto Vergara Soto"/>
        <s v="Macarena Araya Espinoza"/>
        <s v="Macarena Contreras Pérez"/>
        <s v="Macarena Díaz Soto"/>
        <s v="Macarena Díaz Vergara"/>
        <s v="Macarena Espinoza Espinoza"/>
        <s v="Macarena Espinoza López"/>
        <s v="Macarena Fuentes Rojas"/>
        <s v="Macarena Fuentes Sepúlveda"/>
        <s v="Macarena González Díaz"/>
        <s v="Macarena López López"/>
        <s v="Macarena López Rojas"/>
        <s v="Macarena Morales Vergara"/>
        <s v="Macarena Muñoz Araya"/>
        <s v="Macarena Muñoz Morales"/>
        <s v="Macarena Pérez Araya"/>
        <s v="Macarena Pérez Díaz"/>
        <s v="Macarena Pérez González"/>
        <s v="Macarena Pérez Sepúlveda"/>
        <s v="Macarena Pérez Vergara"/>
        <s v="Macarena Rodríguez Díaz"/>
        <s v="Macarena Rodríguez Muñoz"/>
        <s v="Macarena Rodríguez Rodríguez"/>
        <s v="Macarena Rodríguez Silva"/>
        <s v="Macarena Rojas Espinoza"/>
        <s v="Macarena Rojas Silva"/>
        <s v="Macarena Rojas Vergara"/>
        <s v="Macarena Sepúlveda Díaz"/>
        <s v="Macarena Sepúlveda Sepúlveda"/>
        <s v="Macarena Sepúlveda Vergara"/>
        <s v="Macarena Soto Araya"/>
        <s v="Macarena Soto Morales"/>
        <s v="Macarena Soto Muñoz"/>
        <s v="Macarena Soto Rodríguez"/>
        <s v="Macarena Tapia Morales"/>
        <s v="Macarena Tapia Rodríguez"/>
        <s v="Macarena Tapia Silva"/>
        <s v="Macarena Tapia Valenzuela"/>
        <s v="Macarena Valenzuela Soto"/>
        <s v="Marcela Araya Pérez"/>
        <s v="Marcela Contreras Soto"/>
        <s v="Marcela Díaz Morales"/>
        <s v="Marcela Díaz Rodríguez"/>
        <s v="Marcela Díaz Soto"/>
        <s v="Marcela Espinoza Díaz"/>
        <s v="Marcela Espinoza Espinoza"/>
        <s v="Marcela Espinoza López"/>
        <s v="Marcela Espinoza Rodríguez"/>
        <s v="Marcela Espinoza Valenzuela"/>
        <s v="Marcela Fuentes Araya"/>
        <s v="Marcela Fuentes Rodríguez"/>
        <s v="Marcela González Valenzuela"/>
        <s v="Marcela López Vergara"/>
        <s v="Marcela Morales López"/>
        <s v="Marcela Morales Morales"/>
        <s v="Marcela Morales Rodríguez"/>
        <s v="Marcela Pérez Fuentes"/>
        <s v="Marcela Pérez López"/>
        <s v="Marcela Rodríguez Araya"/>
        <s v="Marcela Rodríguez Espinoza"/>
        <s v="Marcela Rodríguez González"/>
        <s v="Marcela Rojas Muñoz"/>
        <s v="Marcela Sepúlveda Espinoza"/>
        <s v="Marcela Sepúlveda Pérez"/>
        <s v="Marcela Silva Soto"/>
        <s v="Marcela Tapia Morales"/>
        <s v="Marcela Valenzuela Espinoza"/>
        <s v="Marcela Valenzuela González"/>
        <s v="Marcela Valenzuela Muñoz"/>
        <s v="Marcela Valenzuela Vergara"/>
        <s v="Marcela Vergara Valenzuela"/>
        <s v="Matías Araya Pérez"/>
        <s v="Matías Araya Silva"/>
        <s v="Matías Contreras Sepúlveda"/>
        <s v="Matías Díaz Sepúlveda"/>
        <s v="Matías Fuentes Araya"/>
        <s v="Matías Fuentes Contreras"/>
        <s v="Matías Fuentes Espinoza"/>
        <s v="Matías Fuentes Morales"/>
        <s v="Matías González López"/>
        <s v="Matías Morales Araya"/>
        <s v="Matías Morales González"/>
        <s v="Matías Morales Rojas"/>
        <s v="Matías Muñoz Fuentes"/>
        <s v="Matías Muñoz González"/>
        <s v="Matías Muñoz Rodríguez"/>
        <s v="Matías Pérez Pérez"/>
        <s v="Matías Pérez Vergara"/>
        <s v="Matías Rojas Araya"/>
        <s v="Matías Rojas Díaz"/>
        <s v="Matías Rojas Espinoza"/>
        <s v="Matías Rojas Rodríguez"/>
        <s v="Matías Sepúlveda Contreras"/>
        <s v="Matías Sepúlveda Silva"/>
        <s v="Matías Soto Vergara"/>
        <s v="Matías Tapia Fuentes"/>
        <s v="Matías Valenzuela Araya"/>
        <s v="Matías Valenzuela López"/>
        <s v="Matías Valenzuela Soto"/>
        <s v="Matías Valenzuela Tapia"/>
        <s v="Matías Vergara Soto"/>
        <s v="Mauricio Araya Contreras"/>
        <s v="Mauricio Araya Soto"/>
        <s v="Mauricio Araya Tapia"/>
        <s v="Mauricio Contreras González"/>
        <s v="Mauricio Contreras Muñoz"/>
        <s v="Mauricio Contreras Valenzuela"/>
        <s v="Mauricio Díaz Morales"/>
        <s v="Mauricio Díaz Silva"/>
        <s v="Mauricio Espinoza Muñoz"/>
        <s v="Mauricio Espinoza Pérez"/>
        <s v="Mauricio Fuentes Soto"/>
        <s v="Mauricio González López"/>
        <s v="Mauricio González Rojas"/>
        <s v="Mauricio González Silva"/>
        <s v="Mauricio González Vergara"/>
        <s v="Mauricio Morales González"/>
        <s v="Mauricio Muñoz Espinoza"/>
        <s v="Mauricio Pérez Espinoza"/>
        <s v="Mauricio Pérez Soto"/>
        <s v="Mauricio Rodríguez Rojas"/>
        <s v="Mauricio Rodríguez Sepúlveda"/>
        <s v="Mauricio Rojas Fuentes"/>
        <s v="Mauricio Rojas López"/>
        <s v="Mauricio Rojas Pérez"/>
        <s v="Mauricio Sepúlveda Rojas"/>
        <s v="Mauricio Soto Pérez"/>
        <s v="Mauricio Tapia Pérez"/>
        <s v="Mauricio Tapia Sepúlveda"/>
        <s v="Mauricio Valenzuela Morales"/>
        <s v="Mauricio Valenzuela Soto"/>
        <s v="Paula Contreras Morales"/>
        <s v="Paula Díaz Silva"/>
        <s v="Paula Fuentes Araya"/>
        <s v="Paula Fuentes Rojas"/>
        <s v="Paula González Espinoza"/>
        <s v="Paula González Rodríguez"/>
        <s v="Paula López González"/>
        <s v="Paula López Sepúlveda"/>
        <s v="Paula Morales Muñoz"/>
        <s v="Paula Morales Pérez"/>
        <s v="Paula Morales Silva"/>
        <s v="Paula Muñoz Pérez"/>
        <s v="Paula Pérez Araya"/>
        <s v="Paula Pérez Morales"/>
        <s v="Paula Rojas Contreras"/>
        <s v="Paula Rojas López"/>
        <s v="Paula Rojas Vergara"/>
        <s v="Paula Sepúlveda Sepúlveda"/>
        <s v="Paula Silva Morales"/>
        <s v="Paula Silva Muñoz"/>
        <s v="Paula Silva Rodríguez"/>
        <s v="Paula Tapia Espinoza"/>
        <s v="Paula Tapia Muñoz"/>
        <s v="Paula Valenzuela Espinoza"/>
        <s v="Paula Valenzuela Valenzuela"/>
        <s v="Paula Vergara Silva"/>
        <s v="Rodrigo Araya Contreras"/>
        <s v="Rodrigo Contreras Sepúlveda"/>
        <s v="Rodrigo Contreras Soto"/>
        <s v="Rodrigo Contreras Tapia"/>
        <s v="Rodrigo Díaz López"/>
        <s v="Rodrigo Espinoza Contreras"/>
        <s v="Rodrigo Espinoza Vergara"/>
        <s v="Rodrigo Fuentes Araya"/>
        <s v="Rodrigo Fuentes Rojas"/>
        <s v="Rodrigo Fuentes Vergara"/>
        <s v="Rodrigo López Soto"/>
        <s v="Rodrigo Morales Díaz"/>
        <s v="Rodrigo Muñoz Espinoza"/>
        <s v="Rodrigo Pérez Rodríguez"/>
        <s v="Rodrigo Rodríguez Soto"/>
        <s v="Rodrigo Sepúlveda Espinoza"/>
        <s v="Rodrigo Sepúlveda Rodríguez"/>
        <s v="Rodrigo Silva González"/>
        <s v="Rodrigo Soto González"/>
        <s v="Rodrigo Soto Sepúlveda"/>
        <s v="Rodrigo Soto Vergara"/>
        <s v="Rodrigo Tapia Díaz"/>
        <s v="Rodrigo Tapia González"/>
        <s v="Rodrigo Valenzuela Espinoza"/>
        <s v="Rodrigo Valenzuela Valenzuela"/>
        <s v="Sebastián Araya Espinoza"/>
        <s v="Sebastián Araya Pérez"/>
        <s v="Sebastián Araya Valenzuela"/>
        <s v="Sebastián Contreras Sepúlveda"/>
        <s v="Sebastián Contreras Silva"/>
        <s v="Sebastián Contreras Tapia"/>
        <s v="Sebastián Díaz Araya"/>
        <s v="Sebastián Espinoza Díaz"/>
        <s v="Sebastián Fuentes Silva"/>
        <s v="Sebastián Fuentes Soto"/>
        <s v="Sebastián López Espinoza"/>
        <s v="Sebastián López Morales"/>
        <s v="Sebastián López Muñoz"/>
        <s v="Sebastián Morales Fuentes"/>
        <s v="Sebastián Muñoz Morales"/>
        <s v="Sebastián Pérez Contreras"/>
        <s v="Sebastián Pérez Muñoz"/>
        <s v="Sebastián Pérez Soto"/>
        <s v="Sebastián Rojas Silva"/>
        <s v="Sebastián Sepúlveda Rojas"/>
        <s v="Sebastián Sepúlveda Silva"/>
        <s v="Sebastián Sepúlveda Soto"/>
        <s v="Sebastián Soto Rojas"/>
        <s v="Sebastián Tapia Muñoz"/>
        <s v="Sebastián Tapia Soto"/>
        <s v="Sebastián Valenzuela Morales"/>
        <s v="Sebastián Valenzuela Rojas"/>
        <s v="Sebastián Valenzuela Sepúlveda"/>
        <s v="Sofia Contreras Pérez"/>
        <s v="Sofia Contreras Sepúlveda"/>
        <s v="Sofia Díaz Valenzuela"/>
        <s v="Sofia Espinoza Espinoza"/>
        <s v="Sofia Espinoza Fuentes"/>
        <s v="Sofia Espinoza González"/>
        <s v="Sofia Espinoza Pérez"/>
        <s v="Sofia Espinoza Tapia"/>
        <s v="Sofia Espinoza Valenzuela"/>
        <s v="Sofia Fuentes López"/>
        <s v="Sofia Fuentes Muñoz"/>
        <s v="Sofia Fuentes Valenzuela"/>
        <s v="Sofia González Tapia"/>
        <s v="Sofia López Muñoz"/>
        <s v="Sofia López Pérez"/>
        <s v="Sofia Morales González"/>
        <s v="Sofia Muñoz Muñoz"/>
        <s v="Sofia Muñoz Pérez"/>
        <s v="Sofia Muñoz Soto"/>
        <s v="Sofia Pérez González"/>
        <s v="Sofia Pérez Silva"/>
        <s v="Sofia Rodríguez Espinoza"/>
        <s v="Sofia Rodríguez Tapia"/>
        <s v="Sofia Rodríguez Vergara"/>
        <s v="Sofia Sepúlveda Muñoz"/>
        <s v="Sofia Silva Contreras"/>
        <s v="Sofia Silva Espinoza"/>
        <s v="Sofia Silva Morales"/>
        <s v="Sofia Silva Muñoz"/>
        <s v="Sofia Silva Rojas"/>
        <s v="Sofia Silva Vergara"/>
        <s v="Sofia Soto Araya"/>
        <s v="Sofia Soto López"/>
        <s v="Sofia Soto Pérez"/>
        <s v="Sofia Soto Valenzuela"/>
        <s v="Sofia Tapia Espinoza"/>
        <s v="Sofia Tapia Pérez"/>
        <s v="Sofia Tapia Valenzuela"/>
        <s v="Sofia Vergara Contreras"/>
        <s v="Tomas Araya Contreras"/>
        <s v="Tomas Araya Pérez"/>
        <s v="Tomas Araya Rodríguez"/>
        <s v="Tomas Araya Tapia"/>
        <s v="Tomas Contreras Muñoz"/>
        <s v="Tomas Contreras Pérez"/>
        <s v="Tomas Díaz Valenzuela"/>
        <s v="Tomas Fuentes Valenzuela"/>
        <s v="Tomas González Morales"/>
        <s v="Tomas González Rodríguez"/>
        <s v="Tomas González Silva"/>
        <s v="Tomas López Rodríguez"/>
        <s v="Tomas López Soto"/>
        <s v="Tomas Muñoz Pérez"/>
        <s v="Tomas Muñoz Valenzuela"/>
        <s v="Tomas Pérez Morales"/>
        <s v="Tomas Rodríguez Araya"/>
        <s v="Tomas Rodríguez Muñoz"/>
        <s v="Tomas Rodríguez Valenzuela"/>
        <s v="Tomas Sepúlveda Vergara"/>
        <s v="Tomas Silva Fuentes"/>
        <s v="Tomas Silva Soto"/>
        <s v="Tomas Soto González"/>
        <s v="Tomas Soto Pérez"/>
        <s v="Tomas Soto Rojas"/>
        <s v="Tomas Tapia Vergara"/>
        <s v="Tomas Valenzuela Araya"/>
        <s v="Tomas Valenzuela Muñoz"/>
        <s v="Tomas Vergara Araya"/>
        <s v="Tomas Vergara Rodríguez"/>
        <s v="Valentina Araya Araya"/>
        <s v="Valentina Araya Rodríguez"/>
        <s v="Valentina Araya Rojas"/>
        <s v="Valentina Contreras Díaz"/>
        <s v="Valentina Contreras Fuentes"/>
        <s v="Valentina Contreras Rojas"/>
        <s v="Valentina Fuentes Contreras"/>
        <s v="Valentina González Contreras"/>
        <s v="Valentina González Tapia"/>
        <s v="Valentina López Morales"/>
        <s v="Valentina López Soto"/>
        <s v="Valentina Morales Sepúlveda"/>
        <s v="Valentina Muñoz Díaz"/>
        <s v="Valentina Pérez Espinoza"/>
        <s v="Valentina Pérez López"/>
        <s v="Valentina Pérez Silva"/>
        <s v="Valentina Rodríguez Díaz"/>
        <s v="Valentina Rojas González"/>
        <s v="Valentina Rojas Vergara"/>
        <s v="Valentina Silva Muñoz"/>
        <s v="Valentina Silva Pérez"/>
        <s v="Valentina Silva Soto"/>
        <s v="Valentina Silva Vergara"/>
        <s v="Valentina Soto Díaz"/>
        <s v="Valentina Soto Rojas"/>
        <s v="Valentina Valenzuela Araya"/>
      </sharedItems>
    </cacheField>
    <cacheField name="Email_Contacto" numFmtId="0">
      <sharedItems>
        <s v="álv.araya@gmail.com"/>
        <s v="álv.contreras@consultora.cl"/>
        <s v="álv.díaz@consultora.cl"/>
        <s v="álv.fuentes@empresa.cl"/>
        <s v="álv.fuentes@servicios.cl"/>
        <s v="álv.fuentes@gmail.com"/>
        <s v="álv.lópez@outlook.cl"/>
        <s v="álv.lópez@consultora.cl"/>
        <s v="álv.lópez@empresa.cl"/>
        <s v="álv.lópez@servicios.cl"/>
        <s v="álv.morales@gmail.com"/>
        <s v="álv.muñoz@outlook.cl"/>
        <s v="álv.pérez@consultora.cl"/>
        <s v="álv.pérez@gmail.com"/>
        <s v="álv.rodríguez@consultora.cl"/>
        <s v="álv.rojas@outlook.cl"/>
        <s v="álv.rojas@servicios.cl"/>
        <s v="álv.sepúlveda@consultora.cl"/>
        <s v="álv.soto@consultora.cl"/>
        <s v="álv.soto@gmail.com"/>
        <s v="álv.tapia@gmail.com"/>
        <s v="álv.tapia@sura.cl"/>
        <s v="álv.tapia@servicios.cl"/>
        <s v="álv.valenzuela@empresa.cl"/>
        <s v="álv.valenzuela@servicios.cl"/>
        <s v="and.araya@gmail.com"/>
        <s v="and.contreras@empresa.cl"/>
        <s v="and.contreras@consultora.cl"/>
        <s v="and.contreras@gmail.com"/>
        <s v="and.díaz@empresa.cl"/>
        <s v="and.díaz@servicios.cl"/>
        <s v="and.espinoza@consultora.cl"/>
        <s v="and.gonzález@empresa.cl"/>
        <s v="and.gonzález@outlook.cl"/>
        <s v="and.gonzález@consultora.cl"/>
        <s v="and.lópez@sura.cl"/>
        <s v="and.lópez@empresa.cl"/>
        <s v="and.lópez@servicios.cl"/>
        <s v="and.morales@outlook.cl"/>
        <s v="and.morales@sura.cl"/>
        <s v="and.muñoz@gmail.com"/>
        <s v="and.pérez@sura.cl"/>
        <s v="and.pérez@outlook.cl"/>
        <s v="and.rojas@outlook.cl"/>
        <s v="and.sepúlveda@consultora.cl"/>
        <s v="and.silva@servicios.cl"/>
        <s v="and.silva@empresa.cl"/>
        <s v="and.soto@servicios.cl"/>
        <s v="and.tapia@consultora.cl"/>
        <s v="and.vergara@outlook.cl"/>
        <s v="bea.araya@consultora.cl"/>
        <s v="bea.araya@sura.cl"/>
        <s v="bea.contreras@sura.cl"/>
        <s v="bea.espinoza@sura.cl"/>
        <s v="bea.espinoza@consultora.cl"/>
        <s v="bea.fuentes@gmail.com"/>
        <s v="bea.fuentes@sura.cl"/>
        <s v="bea.fuentes@empresa.cl"/>
        <s v="bea.gonzález@servicios.cl"/>
        <s v="bea.muñoz@outlook.cl"/>
        <s v="bea.muñoz@consultora.cl"/>
        <s v="bea.pérez@servicios.cl"/>
        <s v="bea.pérez@gmail.com"/>
        <s v="bea.rojas@gmail.com"/>
        <s v="bea.sepúlveda@sura.cl"/>
        <s v="bea.silva@servicios.cl"/>
        <s v="bea.silva@empresa.cl"/>
        <s v="bea.silva@outlook.cl"/>
        <s v="bea.tapia@servicios.cl"/>
        <s v="bea.tapia@sura.cl"/>
        <s v="bea.valenzuela@servicios.cl"/>
        <s v="cam.araya@gmail.com"/>
        <s v="cam.araya@outlook.cl"/>
        <s v="cam.araya@empresa.cl"/>
        <s v="cam.contreras@consultora.cl"/>
        <s v="cam.díaz@empresa.cl"/>
        <s v="cam.espinoza@outlook.cl"/>
        <s v="cam.fuentes@servicios.cl"/>
        <s v="cam.fuentes@outlook.cl"/>
        <s v="cam.morales@servicios.cl"/>
        <s v="cam.morales@consultora.cl"/>
        <s v="cam.rodríguez@empresa.cl"/>
        <s v="cam.rojas@sura.cl"/>
        <s v="cam.rojas@consultora.cl"/>
        <s v="cam.rojas@outlook.cl"/>
        <s v="cam.rojas@gmail.com"/>
        <s v="cam.silva@gmail.com"/>
        <s v="cam.soto@servicios.cl"/>
        <s v="cam.tapia@gmail.com"/>
        <s v="cam.valenzuela@empresa.cl"/>
        <s v="cam.valenzuela@servicios.cl"/>
        <s v="cam.valenzuela@gmail.com"/>
        <s v="cam.vergara@empresa.cl"/>
        <s v="cam.vergara@outlook.cl"/>
        <s v="cam.vergara@sura.cl"/>
        <s v="cam.vergara@consultora.cl"/>
        <s v="cam.vergara@servicios.cl"/>
        <s v="car.araya@outlook.cl"/>
        <s v="car.araya@servicios.cl"/>
        <s v="car.araya@consultora.cl"/>
        <s v="car.contreras@sura.cl"/>
        <s v="car.contreras@gmail.com"/>
        <s v="car.díaz@gmail.com"/>
        <s v="car.espinoza@consultora.cl"/>
        <s v="car.espinoza@empresa.cl"/>
        <s v="car.fuentes@servicios.cl"/>
        <s v="car.fuentes@empresa.cl"/>
        <s v="car.gonzález@consultora.cl"/>
        <s v="car.gonzález@gmail.com"/>
        <s v="car.gonzález@outlook.cl"/>
        <s v="car.lópez@sura.cl"/>
        <s v="car.morales@empresa.cl"/>
        <s v="car.morales@outlook.cl"/>
        <s v="car.pérez@empresa.cl"/>
        <s v="car.rodríguez@servicios.cl"/>
        <s v="car.rodríguez@outlook.cl"/>
        <s v="car.rojas@sura.cl"/>
        <s v="car.sepúlveda@sura.cl"/>
        <s v="car.silva@empresa.cl"/>
        <s v="car.silva@consultora.cl"/>
        <s v="car.soto@empresa.cl"/>
        <s v="car.soto@sura.cl"/>
        <s v="car.tapia@outlook.cl"/>
        <s v="car.tapia@sura.cl"/>
        <s v="car.vergara@gmail.com"/>
        <s v="cat.araya@sura.cl"/>
        <s v="cat.araya@gmail.com"/>
        <s v="cat.contreras@servicios.cl"/>
        <s v="cat.contreras@consultora.cl"/>
        <s v="cat.contreras@gmail.com"/>
        <s v="cat.díaz@outlook.cl"/>
        <s v="cat.díaz@servicios.cl"/>
        <s v="cat.espinoza@consultora.cl"/>
        <s v="cat.espinoza@gmail.com"/>
        <s v="cat.fuentes@consultora.cl"/>
        <s v="cat.gonzález@gmail.com"/>
        <s v="cat.lópez@outlook.cl"/>
        <s v="cat.morales@servicios.cl"/>
        <s v="cat.morales@gmail.com"/>
        <s v="cat.muñoz@gmail.com"/>
        <s v="cat.muñoz@sura.cl"/>
        <s v="cat.muñoz@servicios.cl"/>
        <s v="cat.pérez@outlook.cl"/>
        <s v="cat.pérez@empresa.cl"/>
        <s v="cat.rodríguez@consultora.cl"/>
        <s v="cat.rodríguez@gmail.com"/>
        <s v="cat.rojas@empresa.cl"/>
        <s v="cat.rojas@sura.cl"/>
        <s v="cat.rojas@gmail.com"/>
        <s v="cat.sepúlveda@outlook.cl"/>
        <s v="cat.silva@empresa.cl"/>
        <s v="cat.silva@outlook.cl"/>
        <s v="cat.silva@sura.cl"/>
        <s v="cat.soto@sura.cl"/>
        <s v="cat.soto@empresa.cl"/>
        <s v="cat.tapia@consultora.cl"/>
        <s v="cat.valenzuela@sura.cl"/>
        <s v="cat.valenzuela@consultora.cl"/>
        <s v="cla.araya@outlook.cl"/>
        <s v="cla.contreras@empresa.cl"/>
        <s v="cla.contreras@sura.cl"/>
        <s v="cla.díaz@empresa.cl"/>
        <s v="cla.espinoza@outlook.cl"/>
        <s v="cla.espinoza@consultora.cl"/>
        <s v="cla.fuentes@outlook.cl"/>
        <s v="cla.fuentes@sura.cl"/>
        <s v="cla.gonzález@outlook.cl"/>
        <s v="cla.gonzález@gmail.com"/>
        <s v="cla.gonzález@sura.cl"/>
        <s v="cla.lópez@consultora.cl"/>
        <s v="cla.muñoz@gmail.com"/>
        <s v="cla.muñoz@outlook.cl"/>
        <s v="cla.muñoz@consultora.cl"/>
        <s v="cla.pérez@gmail.com"/>
        <s v="cla.rodríguez@sura.cl"/>
        <s v="cla.rojas@servicios.cl"/>
        <s v="cla.rojas@empresa.cl"/>
        <s v="cla.rojas@gmail.com"/>
        <s v="cla.sepúlveda@outlook.cl"/>
        <s v="cla.silva@sura.cl"/>
        <s v="cla.silva@empresa.cl"/>
        <s v="cla.soto@outlook.cl"/>
        <s v="cla.tapia@outlook.cl"/>
        <s v="cla.valenzuela@sura.cl"/>
        <s v="cla.valenzuela@empresa.cl"/>
        <s v="cla.vergara@gmail.com"/>
        <s v="cla.vergara@consultora.cl"/>
        <s v="con.araya@sura.cl"/>
        <s v="con.araya@gmail.com"/>
        <s v="con.contreras@sura.cl"/>
        <s v="con.contreras@empresa.cl"/>
        <s v="con.fuentes@outlook.cl"/>
        <s v="con.fuentes@servicios.cl"/>
        <s v="con.lópez@servicios.cl"/>
        <s v="con.lópez@gmail.com"/>
        <s v="con.lópez@consultora.cl"/>
        <s v="con.morales@sura.cl"/>
        <s v="con.muñoz@sura.cl"/>
        <s v="con.rodríguez@empresa.cl"/>
        <s v="con.rodríguez@gmail.com"/>
        <s v="con.rodríguez@outlook.cl"/>
        <s v="con.rojas@servicios.cl"/>
        <s v="con.sepúlveda@servicios.cl"/>
        <s v="con.silva@consultora.cl"/>
        <s v="con.silva@sura.cl"/>
        <s v="con.tapia@gmail.com"/>
        <s v="con.vergara@outlook.cl"/>
        <s v="con.vergara@gmail.com"/>
        <s v="cri.araya@outlook.cl"/>
        <s v="cri.díaz@empresa.cl"/>
        <s v="cri.díaz@sura.cl"/>
        <s v="cri.espinoza@consultora.cl"/>
        <s v="cri.espinoza@servicios.cl"/>
        <s v="cri.espinoza@gmail.com"/>
        <s v="cri.fuentes@gmail.com"/>
        <s v="cri.fuentes@servicios.cl"/>
        <s v="cri.fuentes@empresa.cl"/>
        <s v="cri.gonzález@servicios.cl"/>
        <s v="cri.gonzález@outlook.cl"/>
        <s v="cri.gonzález@empresa.cl"/>
        <s v="cri.lópez@gmail.com"/>
        <s v="cri.muñoz@gmail.com"/>
        <s v="cri.pérez@servicios.cl"/>
        <s v="cri.pérez@sura.cl"/>
        <s v="cri.rojas@gmail.com"/>
        <s v="cri.rojas@servicios.cl"/>
        <s v="cri.silva@empresa.cl"/>
        <s v="cri.silva@sura.cl"/>
        <s v="cri.silva@consultora.cl"/>
        <s v="cri.soto@gmail.com"/>
        <s v="cri.tapia@sura.cl"/>
        <s v="cri.valenzuela@consultora.cl"/>
        <s v="cri.valenzuela@sura.cl"/>
        <s v="cri.valenzuela@empresa.cl"/>
        <s v="cri.valenzuela@gmail.com"/>
        <s v="cri.valenzuela@outlook.cl"/>
        <s v="cri.vergara@empresa.cl"/>
        <s v="dan.araya@sura.cl"/>
        <s v="dan.contreras@empresa.cl"/>
        <s v="dan.contreras@gmail.com"/>
        <s v="dan.díaz@sura.cl"/>
        <s v="dan.espinoza@empresa.cl"/>
        <s v="dan.gonzález@gmail.com"/>
        <s v="dan.lópez@servicios.cl"/>
        <s v="dan.morales@consultora.cl"/>
        <s v="dan.morales@gmail.com"/>
        <s v="dan.muñoz@gmail.com"/>
        <s v="dan.muñoz@sura.cl"/>
        <s v="dan.muñoz@empresa.cl"/>
        <s v="dan.pérez@servicios.cl"/>
        <s v="dan.pérez@empresa.cl"/>
        <s v="dan.rodríguez@consultora.cl"/>
        <s v="dan.rodríguez@outlook.cl"/>
        <s v="dan.rodríguez@empresa.cl"/>
        <s v="dan.rojas@outlook.cl"/>
        <s v="dan.sepúlveda@outlook.cl"/>
        <s v="dan.sepúlveda@servicios.cl"/>
        <s v="dan.silva@gmail.com"/>
        <s v="dan.soto@consultora.cl"/>
        <s v="dan.tapia@servicios.cl"/>
        <s v="dan.valenzuela@servicios.cl"/>
        <s v="dan.valenzuela@sura.cl"/>
        <s v="dan.vergara@gmail.com"/>
        <s v="die.araya@empresa.cl"/>
        <s v="die.araya@gmail.com"/>
        <s v="die.araya@outlook.cl"/>
        <s v="die.contreras@sura.cl"/>
        <s v="die.díaz@servicios.cl"/>
        <s v="die.espinoza@outlook.cl"/>
        <s v="die.espinoza@sura.cl"/>
        <s v="die.fuentes@outlook.cl"/>
        <s v="die.fuentes@empresa.cl"/>
        <s v="die.fuentes@sura.cl"/>
        <s v="die.gonzález@gmail.com"/>
        <s v="die.lópez@empresa.cl"/>
        <s v="die.morales@outlook.cl"/>
        <s v="die.morales@consultora.cl"/>
        <s v="die.muñoz@sura.cl"/>
        <s v="die.muñoz@empresa.cl"/>
        <s v="die.muñoz@servicios.cl"/>
        <s v="die.pérez@servicios.cl"/>
        <s v="die.pérez@outlook.cl"/>
        <s v="die.pérez@consultora.cl"/>
        <s v="die.rojas@outlook.cl"/>
        <s v="die.rojas@empresa.cl"/>
        <s v="die.sepúlveda@sura.cl"/>
        <s v="die.silva@gmail.com"/>
        <s v="die.silva@servicios.cl"/>
        <s v="die.silva@empresa.cl"/>
        <s v="die.soto@sura.cl"/>
        <s v="die.valenzuela@outlook.cl"/>
        <s v="est.araya@outlook.cl"/>
        <s v="est.araya@sura.cl"/>
        <s v="est.araya@gmail.com"/>
        <s v="est.contreras@gmail.com"/>
        <s v="est.contreras@sura.cl"/>
        <s v="est.contreras@servicios.cl"/>
        <s v="est.contreras@consultora.cl"/>
        <s v="est.díaz@consultora.cl"/>
        <s v="est.díaz@servicios.cl"/>
        <s v="est.fuentes@outlook.cl"/>
        <s v="est.gonzález@servicios.cl"/>
        <s v="est.lópez@outlook.cl"/>
        <s v="est.lópez@consultora.cl"/>
        <s v="est.morales@servicios.cl"/>
        <s v="est.muñoz@servicios.cl"/>
        <s v="est.rodríguez@servicios.cl"/>
        <s v="est.sepúlveda@sura.cl"/>
        <s v="est.sepúlveda@outlook.cl"/>
        <s v="est.soto@empresa.cl"/>
        <s v="est.valenzuela@sura.cl"/>
        <s v="est.vergara@outlook.cl"/>
        <s v="fel.araya@consultora.cl"/>
        <s v="fel.araya@gmail.com"/>
        <s v="fel.contreras@gmail.com"/>
        <s v="fel.contreras@sura.cl"/>
        <s v="fel.díaz@sura.cl"/>
        <s v="fel.díaz@empresa.cl"/>
        <s v="fel.fuentes@gmail.com"/>
        <s v="fel.fuentes@empresa.cl"/>
        <s v="fel.gonzález@servicios.cl"/>
        <s v="fel.gonzález@sura.cl"/>
        <s v="fel.gonzález@consultora.cl"/>
        <s v="fel.gonzález@gmail.com"/>
        <s v="fel.pérez@empresa.cl"/>
        <s v="fel.rodríguez@outlook.cl"/>
        <s v="fel.sepúlveda@servicios.cl"/>
        <s v="fel.sepúlveda@sura.cl"/>
        <s v="fel.silva@outlook.cl"/>
        <s v="fel.silva@gmail.com"/>
        <s v="fel.soto@outlook.cl"/>
        <s v="fel.tapia@gmail.com"/>
        <s v="fel.tapia@servicios.cl"/>
        <s v="fel.tapia@sura.cl"/>
        <s v="fel.valenzuela@empresa.cl"/>
        <s v="fel.valenzuela@consultora.cl"/>
        <s v="fel.vergara@gmail.com"/>
        <s v="fer.contreras@sura.cl"/>
        <s v="fer.díaz@consultora.cl"/>
        <s v="fer.fuentes@outlook.cl"/>
        <s v="fer.lópez@servicios.cl"/>
        <s v="fer.lópez@outlook.cl"/>
        <s v="fer.morales@empresa.cl"/>
        <s v="fer.morales@consultora.cl"/>
        <s v="fer.morales@sura.cl"/>
        <s v="fer.muñoz@outlook.cl"/>
        <s v="fer.muñoz@consultora.cl"/>
        <s v="fer.rodríguez@consultora.cl"/>
        <s v="fer.rodríguez@empresa.cl"/>
        <s v="fer.rojas@outlook.cl"/>
        <s v="fer.silva@sura.cl"/>
        <s v="fer.soto@sura.cl"/>
        <s v="fer.soto@servicios.cl"/>
        <s v="fer.soto@outlook.cl"/>
        <s v="fer.soto@empresa.cl"/>
        <s v="fer.tapia@servicios.cl"/>
        <s v="fer.valenzuela@servicios.cl"/>
        <s v="fer.valenzuela@gmail.com"/>
        <s v="fer.vergara@outlook.cl"/>
        <s v="fra.araya@empresa.cl"/>
        <s v="fra.araya@servicios.cl"/>
        <s v="fra.contreras@outlook.cl"/>
        <s v="fra.contreras@consultora.cl"/>
        <s v="fra.díaz@sura.cl"/>
        <s v="fra.díaz@outlook.cl"/>
        <s v="fra.espinoza@consultora.cl"/>
        <s v="fra.gonzález@outlook.cl"/>
        <s v="fra.lópez@servicios.cl"/>
        <s v="fra.lópez@gmail.com"/>
        <s v="fra.morales@empresa.cl"/>
        <s v="fra.morales@gmail.com"/>
        <s v="fra.muñoz@consultora.cl"/>
        <s v="fra.muñoz@servicios.cl"/>
        <s v="fra.muñoz@gmail.com"/>
        <s v="fra.pérez@outlook.cl"/>
        <s v="fra.pérez@consultora.cl"/>
        <s v="fra.rodríguez@empresa.cl"/>
        <s v="fra.rojas@consultora.cl"/>
        <s v="fra.rojas@sura.cl"/>
        <s v="fra.sepúlveda@consultora.cl"/>
        <s v="fra.silva@sura.cl"/>
        <s v="fra.silva@outlook.cl"/>
        <s v="fra.silva@gmail.com"/>
        <s v="fra.silva@consultora.cl"/>
        <s v="fra.soto@empresa.cl"/>
        <s v="fra.tapia@servicios.cl"/>
        <s v="fra.tapia@empresa.cl"/>
        <s v="fra.valenzuela@sura.cl"/>
        <s v="fra.valenzuela@empresa.cl"/>
        <s v="fra.valenzuela@gmail.com"/>
        <s v="fra.valenzuela@servicios.cl"/>
        <s v="fra.vergara@gmail.com"/>
        <s v="gab.araya@empresa.cl"/>
        <s v="gab.araya@servicios.cl"/>
        <s v="gab.contreras@sura.cl"/>
        <s v="gab.díaz@sura.cl"/>
        <s v="gab.espinoza@outlook.cl"/>
        <s v="gab.espinoza@empresa.cl"/>
        <s v="gab.gonzález@sura.cl"/>
        <s v="gab.gonzález@outlook.cl"/>
        <s v="gab.gonzález@empresa.cl"/>
        <s v="gab.lópez@empresa.cl"/>
        <s v="gab.lópez@consultora.cl"/>
        <s v="gab.lópez@sura.cl"/>
        <s v="gab.morales@gmail.com"/>
        <s v="gab.muñoz@gmail.com"/>
        <s v="gab.muñoz@empresa.cl"/>
        <s v="gab.pérez@empresa.cl"/>
        <s v="gab.rojas@servicios.cl"/>
        <s v="gab.rojas@outlook.cl"/>
        <s v="gab.rojas@sura.cl"/>
        <s v="gab.sepúlveda@empresa.cl"/>
        <s v="gab.sepúlveda@sura.cl"/>
        <s v="gab.silva@empresa.cl"/>
        <s v="gab.soto@consultora.cl"/>
        <s v="gab.soto@sura.cl"/>
        <s v="gab.valenzuela@empresa.cl"/>
        <s v="gab.vergara@empresa.cl"/>
        <s v="gon.araya@gmail.com"/>
        <s v="gon.contreras@gmail.com"/>
        <s v="gon.díaz@gmail.com"/>
        <s v="gon.espinoza@empresa.cl"/>
        <s v="gon.espinoza@servicios.cl"/>
        <s v="gon.fuentes@sura.cl"/>
        <s v="gon.fuentes@servicios.cl"/>
        <s v="gon.lópez@outlook.cl"/>
        <s v="gon.lópez@empresa.cl"/>
        <s v="gon.muñoz@consultora.cl"/>
        <s v="gon.pérez@gmail.com"/>
        <s v="gon.pérez@consultora.cl"/>
        <s v="gon.rojas@gmail.com"/>
        <s v="gon.rojas@sura.cl"/>
        <s v="gon.silva@gmail.com"/>
        <s v="gon.silva@consultora.cl"/>
        <s v="gon.soto@gmail.com"/>
        <s v="gon.soto@outlook.cl"/>
        <s v="gon.valenzuela@consultora.cl"/>
        <s v="gon.vergara@servicios.cl"/>
        <s v="gon.vergara@consultora.cl"/>
        <s v="gon.vergara@gmail.com"/>
        <s v="her.araya@empresa.cl"/>
        <s v="her.araya@outlook.cl"/>
        <s v="her.araya@sura.cl"/>
        <s v="her.contreras@gmail.com"/>
        <s v="her.díaz@empresa.cl"/>
        <s v="her.espinoza@sura.cl"/>
        <s v="her.fuentes@sura.cl"/>
        <s v="her.gonzález@gmail.com"/>
        <s v="her.gonzález@empresa.cl"/>
        <s v="her.lópez@servicios.cl"/>
        <s v="her.lópez@sura.cl"/>
        <s v="her.morales@empresa.cl"/>
        <s v="her.muñoz@outlook.cl"/>
        <s v="her.pérez@gmail.com"/>
        <s v="her.pérez@sura.cl"/>
        <s v="her.rodríguez@consultora.cl"/>
        <s v="her.rodríguez@gmail.com"/>
        <s v="her.rojas@sura.cl"/>
        <s v="her.rojas@consultora.cl"/>
        <s v="her.silva@gmail.com"/>
        <s v="her.soto@outlook.cl"/>
        <s v="her.soto@sura.cl"/>
        <s v="her.tapia@sura.cl"/>
        <s v="her.valenzuela@consultora.cl"/>
        <s v="her.vergara@empresa.cl"/>
        <s v="ign.araya@sura.cl"/>
        <s v="ign.araya@servicios.cl"/>
        <s v="ign.araya@consultora.cl"/>
        <s v="ign.contreras@empresa.cl"/>
        <s v="ign.contreras@gmail.com"/>
        <s v="ign.contreras@outlook.cl"/>
        <s v="ign.díaz@sura.cl"/>
        <s v="ign.díaz@outlook.cl"/>
        <s v="ign.díaz@consultora.cl"/>
        <s v="ign.espinoza@empresa.cl"/>
        <s v="ign.espinoza@outlook.cl"/>
        <s v="ign.fuentes@empresa.cl"/>
        <s v="ign.fuentes@consultora.cl"/>
        <s v="ign.fuentes@servicios.cl"/>
        <s v="ign.gonzález@gmail.com"/>
        <s v="ign.gonzález@empresa.cl"/>
        <s v="ign.lópez@outlook.cl"/>
        <s v="ign.lópez@empresa.cl"/>
        <s v="ign.pérez@gmail.com"/>
        <s v="ign.pérez@consultora.cl"/>
        <s v="ign.pérez@empresa.cl"/>
        <s v="ign.pérez@sura.cl"/>
        <s v="ign.rodríguez@sura.cl"/>
        <s v="ign.rojas@outlook.cl"/>
        <s v="ign.silva@gmail.com"/>
        <s v="ign.silva@outlook.cl"/>
        <s v="ign.soto@outlook.cl"/>
        <s v="ign.soto@servicios.cl"/>
        <s v="ign.soto@gmail.com"/>
        <s v="ign.soto@sura.cl"/>
        <s v="ign.tapia@gmail.com"/>
        <s v="ign.valenzuela@gmail.com"/>
        <s v="ign.valenzuela@empresa.cl"/>
        <s v="ign.vergara@outlook.cl"/>
        <s v="jav.araya@gmail.com"/>
        <s v="jav.araya@sura.cl"/>
        <s v="jav.contreras@outlook.cl"/>
        <s v="jav.díaz@outlook.cl"/>
        <s v="jav.díaz@gmail.com"/>
        <s v="jav.fuentes@empresa.cl"/>
        <s v="jav.lópez@sura.cl"/>
        <s v="jav.morales@empresa.cl"/>
        <s v="jav.morales@servicios.cl"/>
        <s v="jav.muñoz@servicios.cl"/>
        <s v="jav.muñoz@gmail.com"/>
        <s v="jav.pérez@servicios.cl"/>
        <s v="jav.rodríguez@consultora.cl"/>
        <s v="jav.rojas@empresa.cl"/>
        <s v="jav.rojas@outlook.cl"/>
        <s v="jav.sepúlveda@gmail.com"/>
        <s v="jav.sepúlveda@servicios.cl"/>
        <s v="jav.silva@outlook.cl"/>
        <s v="jav.soto@servicios.cl"/>
        <s v="jav.soto@consultora.cl"/>
        <s v="jav.soto@empresa.cl"/>
        <s v="jav.tapia@sura.cl"/>
        <s v="jav.tapia@outlook.cl"/>
        <s v="jav.valenzuela@empresa.cl"/>
        <s v="jav.vergara@gmail.com"/>
        <s v="jav.vergara@consultora.cl"/>
        <s v="jav.araya@consultora.cl"/>
        <s v="jav.araya@outlook.cl"/>
        <s v="jav.díaz@sura.cl"/>
        <s v="jav.díaz@servicios.cl"/>
        <s v="jav.díaz@consultora.cl"/>
        <s v="jav.espinoza@empresa.cl"/>
        <s v="jav.espinoza@servicios.cl"/>
        <s v="jav.fuentes@gmail.com"/>
        <s v="jav.fuentes@servicios.cl"/>
        <s v="jav.lópez@outlook.cl"/>
        <s v="jav.morales@sura.cl"/>
        <s v="jav.muñoz@outlook.cl"/>
        <s v="jav.pérez@empresa.cl"/>
        <s v="jav.rodríguez@empresa.cl"/>
        <s v="jav.rodríguez@servicios.cl"/>
        <s v="jav.silva@gmail.com"/>
        <s v="jav.silva@sura.cl"/>
        <s v="jav.soto@sura.cl"/>
        <s v="jav.soto@gmail.com"/>
        <s v="lor.araya@sura.cl"/>
        <s v="lor.araya@outlook.cl"/>
        <s v="lor.espinoza@empresa.cl"/>
        <s v="lor.espinoza@servicios.cl"/>
        <s v="lor.fuentes@servicios.cl"/>
        <s v="lor.morales@gmail.com"/>
        <s v="lor.morales@empresa.cl"/>
        <s v="lor.muñoz@servicios.cl"/>
        <s v="lor.pérez@outlook.cl"/>
        <s v="lor.pérez@sura.cl"/>
        <s v="lor.rodríguez@servicios.cl"/>
        <s v="lor.rodríguez@outlook.cl"/>
        <s v="lor.sepúlveda@outlook.cl"/>
        <s v="lor.sepúlveda@sura.cl"/>
        <s v="lor.silva@gmail.com"/>
        <s v="lor.silva@servicios.cl"/>
        <s v="lor.valenzuela@outlook.cl"/>
        <s v="lor.valenzuela@servicios.cl"/>
        <s v="lor.vergara@consultora.cl"/>
        <s v="lor.vergara@gmail.com"/>
        <s v="mac.araya@servicios.cl"/>
        <s v="mac.contreras@sura.cl"/>
        <s v="mac.díaz@outlook.cl"/>
        <s v="mac.díaz@consultora.cl"/>
        <s v="mac.espinoza@empresa.cl"/>
        <s v="mac.espinoza@outlook.cl"/>
        <s v="mac.fuentes@outlook.cl"/>
        <s v="mac.fuentes@sura.cl"/>
        <s v="mac.gonzález@gmail.com"/>
        <s v="mac.lópez@servicios.cl"/>
        <s v="mac.lópez@outlook.cl"/>
        <s v="mac.morales@gmail.com"/>
        <s v="mac.muñoz@consultora.cl"/>
        <s v="mac.pérez@servicios.cl"/>
        <s v="mac.pérez@outlook.cl"/>
        <s v="mac.pérez@sura.cl"/>
        <s v="mac.rodríguez@servicios.cl"/>
        <s v="mac.rodríguez@gmail.com"/>
        <s v="mac.rodríguez@consultora.cl"/>
        <s v="mac.rodríguez@outlook.cl"/>
        <s v="mac.rojas@outlook.cl"/>
        <s v="mac.rojas@sura.cl"/>
        <s v="mac.rojas@gmail.com"/>
        <s v="mac.sepúlveda@gmail.com"/>
        <s v="mac.sepúlveda@consultora.cl"/>
        <s v="mac.soto@sura.cl"/>
        <s v="mac.soto@outlook.cl"/>
        <s v="mac.soto@empresa.cl"/>
        <s v="mac.tapia@gmail.com"/>
        <s v="mac.tapia@servicios.cl"/>
        <s v="mac.valenzuela@servicios.cl"/>
        <s v="mar.araya@gmail.com"/>
        <s v="mar.contreras@consultora.cl"/>
        <s v="mar.díaz@sura.cl"/>
        <s v="mar.díaz@servicios.cl"/>
        <s v="mar.díaz@gmail.com"/>
        <s v="mar.espinoza@sura.cl"/>
        <s v="mar.espinoza@empresa.cl"/>
        <s v="mar.espinoza@consultora.cl"/>
        <s v="mar.fuentes@empresa.cl"/>
        <s v="mar.fuentes@sura.cl"/>
        <s v="mar.gonzález@consultora.cl"/>
        <s v="mar.lópez@servicios.cl"/>
        <s v="mar.morales@consultora.cl"/>
        <s v="mar.morales@empresa.cl"/>
        <s v="mar.pérez@servicios.cl"/>
        <s v="mar.pérez@sura.cl"/>
        <s v="mar.rodríguez@outlook.cl"/>
        <s v="mar.rodríguez@gmail.com"/>
        <s v="mar.rodríguez@sura.cl"/>
        <s v="mar.rojas@sura.cl"/>
        <s v="mar.sepúlveda@consultora.cl"/>
        <s v="mar.sepúlveda@gmail.com"/>
        <s v="mar.silva@consultora.cl"/>
        <s v="mar.tapia@empresa.cl"/>
        <s v="mar.valenzuela@outlook.cl"/>
        <s v="mar.valenzuela@sura.cl"/>
        <s v="mar.valenzuela@servicios.cl"/>
        <s v="mar.valenzuela@consultora.cl"/>
        <s v="mar.vergara@gmail.com"/>
        <s v="mat.araya@sura.cl"/>
        <s v="mat.araya@empresa.cl"/>
        <s v="mat.contreras@outlook.cl"/>
        <s v="mat.díaz@consultora.cl"/>
        <s v="mat.fuentes@servicios.cl"/>
        <s v="mat.fuentes@outlook.cl"/>
        <s v="mat.fuentes@empresa.cl"/>
        <s v="mat.gonzález@sura.cl"/>
        <s v="mat.morales@outlook.cl"/>
        <s v="mat.morales@sura.cl"/>
        <s v="mat.morales@gmail.com"/>
        <s v="mat.muñoz@gmail.com"/>
        <s v="mat.muñoz@sura.cl"/>
        <s v="mat.muñoz@consultora.cl"/>
        <s v="mat.pérez@sura.cl"/>
        <s v="mat.pérez@servicios.cl"/>
        <s v="mat.rojas@servicios.cl"/>
        <s v="mat.rojas@empresa.cl"/>
        <s v="mat.sepúlveda@consultora.cl"/>
        <s v="mat.sepúlveda@gmail.com"/>
        <s v="mat.soto@gmail.com"/>
        <s v="mat.tapia@sura.cl"/>
        <s v="mat.valenzuela@empresa.cl"/>
        <s v="mat.valenzuela@gmail.com"/>
        <s v="mat.valenzuela@consultora.cl"/>
        <s v="mat.vergara@sura.cl"/>
        <s v="mau.araya@consultora.cl"/>
        <s v="mau.araya@sura.cl"/>
        <s v="mau.araya@outlook.cl"/>
        <s v="mau.contreras@consultora.cl"/>
        <s v="mau.contreras@empresa.cl"/>
        <s v="mau.contreras@outlook.cl"/>
        <s v="mau.díaz@outlook.cl"/>
        <s v="mau.díaz@consultora.cl"/>
        <s v="mau.espinoza@servicios.cl"/>
        <s v="mau.espinoza@empresa.cl"/>
        <s v="mau.fuentes@consultora.cl"/>
        <s v="mau.gonzález@consultora.cl"/>
        <s v="mau.gonzález@empresa.cl"/>
        <s v="mau.gonzález@outlook.cl"/>
        <s v="mau.morales@empresa.cl"/>
        <s v="mau.morales@sura.cl"/>
        <s v="mau.muñoz@consultora.cl"/>
        <s v="mau.pérez@gmail.com"/>
        <s v="mau.pérez@sura.cl"/>
        <s v="mau.rodríguez@gmail.com"/>
        <s v="mau.rodríguez@consultora.cl"/>
        <s v="mau.rojas@sura.cl"/>
        <s v="mau.rojas@servicios.cl"/>
        <s v="mau.rojas@empresa.cl"/>
        <s v="mau.sepúlveda@sura.cl"/>
        <s v="mau.soto@servicios.cl"/>
        <s v="mau.tapia@outlook.cl"/>
        <s v="mau.tapia@empresa.cl"/>
        <s v="mau.valenzuela@empresa.cl"/>
        <s v="mau.valenzuela@sura.cl"/>
        <s v="pau.contreras@servicios.cl"/>
        <s v="pau.díaz@gmail.com"/>
        <s v="pau.fuentes@sura.cl"/>
        <s v="pau.fuentes@outlook.cl"/>
        <s v="pau.gonzález@outlook.cl"/>
        <s v="pau.lópez@sura.cl"/>
        <s v="pau.morales@outlook.cl"/>
        <s v="pau.morales@consultora.cl"/>
        <s v="pau.morales@empresa.cl"/>
        <s v="pau.muñoz@empresa.cl"/>
        <s v="pau.pérez@consultora.cl"/>
        <s v="pau.pérez@outlook.cl"/>
        <s v="pau.rojas@consultora.cl"/>
        <s v="pau.rojas@sura.cl"/>
        <s v="pau.sepúlveda@sura.cl"/>
        <s v="pau.silva@outlook.cl"/>
        <s v="pau.silva@empresa.cl"/>
        <s v="pau.silva@gmail.com"/>
        <s v="pau.tapia@empresa.cl"/>
        <s v="pau.valenzuela@consultora.cl"/>
        <s v="pau.valenzuela@gmail.com"/>
        <s v="pau.vergara@consultora.cl"/>
        <s v="rod.araya@sura.cl"/>
        <s v="rod.contreras@consultora.cl"/>
        <s v="rod.contreras@outlook.cl"/>
        <s v="rod.díaz@outlook.cl"/>
        <s v="rod.espinoza@sura.cl"/>
        <s v="rod.espinoza@gmail.com"/>
        <s v="rod.fuentes@outlook.cl"/>
        <s v="rod.lópez@empresa.cl"/>
        <s v="rod.morales@gmail.com"/>
        <s v="rod.morales@outlook.cl"/>
        <s v="rod.muñoz@servicios.cl"/>
        <s v="rod.pérez@sura.cl"/>
        <s v="rod.rodríguez@outlook.cl"/>
        <s v="rod.sepúlveda@empresa.cl"/>
        <s v="rod.sepúlveda@gmail.com"/>
        <s v="rod.silva@gmail.com"/>
        <s v="rod.soto@servicios.cl"/>
        <s v="rod.soto@sura.cl"/>
        <s v="rod.tapia@empresa.cl"/>
        <s v="rod.tapia@consultora.cl"/>
        <s v="rod.valenzuela@gmail.com"/>
        <s v="rod.valenzuela@outlook.cl"/>
        <s v="seb.araya@consultora.cl"/>
        <s v="seb.araya@gmail.com"/>
        <s v="seb.araya@empresa.cl"/>
        <s v="seb.contreras@outlook.cl"/>
        <s v="seb.contreras@empresa.cl"/>
        <s v="seb.contreras@consultora.cl"/>
        <s v="seb.díaz@outlook.cl"/>
        <s v="seb.espinoza@consultora.cl"/>
        <s v="seb.fuentes@servicios.cl"/>
        <s v="seb.fuentes@sura.cl"/>
        <s v="seb.lópez@servicios.cl"/>
        <s v="seb.lópez@gmail.com"/>
        <s v="seb.morales@consultora.cl"/>
        <s v="seb.muñoz@empresa.cl"/>
        <s v="seb.pérez@empresa.cl"/>
        <s v="seb.pérez@outlook.cl"/>
        <s v="seb.pérez@sura.cl"/>
        <s v="seb.rojas@sura.cl"/>
        <s v="seb.sepúlveda@consultora.cl"/>
        <s v="seb.sepúlveda@empresa.cl"/>
        <s v="seb.sepúlveda@servicios.cl"/>
        <s v="seb.soto@sura.cl"/>
        <s v="seb.soto@outlook.cl"/>
        <s v="seb.tapia@empresa.cl"/>
        <s v="seb.tapia@sura.cl"/>
        <s v="seb.valenzuela@outlook.cl"/>
        <s v="seb.valenzuela@sura.cl"/>
        <s v="seb.valenzuela@gmail.com"/>
        <s v="sof.contreras@outlook.cl"/>
        <s v="sof.contreras@servicios.cl"/>
        <s v="sof.díaz@outlook.cl"/>
        <s v="sof.espinoza@consultora.cl"/>
        <s v="sof.espinoza@servicios.cl"/>
        <s v="sof.espinoza@outlook.cl"/>
        <s v="sof.espinoza@sura.cl"/>
        <s v="sof.fuentes@servicios.cl"/>
        <s v="sof.fuentes@outlook.cl"/>
        <s v="sof.gonzález@empresa.cl"/>
        <s v="sof.lópez@consultora.cl"/>
        <s v="sof.lópez@gmail.com"/>
        <s v="sof.morales@servicios.cl"/>
        <s v="sof.muñoz@servicios.cl"/>
        <s v="sof.muñoz@outlook.cl"/>
        <s v="sof.pérez@outlook.cl"/>
        <s v="sof.pérez@servicios.cl"/>
        <s v="sof.rodríguez@sura.cl"/>
        <s v="sof.rodríguez@servicios.cl"/>
        <s v="sof.sepúlveda@outlook.cl"/>
        <s v="sof.silva@sura.cl"/>
        <s v="sof.silva@outlook.cl"/>
        <s v="sof.silva@servicios.cl"/>
        <s v="sof.silva@gmail.com"/>
        <s v="sof.soto@empresa.cl"/>
        <s v="sof.soto@outlook.cl"/>
        <s v="sof.soto@servicios.cl"/>
        <s v="sof.tapia@outlook.cl"/>
        <s v="sof.tapia@servicios.cl"/>
        <s v="sof.tapia@consultora.cl"/>
        <s v="sof.vergara@outlook.cl"/>
        <s v="tom.araya@empresa.cl"/>
        <s v="tom.araya@servicios.cl"/>
        <s v="tom.araya@sura.cl"/>
        <s v="tom.contreras@empresa.cl"/>
        <s v="tom.contreras@servicios.cl"/>
        <s v="tom.díaz@servicios.cl"/>
        <s v="tom.fuentes@empresa.cl"/>
        <s v="tom.fuentes@outlook.cl"/>
        <s v="tom.gonzález@empresa.cl"/>
        <s v="tom.gonzález@gmail.com"/>
        <s v="tom.gonzález@outlook.cl"/>
        <s v="tom.lópez@gmail.com"/>
        <s v="tom.muñoz@servicios.cl"/>
        <s v="tom.muñoz@gmail.com"/>
        <s v="tom.pérez@consultora.cl"/>
        <s v="tom.rodríguez@servicios.cl"/>
        <s v="tom.rodríguez@sura.cl"/>
        <s v="tom.rodríguez@gmail.com"/>
        <s v="tom.sepúlveda@gmail.com"/>
        <s v="tom.silva@servicios.cl"/>
        <s v="tom.silva@outlook.cl"/>
        <s v="tom.soto@outlook.cl"/>
        <s v="tom.soto@gmail.com"/>
        <s v="tom.soto@consultora.cl"/>
        <s v="tom.tapia@consultora.cl"/>
        <s v="tom.valenzuela@gmail.com"/>
        <s v="tom.valenzuela@consultora.cl"/>
        <s v="tom.vergara@sura.cl"/>
        <s v="tom.vergara@gmail.com"/>
        <s v="val.araya@gmail.com"/>
        <s v="val.araya@servicios.cl"/>
        <s v="val.contreras@outlook.cl"/>
        <s v="val.contreras@gmail.com"/>
        <s v="val.contreras@sura.cl"/>
        <s v="val.fuentes@empresa.cl"/>
        <s v="val.gonzález@servicios.cl"/>
        <s v="val.lópez@outlook.cl"/>
        <s v="val.lópez@consultora.cl"/>
        <s v="val.morales@servicios.cl"/>
        <s v="val.muñoz@sura.cl"/>
        <s v="val.pérez@empresa.cl"/>
        <s v="val.rodríguez@empresa.cl"/>
        <s v="val.rojas@gmail.com"/>
        <s v="val.rojas@empresa.cl"/>
        <s v="val.silva@gmail.com"/>
        <s v="val.silva@sura.cl"/>
        <s v="val.silva@consultora.cl"/>
        <s v="val.silva@empresa.cl"/>
        <s v="val.soto@servicios.cl"/>
        <s v="val.soto@consultora.cl"/>
        <s v="val.valenzuela@gmail.com"/>
      </sharedItems>
    </cacheField>
    <cacheField name="Comuna" numFmtId="0">
      <sharedItems>
        <s v="Talcahuano"/>
        <s v="Antofagasta"/>
        <s v="Puerto Montt"/>
        <s v="Las Condes"/>
        <s v="La Serena"/>
        <s v="Valparaíso"/>
        <s v="Santiago Centro"/>
        <s v="Maipú"/>
        <s v="Concepción"/>
        <s v="Viña del Mar"/>
        <s v="Temuco"/>
        <s v="Ñuñoa"/>
        <s v="Providencia"/>
      </sharedItems>
    </cacheField>
    <cacheField name="Ciudad" numFmtId="0">
      <sharedItems>
        <s v="Concepción"/>
        <s v="Antofagasta"/>
        <s v="Puerto Montt"/>
        <s v="Santiago"/>
        <s v="La Serena"/>
        <s v="Valparaíso"/>
        <s v="Temuco"/>
      </sharedItems>
    </cacheField>
    <cacheField name="Region" numFmtId="0">
      <sharedItems>
        <s v="Región del Biobío"/>
        <s v="Región de Antofagasta"/>
        <s v="Región de Los Lagos"/>
        <s v="Región Metropolitana"/>
        <s v="Región de Coquimbo"/>
        <s v="Región de Valparaíso"/>
        <s v="Región de la Araucanía"/>
      </sharedItems>
    </cacheField>
    <cacheField name="Monto_Facturado_CLP" numFmtId="164">
      <sharedItems containsSemiMixedTypes="0" containsString="0" containsNumber="1" containsInteger="1">
        <n v="8190000.0"/>
        <n v="7870000.0"/>
        <n v="8820000.0"/>
        <n v="1.46E7"/>
        <n v="1.461E7"/>
        <n v="5230000.0"/>
        <n v="2.188E7"/>
        <n v="6070000.0"/>
        <n v="2150000.0"/>
        <n v="7680000.0"/>
        <n v="1.105E7"/>
        <n v="7440000.0"/>
        <n v="1.491E7"/>
        <n v="2.122E7"/>
        <n v="3080000.0"/>
        <n v="1270000.0"/>
        <n v="5200000.0"/>
        <n v="2.052E7"/>
        <n v="810000.0"/>
        <n v="6190000.0"/>
        <n v="1.63E7"/>
        <n v="8770000.0"/>
        <n v="1.632E7"/>
        <n v="1.409E7"/>
        <n v="2.106E7"/>
        <n v="4800000.0"/>
        <n v="1.087E7"/>
        <n v="9580000.0"/>
        <n v="1.135E7"/>
        <n v="1.566E7"/>
        <n v="1.129E7"/>
        <n v="1.171E7"/>
        <n v="1.68E7"/>
        <n v="1.036E7"/>
        <n v="9310000.0"/>
        <n v="1.539E7"/>
        <n v="1420000.0"/>
        <n v="8700000.0"/>
        <n v="1.147E7"/>
        <n v="1.92E7"/>
        <n v="1.159E7"/>
        <n v="2460000.0"/>
        <n v="6970000.0"/>
        <n v="7030000.0"/>
        <n v="6170000.0"/>
        <n v="8130000.0"/>
        <n v="1.747E7"/>
        <n v="3460000.0"/>
        <n v="1.704E7"/>
        <n v="1.565E7"/>
        <n v="8850000.0"/>
        <n v="7980000.0"/>
        <n v="1.221E7"/>
        <n v="1.055E7"/>
        <n v="1.248E7"/>
        <n v="2020000.0"/>
        <n v="2.025E7"/>
        <n v="2.154E7"/>
        <n v="1.089E7"/>
        <n v="1.763E7"/>
        <n v="9450000.0"/>
        <n v="2.127E7"/>
        <n v="1.942E7"/>
        <n v="6230000.0"/>
        <n v="9790000.0"/>
        <n v="1.1E7"/>
        <n v="8210000.0"/>
        <n v="1.482E7"/>
        <n v="1.353E7"/>
        <n v="1.865E7"/>
        <n v="6220000.0"/>
        <n v="1.531E7"/>
        <n v="1.236E7"/>
        <n v="1.571E7"/>
        <n v="9950000.0"/>
        <n v="1.32E7"/>
        <n v="1.521E7"/>
        <n v="1.799E7"/>
        <n v="9160000.0"/>
        <n v="2.021E7"/>
        <n v="2.134E7"/>
        <n v="4200000.0"/>
        <n v="1.034E7"/>
        <n v="8870000.0"/>
        <n v="1.29E7"/>
        <n v="7330000.0"/>
        <n v="4090000.0"/>
        <n v="1.706E7"/>
        <n v="7110000.0"/>
        <n v="1.202E7"/>
        <n v="3670000.0"/>
        <n v="1.858E7"/>
        <n v="2.149E7"/>
        <n v="2910000.0"/>
        <n v="4700000.0"/>
        <n v="1.488E7"/>
        <n v="2680000.0"/>
        <n v="3140000.0"/>
        <n v="1.934E7"/>
        <n v="1.211E7"/>
        <n v="1.604E7"/>
        <n v="8570000.0"/>
        <n v="1.594E7"/>
        <n v="2.197E7"/>
        <n v="9430000.0"/>
        <n v="1.895E7"/>
        <n v="1.654E7"/>
        <n v="1580000.0"/>
        <n v="1.968E7"/>
        <n v="2450000.0"/>
        <n v="2.124E7"/>
        <n v="1.616E7"/>
        <n v="1680000.0"/>
        <n v="1.316E7"/>
        <n v="1.286E7"/>
        <n v="1.859E7"/>
        <n v="1.698E7"/>
        <n v="1.489E7"/>
        <n v="1.025E7"/>
        <n v="1.288E7"/>
        <n v="1.593E7"/>
        <n v="2.068E7"/>
        <n v="2.043E7"/>
        <n v="2360000.0"/>
        <n v="2.046E7"/>
        <n v="8610000.0"/>
        <n v="1.275E7"/>
        <n v="7850000.0"/>
        <n v="1.375E7"/>
        <n v="1140000.0"/>
        <n v="8320000.0"/>
        <n v="7360000.0"/>
        <n v="6910000.0"/>
        <n v="1.997E7"/>
        <n v="7200000.0"/>
        <n v="5920000.0"/>
        <n v="1.949E7"/>
        <n v="1.878E7"/>
        <n v="1.976E7"/>
        <n v="1430000.0"/>
        <n v="2.062E7"/>
        <n v="2.143E7"/>
        <n v="1.743E7"/>
        <n v="7770000.0"/>
        <n v="8420000.0"/>
        <n v="1.237E7"/>
        <n v="2380000.0"/>
        <n v="1.165E7"/>
        <n v="4930000.0"/>
        <n v="2.085E7"/>
        <n v="2.142E7"/>
        <n v="1.983E7"/>
        <n v="1.356E7"/>
        <n v="2770000.0"/>
        <n v="700000.0"/>
        <n v="1.711E7"/>
        <n v="9920000.0"/>
        <n v="1.253E7"/>
        <n v="1.104E7"/>
        <n v="4380000.0"/>
        <n v="4530000.0"/>
        <n v="7930000.0"/>
        <n v="1670000.0"/>
        <n v="1.867E7"/>
        <n v="1.247E7"/>
        <n v="1.052E7"/>
        <n v="8020000.0"/>
        <n v="8280000.0"/>
        <n v="9900000.0"/>
        <n v="1.734E7"/>
        <n v="1.649E7"/>
        <n v="2.114E7"/>
        <n v="1.173E7"/>
        <n v="1.484E7"/>
        <n v="7320000.0"/>
        <n v="1.908E7"/>
        <n v="1.559E7"/>
        <n v="8780000.0"/>
        <n v="1.425E7"/>
        <n v="1.738E7"/>
        <n v="1.784E7"/>
        <n v="4920000.0"/>
        <n v="1.148E7"/>
        <n v="610000.0"/>
        <n v="790000.0"/>
        <n v="560000.0"/>
        <n v="1940000.0"/>
        <n v="1.36E7"/>
        <n v="8090000.0"/>
        <n v="5880000.0"/>
        <n v="1.873E7"/>
        <n v="3170000.0"/>
        <n v="1090000.0"/>
        <n v="5420000.0"/>
        <n v="1.992E7"/>
        <n v="1.838E7"/>
        <n v="2.049E7"/>
        <n v="1.281E7"/>
        <n v="1.063E7"/>
        <n v="2.047E7"/>
        <n v="1.715E7"/>
        <n v="9560000.0"/>
        <n v="1.434E7"/>
        <n v="1.014E7"/>
        <n v="1.663E7"/>
        <n v="3610000.0"/>
        <n v="6360000.0"/>
        <n v="760000.0"/>
        <n v="1.407E7"/>
        <n v="2.173E7"/>
        <n v="660000.0"/>
        <n v="2.071E7"/>
        <n v="1.902E7"/>
        <n v="1.099E7"/>
        <n v="1.428E7"/>
        <n v="3440000.0"/>
        <n v="1.388E7"/>
        <n v="1.447E7"/>
        <n v="2160000.0"/>
        <n v="9520000.0"/>
        <n v="7700000.0"/>
        <n v="2.054E7"/>
        <n v="6200000.0"/>
        <n v="9990000.0"/>
        <n v="5030000.0"/>
        <n v="1.363E7"/>
        <n v="8840000.0"/>
        <n v="1.314E7"/>
        <n v="1.078E7"/>
        <n v="1.474E7"/>
        <n v="2740000.0"/>
        <n v="1.828E7"/>
        <n v="3910000.0"/>
        <n v="7800000.0"/>
        <n v="4310000.0"/>
        <n v="7630000.0"/>
        <n v="7230000.0"/>
        <n v="1.05E7"/>
        <n v="1.176E7"/>
        <n v="1.835E7"/>
        <n v="2.138E7"/>
        <n v="8140000.0"/>
        <n v="2.108E7"/>
        <n v="1310000.0"/>
        <n v="3410000.0"/>
        <n v="6270000.0"/>
        <n v="1.923E7"/>
        <n v="1.943E7"/>
        <n v="4750000.0"/>
        <n v="1.192E7"/>
        <n v="9890000.0"/>
        <n v="1.227E7"/>
        <n v="8010000.0"/>
        <n v="9910000.0"/>
        <n v="1.359E7"/>
        <n v="1130000.0"/>
        <n v="9830000.0"/>
        <n v="1.43E7"/>
        <n v="1.154E7"/>
        <n v="1.278E7"/>
        <n v="4850000.0"/>
        <n v="1.872E7"/>
        <n v="6410000.0"/>
        <n v="1.739E7"/>
        <n v="1.427E7"/>
        <n v="5220000.0"/>
        <n v="1.318E7"/>
        <n v="1.836E7"/>
        <n v="3420000.0"/>
        <n v="1.911E7"/>
        <n v="2.095E7"/>
        <n v="1.442E7"/>
        <n v="1.3E7"/>
        <n v="1.652E7"/>
        <n v="2.055E7"/>
        <n v="1.971E7"/>
        <n v="2.193E7"/>
        <n v="6060000.0"/>
        <n v="1.636E7"/>
        <n v="1.956E7"/>
        <n v="1.205E7"/>
        <n v="1710000.0"/>
        <n v="1.752E7"/>
        <n v="8750000.0"/>
        <n v="7860000.0"/>
        <n v="1.897E7"/>
        <n v="1.473E7"/>
        <n v="3750000.0"/>
        <n v="1460000.0"/>
        <n v="1.495E7"/>
        <n v="4300000.0"/>
        <n v="1.525E7"/>
        <n v="1070000.0"/>
        <n v="1.55E7"/>
        <n v="1.893E7"/>
        <n v="1.646E7"/>
        <n v="1.909E7"/>
        <n v="1.234E7"/>
        <n v="3000000.0"/>
        <n v="2.001E7"/>
        <n v="6900000.0"/>
        <n v="1050000.0"/>
        <n v="1.751E7"/>
        <n v="1.177E7"/>
        <n v="9370000.0"/>
        <n v="1.941E7"/>
        <n v="1510000.0"/>
        <n v="1.605E7"/>
        <n v="2.05E7"/>
        <n v="9170000.0"/>
        <n v="9850000.0"/>
        <n v="5370000.0"/>
        <n v="1.697E7"/>
        <n v="1.8E7"/>
        <n v="1.121E7"/>
        <n v="1.513E7"/>
        <n v="1.308E7"/>
        <n v="6020000.0"/>
        <n v="1.687E7"/>
        <n v="1.584E7"/>
        <n v="3390000.0"/>
        <n v="4740000.0"/>
        <n v="1.732E7"/>
        <n v="1820000.0"/>
        <n v="1.735E7"/>
        <n v="5730000.0"/>
        <n v="2.088E7"/>
        <n v="820000.0"/>
        <n v="1.74E7"/>
        <n v="1.723E7"/>
        <n v="8540000.0"/>
        <n v="1.599E7"/>
        <n v="2.107E7"/>
        <n v="1.186E7"/>
        <n v="1.694E7"/>
        <n v="8390000.0"/>
        <n v="2.19E7"/>
        <n v="5550000.0"/>
        <n v="1.583E7"/>
        <n v="1.986E7"/>
        <n v="9600000.0"/>
        <n v="1.802E7"/>
        <n v="1.152E7"/>
        <n v="1.348E7"/>
        <n v="1.12E7"/>
        <n v="1.005E7"/>
        <n v="2600000.0"/>
        <n v="1.532E7"/>
        <n v="1.951E7"/>
        <n v="2310000.0"/>
        <n v="3880000.0"/>
        <n v="1.883E7"/>
        <n v="8560000.0"/>
        <n v="2.061E7"/>
        <n v="1.936E7"/>
        <n v="1.89E7"/>
        <n v="1.315E7"/>
        <n v="1.832E7"/>
        <n v="1.038E7"/>
        <n v="8150000.0"/>
        <n v="7900000.0"/>
        <n v="1.918E7"/>
        <n v="9230000.0"/>
        <n v="6560000.0"/>
        <n v="1.556E7"/>
        <n v="6130000.0"/>
        <n v="1.948E7"/>
        <n v="1.106E7"/>
        <n v="4050000.0"/>
        <n v="9000000.0"/>
        <n v="7490000.0"/>
        <n v="1370000.0"/>
        <n v="1.617E7"/>
        <n v="5990000.0"/>
        <n v="5500000.0"/>
        <n v="1.182E7"/>
        <n v="1.901E7"/>
        <n v="9500000.0"/>
        <n v="5970000.0"/>
        <n v="1.008E7"/>
        <n v="1.387E7"/>
        <n v="7040000.0"/>
        <n v="3780000.0"/>
        <n v="9270000.0"/>
        <n v="1.258E7"/>
        <n v="2.082E7"/>
        <n v="1.875E7"/>
        <n v="7220000.0"/>
        <n v="640000.0"/>
        <n v="1.686E7"/>
        <n v="1490000.0"/>
        <n v="3120000.0"/>
        <n v="1.145E7"/>
        <n v="9610000.0"/>
        <n v="1.207E7"/>
        <n v="5940000.0"/>
        <n v="6040000.0"/>
        <n v="1.301E7"/>
        <n v="3970000.0"/>
        <n v="4000000.0"/>
        <n v="1.561E7"/>
        <n v="1.573E7"/>
        <n v="1.059E7"/>
        <n v="2.008E7"/>
        <n v="2.07E7"/>
        <n v="1.291E7"/>
        <n v="5630000.0"/>
        <n v="1.232E7"/>
        <n v="1.814E7"/>
        <n v="1.707E7"/>
        <n v="1.693E7"/>
        <n v="1400000.0"/>
        <n v="1.019E7"/>
        <n v="7390000.0"/>
        <n v="5480000.0"/>
        <n v="5620000.0"/>
        <n v="2.189E7"/>
        <n v="4790000.0"/>
        <n v="5560000.0"/>
        <n v="1.728E7"/>
        <n v="5790000.0"/>
        <n v="1.93E7"/>
        <n v="2.171E7"/>
        <n v="6650000.0"/>
        <n v="1.119E7"/>
        <n v="9630000.0"/>
        <n v="1.469E7"/>
        <n v="2.038E7"/>
        <n v="6430000.0"/>
        <n v="1.82E7"/>
        <n v="1.155E7"/>
        <n v="2400000.0"/>
        <n v="7240000.0"/>
        <n v="9260000.0"/>
        <n v="1.724E7"/>
        <n v="8830000.0"/>
        <n v="4570000.0"/>
        <n v="9750000.0"/>
        <n v="1.249E7"/>
        <n v="5340000.0"/>
        <n v="2180000.0"/>
        <n v="2.003E7"/>
        <n v="4600000.0"/>
        <n v="6250000.0"/>
        <n v="1.554E7"/>
        <n v="1.574E7"/>
        <n v="1.933E7"/>
        <n v="1.124E7"/>
        <n v="2870000.0"/>
        <n v="9240000.0"/>
        <n v="7050000.0"/>
        <n v="1.685E7"/>
        <n v="1290000.0"/>
        <n v="1.321E7"/>
        <n v="5330000.0"/>
        <n v="2.118E7"/>
        <n v="1.455E7"/>
        <n v="1.496E7"/>
        <n v="7810000.0"/>
        <n v="8600000.0"/>
        <n v="1.568E7"/>
        <n v="1.801E7"/>
        <n v="1.126E7"/>
        <n v="1.423E7"/>
        <n v="2.01E7"/>
        <n v="1.787E7"/>
        <n v="1.45E7"/>
        <n v="1.189E7"/>
        <n v="4690000.0"/>
        <n v="1.821E7"/>
        <n v="2.036E7"/>
        <n v="9690000.0"/>
        <n v="1.793E7"/>
        <n v="4810000.0"/>
        <n v="9380000.0"/>
        <n v="2.066E7"/>
        <n v="1.241E7"/>
        <n v="2140000.0"/>
        <n v="8180000.0"/>
        <n v="1.056E7"/>
        <n v="1.937E7"/>
        <n v="6640000.0"/>
        <n v="3260000.0"/>
        <n v="1.393E7"/>
        <n v="1.952E7"/>
        <n v="1.78E7"/>
        <n v="4370000.0"/>
        <n v="1.053E7"/>
        <n v="5690000.0"/>
        <n v="8170000.0"/>
        <n v="2.093E7"/>
        <n v="5310000.0"/>
        <n v="3760000.0"/>
        <n v="8650000.0"/>
        <n v="3350000.0"/>
        <n v="1.885E7"/>
        <n v="1.882E7"/>
        <n v="7840000.0"/>
        <n v="2.014E7"/>
        <n v="1.41E7"/>
        <n v="7970000.0"/>
        <n v="970000.0"/>
        <n v="1.332E7"/>
        <n v="4080000.0"/>
        <n v="1.797E7"/>
        <n v="6670000.0"/>
        <n v="1.645E7"/>
        <n v="780000.0"/>
        <n v="1.773E7"/>
        <n v="7740000.0"/>
        <n v="7710000.0"/>
        <n v="1.201E7"/>
        <n v="1.816E7"/>
        <n v="1.361E7"/>
        <n v="6830000.0"/>
        <n v="7400000.0"/>
        <n v="9640000.0"/>
        <n v="1.759E7"/>
        <n v="1.845E7"/>
        <n v="1.818E7"/>
        <n v="1.891E7"/>
        <n v="6110000.0"/>
        <n v="1.26E7"/>
        <n v="1.95E7"/>
        <n v="1.672E7"/>
        <n v="7250000.0"/>
        <n v="1.493E7"/>
        <n v="4650000.0"/>
        <n v="1.6E7"/>
        <n v="6470000.0"/>
        <n v="1.629E7"/>
        <n v="1.718E7"/>
        <n v="8910000.0"/>
        <n v="1.969E7"/>
        <n v="1.975E7"/>
        <n v="1.744E7"/>
        <n v="1.722E7"/>
        <n v="1240000.0"/>
        <n v="5960000.0"/>
        <n v="3800000.0"/>
        <n v="1.325E7"/>
        <n v="1.373E7"/>
        <n v="1.322E7"/>
        <n v="1.628E7"/>
        <n v="5440000.0"/>
        <n v="1.262E7"/>
        <n v="2.059E7"/>
        <n v="1.029E7"/>
        <n v="1.548E7"/>
        <n v="2.116E7"/>
        <n v="2.045E7"/>
        <n v="3720000.0"/>
        <n v="2.195E7"/>
        <n v="9250000.0"/>
        <n v="2940000.0"/>
        <n v="1.903E7"/>
        <n v="3210000.0"/>
        <n v="1.259E7"/>
        <n v="1.166E7"/>
        <n v="1.581E7"/>
        <n v="1.209E7"/>
        <n v="5570000.0"/>
        <n v="1.768E7"/>
        <n v="1.151E7"/>
        <n v="1.625E7"/>
        <n v="1.01E7"/>
        <n v="4390000.0"/>
        <n v="1.137E7"/>
        <n v="1.925E7"/>
        <n v="980000.0"/>
        <n v="2500000.0"/>
        <n v="8900000.0"/>
        <n v="7080000.0"/>
        <n v="7750000.0"/>
        <n v="9190000.0"/>
        <n v="5070000.0"/>
        <n v="1.754E7"/>
        <n v="1120000.0"/>
        <n v="1.935E7"/>
        <n v="8380000.0"/>
        <n v="3640000.0"/>
        <n v="5090000.0"/>
        <n v="1.497E7"/>
        <n v="1.984E7"/>
        <n v="1.83E7"/>
        <n v="1.333E7"/>
        <n v="1.595E7"/>
        <n v="9020000.0"/>
        <n v="4910000.0"/>
        <n v="1.075E7"/>
        <n v="1.503E7"/>
        <n v="2.053E7"/>
        <n v="550000.0"/>
        <n v="7920000.0"/>
        <n v="1.101E7"/>
        <n v="1.509E7"/>
        <n v="1.027E7"/>
        <n v="2.119E7"/>
        <n v="1.327E7"/>
        <n v="1.536E7"/>
        <n v="7270000.0"/>
        <n v="6380000.0"/>
        <n v="5250000.0"/>
        <n v="1910000.0"/>
        <n v="9840000.0"/>
        <n v="2250000.0"/>
        <n v="9130000.0"/>
        <n v="9330000.0"/>
        <n v="1.187E7"/>
        <n v="3710000.0"/>
        <n v="1.432E7"/>
        <n v="1.648E7"/>
        <n v="1.844E7"/>
        <n v="5240000.0"/>
        <n v="4970000.0"/>
        <n v="1.217E7"/>
        <n v="1.086E7"/>
        <n v="7090000.0"/>
        <n v="750000.0"/>
        <n v="2.192E7"/>
        <n v="4960000.0"/>
        <n v="1.412E7"/>
        <n v="1.35E7"/>
        <n v="1410000.0"/>
        <n v="2.2E7"/>
        <n v="1.887E7"/>
        <n v="1.798E7"/>
        <n v="1.598E7"/>
        <n v="1.932E7"/>
        <n v="2960000.0"/>
        <n v="1.915E7"/>
        <n v="2850000.0"/>
        <n v="3870000.0"/>
        <n v="9780000.0"/>
        <n v="7940000.0"/>
        <n v="5120000.0"/>
        <n v="9540000.0"/>
        <n v="1.037E7"/>
        <n v="5840000.0"/>
        <n v="1390000.0"/>
        <n v="1.843E7"/>
        <n v="9980000.0"/>
        <n v="1.615E7"/>
        <n v="1.57E7"/>
        <n v="1.642E7"/>
        <n v="5210000.0"/>
        <n v="1380000.0"/>
        <n v="1.346E7"/>
        <n v="2420000.0"/>
        <n v="9100000.0"/>
        <n v="2.039E7"/>
        <n v="7550000.0"/>
        <n v="1.647E7"/>
        <n v="7780000.0"/>
        <n v="1.562E7"/>
        <n v="3490000.0"/>
        <n v="6630000.0"/>
        <n v="2750000.0"/>
        <n v="1.37E7"/>
        <n v="1.62E7"/>
        <n v="1890000.0"/>
        <n v="1.141E7"/>
        <n v="670000.0"/>
        <n v="9050000.0"/>
        <n v="5470000.0"/>
        <n v="1.306E7"/>
        <n v="4480000.0"/>
        <n v="1500000.0"/>
        <n v="2.069E7"/>
        <n v="1.494E7"/>
        <n v="1.58E7"/>
        <n v="9200000.0"/>
        <n v="1.988E7"/>
        <n v="1.795E7"/>
        <n v="1.656E7"/>
        <n v="2.181E7"/>
        <n v="3090000.0"/>
        <n v="1.662E7"/>
        <n v="1.424E7"/>
        <n v="2.159E7"/>
        <n v="2.174E7"/>
        <n v="3070000.0"/>
        <n v="1.128E7"/>
        <n v="3040000.0"/>
        <n v="1.812E7"/>
        <n v="2.145E7"/>
        <n v="2.051E7"/>
        <n v="1.435E7"/>
        <n v="1.097E7"/>
        <n v="1.462E7"/>
        <n v="2.178E7"/>
        <n v="1.519E7"/>
        <n v="1.118E7"/>
        <n v="5060000.0"/>
        <n v="2.013E7"/>
        <n v="2.019E7"/>
        <n v="1610000.0"/>
        <n v="4190000.0"/>
        <n v="8450000.0"/>
        <n v="6460000.0"/>
        <n v="1.633E7"/>
        <n v="1.336E7"/>
        <n v="1650000.0"/>
        <n v="2.057E7"/>
        <n v="1.809E7"/>
        <n v="1.028E7"/>
        <n v="2.086E7"/>
        <n v="9420000.0"/>
        <n v="1.018E7"/>
        <n v="1.266E7"/>
        <n v="6660000.0"/>
        <n v="1.354E7"/>
        <n v="4540000.0"/>
        <n v="1.547E7"/>
        <n v="2.079E7"/>
        <n v="1.323E7"/>
        <n v="2.198E7"/>
        <n v="1.639E7"/>
        <n v="6310000.0"/>
        <n v="1.42E7"/>
        <n v="1.4E7"/>
        <n v="1.157E7"/>
        <n v="770000.0"/>
        <n v="4340000.0"/>
        <n v="9670000.0"/>
        <n v="1.472E7"/>
        <n v="1.996E7"/>
        <n v="1.861E7"/>
        <n v="1.67E7"/>
        <n v="2990000.0"/>
        <n v="1.515E7"/>
        <n v="1.071E7"/>
        <n v="1.295E7"/>
        <n v="540000.0"/>
        <n v="2.015E7"/>
        <n v="690000.0"/>
        <n v="2040000.0"/>
        <n v="1.198E7"/>
        <n v="1.771E7"/>
        <n v="7420000.0"/>
        <n v="4870000.0"/>
        <n v="8230000.0"/>
        <n v="4430000.0"/>
        <n v="8730000.0"/>
        <n v="2760000.0"/>
        <n v="1.775E7"/>
        <n v="1840000.0"/>
        <n v="2.14E7"/>
        <n v="8490000.0"/>
        <n v="1.047E7"/>
        <n v="1.395E7"/>
        <n v="1.879E7"/>
        <n v="1.203E7"/>
        <n v="1.481E7"/>
        <n v="9820000.0"/>
        <n v="1.589E7"/>
        <n v="1.75E7"/>
        <n v="1.516E7"/>
        <n v="900000.0"/>
        <n v="1.381E7"/>
        <n v="1.243E7"/>
        <n v="910000.0"/>
        <n v="1.874E7"/>
        <n v="6550000.0"/>
        <n v="1.753E7"/>
        <n v="6160000.0"/>
        <n v="1.98E7"/>
        <n v="1.298E7"/>
        <n v="9040000.0"/>
        <n v="1.671E7"/>
        <n v="2.032E7"/>
        <n v="1.328E7"/>
        <n v="2.029E7"/>
        <n v="1.051E7"/>
        <n v="1950000.0"/>
        <n v="1.394E7"/>
        <n v="2.031E7"/>
        <n v="1.896E7"/>
      </sharedItems>
    </cacheField>
    <cacheField name="Dias_Morosidad" numFmtId="0">
      <sharedItems containsSemiMixedTypes="0" containsString="0" containsNumber="1" containsInteger="1">
        <n v="0.0"/>
        <n v="45.0"/>
        <n v="60.0"/>
        <n v="90.0"/>
        <n v="120.0"/>
        <n v="30.0"/>
        <n v="15.0"/>
      </sharedItems>
    </cacheField>
    <cacheField name="Estado_Cuenta" numFmtId="0">
      <sharedItems>
        <s v="Inactivo"/>
        <s v="Activo"/>
        <s v="En Revisión"/>
      </sharedItems>
    </cacheField>
    <cacheField name="Fecha_Registro" numFmtId="165">
      <sharedItems containsSemiMixedTypes="0" containsDate="1" containsString="0">
        <d v="2026-06-24T00:00:00Z"/>
        <d v="2026-06-07T00:00:00Z"/>
        <d v="2026-07-08T00:00:00Z"/>
        <d v="2026-07-20T00:00:00Z"/>
        <d v="2026-05-06T00:00:00Z"/>
        <d v="2026-05-14T00:00:00Z"/>
        <d v="2026-03-13T00:00:00Z"/>
        <d v="2026-05-15T00:00:00Z"/>
        <d v="2026-02-24T00:00:00Z"/>
        <d v="2026-05-22T00:00:00Z"/>
        <d v="2026-01-09T00:00:00Z"/>
        <d v="2026-05-11T00:00:00Z"/>
        <d v="2026-07-06T00:00:00Z"/>
        <d v="2026-04-17T00:00:00Z"/>
        <d v="2026-01-27T00:00:00Z"/>
        <d v="2026-07-17T00:00:00Z"/>
        <d v="2026-01-23T00:00:00Z"/>
        <d v="2026-05-12T00:00:00Z"/>
        <d v="2026-03-20T00:00:00Z"/>
        <d v="2026-05-13T00:00:00Z"/>
        <d v="2026-02-07T00:00:00Z"/>
        <d v="2026-03-12T00:00:00Z"/>
        <d v="2026-04-21T00:00:00Z"/>
        <d v="2026-01-01T00:00:00Z"/>
        <d v="2026-05-24T00:00:00Z"/>
        <d v="2026-03-24T00:00:00Z"/>
        <d v="2026-02-25T00:00:00Z"/>
        <d v="2026-03-19T00:00:00Z"/>
        <d v="2026-01-08T00:00:00Z"/>
        <d v="2026-01-25T00:00:00Z"/>
        <d v="2026-01-06T00:00:00Z"/>
        <d v="2026-07-18T00:00:00Z"/>
        <d v="2026-04-14T00:00:00Z"/>
        <d v="2026-03-03T00:00:00Z"/>
        <d v="2026-06-04T00:00:00Z"/>
        <d v="2026-04-04T00:00:00Z"/>
        <d v="2026-04-22T00:00:00Z"/>
        <d v="2026-07-14T00:00:00Z"/>
        <d v="2026-04-02T00:00:00Z"/>
        <d v="2026-04-25T00:00:00Z"/>
        <d v="2026-04-28T00:00:00Z"/>
        <d v="2026-02-12T00:00:00Z"/>
        <d v="2026-06-19T00:00:00Z"/>
        <d v="2026-02-03T00:00:00Z"/>
        <d v="2026-01-05T00:00:00Z"/>
        <d v="2026-06-21T00:00:00Z"/>
        <d v="2026-01-07T00:00:00Z"/>
        <d v="2026-02-16T00:00:00Z"/>
        <d v="2026-03-08T00:00:00Z"/>
        <d v="2026-02-15T00:00:00Z"/>
        <d v="2026-02-19T00:00:00Z"/>
        <d v="2026-05-01T00:00:00Z"/>
        <d v="2026-02-26T00:00:00Z"/>
        <d v="2026-02-13T00:00:00Z"/>
        <d v="2026-01-24T00:00:00Z"/>
        <d v="2026-02-05T00:00:00Z"/>
        <d v="2026-01-12T00:00:00Z"/>
        <d v="2026-06-22T00:00:00Z"/>
        <d v="2026-06-25T00:00:00Z"/>
        <d v="2026-03-11T00:00:00Z"/>
        <d v="2026-02-14T00:00:00Z"/>
        <d v="2026-03-16T00:00:00Z"/>
        <d v="2026-04-07T00:00:00Z"/>
        <d v="2026-07-28T00:00:00Z"/>
        <d v="2026-06-09T00:00:00Z"/>
        <d v="2026-03-23T00:00:00Z"/>
        <d v="2026-05-09T00:00:00Z"/>
        <d v="2026-02-28T00:00:00Z"/>
        <d v="2026-07-07T00:00:00Z"/>
        <d v="2026-01-18T00:00:00Z"/>
        <d v="2026-07-05T00:00:00Z"/>
        <d v="2026-01-13T00:00:00Z"/>
        <d v="2026-05-04T00:00:00Z"/>
        <d v="2026-02-06T00:00:00Z"/>
        <d v="2026-04-24T00:00:00Z"/>
        <d v="2026-03-27T00:00:00Z"/>
        <d v="2026-05-28T00:00:00Z"/>
        <d v="2026-02-23T00:00:00Z"/>
        <d v="2026-06-18T00:00:00Z"/>
        <d v="2026-02-22T00:00:00Z"/>
        <d v="2026-01-15T00:00:00Z"/>
        <d v="2026-07-10T00:00:00Z"/>
        <d v="2026-05-19T00:00:00Z"/>
        <d v="2026-07-23T00:00:00Z"/>
        <d v="2026-04-19T00:00:00Z"/>
        <d v="2026-06-02T00:00:00Z"/>
        <d v="2026-01-11T00:00:00Z"/>
        <d v="2026-03-26T00:00:00Z"/>
        <d v="2026-07-11T00:00:00Z"/>
        <d v="2026-05-18T00:00:00Z"/>
        <d v="2026-05-02T00:00:00Z"/>
        <d v="2026-02-21T00:00:00Z"/>
        <d v="2026-01-22T00:00:00Z"/>
        <d v="2026-04-20T00:00:00Z"/>
        <d v="2026-03-10T00:00:00Z"/>
        <d v="2026-05-23T00:00:00Z"/>
        <d v="2026-03-18T00:00:00Z"/>
        <d v="2026-02-08T00:00:00Z"/>
        <d v="2026-06-16T00:00:00Z"/>
        <d v="2026-01-10T00:00:00Z"/>
        <d v="2026-07-09T00:00:00Z"/>
        <d v="2026-01-17T00:00:00Z"/>
        <d v="2026-05-10T00:00:00Z"/>
        <d v="2026-04-10T00:00:00Z"/>
        <d v="2026-04-08T00:00:00Z"/>
        <d v="2026-06-27T00:00:00Z"/>
        <d v="2026-07-02T00:00:00Z"/>
        <d v="2026-02-02T00:00:00Z"/>
        <d v="2026-06-05T00:00:00Z"/>
        <d v="2026-04-15T00:00:00Z"/>
        <d v="2026-01-03T00:00:00Z"/>
        <d v="2026-02-11T00:00:00Z"/>
        <d v="2026-05-17T00:00:00Z"/>
        <d v="2026-07-24T00:00:00Z"/>
        <d v="2026-05-20T00:00:00Z"/>
        <d v="2026-03-17T00:00:00Z"/>
        <d v="2026-03-07T00:00:00Z"/>
        <d v="2026-01-26T00:00:00Z"/>
        <d v="2026-03-06T00:00:00Z"/>
        <d v="2026-01-16T00:00:00Z"/>
        <d v="2026-01-19T00:00:00Z"/>
        <d v="2026-07-04T00:00:00Z"/>
        <d v="2026-03-21T00:00:00Z"/>
        <d v="2026-05-16T00:00:00Z"/>
        <d v="2026-05-21T00:00:00Z"/>
        <d v="2026-03-09T00:00:00Z"/>
        <d v="2026-07-16T00:00:00Z"/>
        <d v="2026-06-13T00:00:00Z"/>
        <d v="2026-05-05T00:00:00Z"/>
        <d v="2026-04-18T00:00:00Z"/>
        <d v="2026-07-25T00:00:00Z"/>
        <d v="2026-06-23T00:00:00Z"/>
        <d v="2026-05-25T00:00:00Z"/>
        <d v="2026-04-09T00:00:00Z"/>
        <d v="2026-07-01T00:00:00Z"/>
        <d v="2026-04-23T00:00:00Z"/>
        <d v="2026-06-20T00:00:00Z"/>
        <d v="2026-06-11T00:00:00Z"/>
        <d v="2026-06-06T00:00:00Z"/>
        <d v="2026-04-11T00:00:00Z"/>
        <d v="2026-01-02T00:00:00Z"/>
        <d v="2026-05-26T00:00:00Z"/>
        <d v="2026-03-04T00:00:00Z"/>
        <d v="2026-04-12T00:00:00Z"/>
        <d v="2026-06-12T00:00:00Z"/>
        <d v="2026-04-06T00:00:00Z"/>
        <d v="2026-07-26T00:00:00Z"/>
        <d v="2026-01-14T00:00:00Z"/>
        <d v="2026-05-03T00:00:00Z"/>
        <d v="2026-03-22T00:00:00Z"/>
        <d v="2026-03-05T00:00:00Z"/>
        <d v="2026-07-22T00:00:00Z"/>
        <d v="2026-06-03T00:00:00Z"/>
        <d v="2026-07-21T00:00:00Z"/>
        <d v="2026-02-20T00:00:00Z"/>
        <d v="2026-04-16T00:00:00Z"/>
        <d v="2026-01-28T00:00:00Z"/>
        <d v="2026-01-21T00:00:00Z"/>
        <d v="2026-03-25T00:00:00Z"/>
        <d v="2026-04-13T00:00:00Z"/>
        <d v="2026-06-17T00:00:00Z"/>
        <d v="2026-03-14T00:00:00Z"/>
        <d v="2026-05-07T00:00:00Z"/>
        <d v="2026-07-13T00:00:00Z"/>
        <d v="2026-02-10T00:00:00Z"/>
        <d v="2026-07-27T00:00:00Z"/>
        <d v="2026-06-01T00:00:00Z"/>
        <d v="2026-04-05T00:00:00Z"/>
        <d v="2026-04-01T00:00:00Z"/>
        <d v="2026-05-08T00:00:00Z"/>
        <d v="2026-06-10T00:00:00Z"/>
        <d v="2026-03-15T00:00:00Z"/>
        <d v="2026-04-26T00:00:00Z"/>
        <d v="2026-06-15T00:00:00Z"/>
        <d v="2026-06-28T00:00:00Z"/>
        <d v="2026-02-09T00:00:00Z"/>
        <d v="2026-04-27T00:00:00Z"/>
        <d v="2026-01-04T00:00:00Z"/>
        <d v="2026-03-01T00:00:00Z"/>
        <d v="2026-03-28T00:00:00Z"/>
        <d v="2026-07-12T00:00:00Z"/>
        <d v="2026-04-03T00:00:00Z"/>
        <d v="2026-07-03T00:00:00Z"/>
        <d v="2026-02-27T00:00:00Z"/>
        <d v="2026-06-14T00:00:00Z"/>
        <d v="2026-02-18T00:00:00Z"/>
        <d v="2026-05-27T00:00:00Z"/>
        <d v="2026-02-01T00:00:00Z"/>
        <d v="2026-02-04T00:00:00Z"/>
        <d v="2026-02-17T00:00:00Z"/>
        <d v="2026-03-02T00:00:00Z"/>
        <d v="2026-07-15T00:00:00Z"/>
        <d v="2026-06-26T00:00:00Z"/>
        <d v="2026-07-19T00:00:00Z"/>
        <d v="2026-01-20T00:00:00Z"/>
      </sharedItems>
    </cacheField>
    <cacheField name="Producto" numFmtId="164">
      <sharedItems>
        <s v="Hipotecario"/>
        <s v="Línea Débito"/>
        <s v="Crédito Automotriz"/>
        <s v="Crédito Consumo"/>
        <s v="Crédito Estudio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1000" sheet="2.10_A3_Ventas"/>
  </cacheSource>
  <cacheFields>
    <cacheField name="ID_Cliente" numFmtId="0">
      <sharedItems containsBlank="1">
        <s v="CLI-001"/>
        <s v="CLI-002"/>
        <s v="CLI-003"/>
        <s v="CLI-004"/>
        <s v="CLI-005"/>
        <s v="CLI-006"/>
        <s v="CLI-007"/>
        <s v="CLI-008"/>
        <s v="CLI-009"/>
        <s v="CLI-010"/>
        <s v="CLI-011"/>
        <s v="CLI-012"/>
        <s v="CLI-013"/>
        <s v="CLI-015"/>
        <s v="CLI-016"/>
        <s v="CLI-017"/>
        <s v="CLI-018"/>
        <s v="CLI-019"/>
        <s v="CLI-020"/>
        <s v="CLI-021"/>
        <s v="CLI-022"/>
        <s v="CLI-023"/>
        <s v="CLI-024"/>
        <s v="CLI-025"/>
        <s v="CLI-026"/>
        <s v="CLI-027"/>
        <s v="CLI-028"/>
        <s v="CLI-029"/>
        <s v="CLI-030"/>
        <s v="CLI-032"/>
        <s v="CLI-033"/>
        <s v="CLI-034"/>
        <s v="CLI-035"/>
        <s v="CLI-036"/>
        <s v="CLI-037"/>
        <s v="CLI-038"/>
        <s v="CLI-039"/>
        <s v="CLI-040"/>
        <s v="CLI-041"/>
        <s v="CLI-042"/>
        <s v="CLI-043"/>
        <s v="CLI-044"/>
        <s v="CLI-045"/>
        <s v="CLI-046"/>
        <s v="CLI-047"/>
        <s v="CLI-048"/>
        <s v="CLI-049"/>
        <s v="CLI-050"/>
        <s v="CLI-051"/>
        <s v="CLI-052"/>
        <s v="CLI-053"/>
        <s v="CLI-054"/>
        <s v="CLI-055"/>
        <s v="CLI-056"/>
        <s v="CLI-057"/>
        <s v="CLI-058"/>
        <s v="CLI-059"/>
        <s v="CLI-060"/>
        <s v="CLI-061"/>
        <s v="CLI-062"/>
        <s v="CLI-063"/>
        <s v="CLI-064"/>
        <s v="CLI-065"/>
        <s v="CLI-066"/>
        <s v="CLI-067"/>
        <s v="CLI-068"/>
        <s v="CLI-069"/>
        <s v="CLI-070"/>
        <s v="CLI-071"/>
        <s v="CLI-072"/>
        <s v="CLI-073"/>
        <s v="CLI-074"/>
        <s v="CLI-076"/>
        <s v="CLI-077"/>
        <s v="CLI-078"/>
        <s v="CLI-079"/>
        <s v="CLI-080"/>
        <s v="CLI-081"/>
        <s v="CLI-082"/>
        <s v="CLI-083"/>
        <s v="CLI-084"/>
        <s v="CLI-085"/>
        <s v="CLI-086"/>
        <s v="CLI-087"/>
        <s v="CLI-088"/>
        <s v="CLI-089"/>
        <s v="CLI-090"/>
        <s v="CLI-091"/>
        <s v="CLI-092"/>
        <s v="CLI-093"/>
        <s v="CLI-094"/>
        <s v="CLI-096"/>
        <s v="CLI-097"/>
        <s v="CLI-098"/>
        <s v="CLI-099"/>
        <s v="CLI-100"/>
        <s v="CLI-999"/>
        <m/>
      </sharedItems>
    </cacheField>
    <cacheField name="ID_Producto" numFmtId="0">
      <sharedItems containsBlank="1">
        <s v="PROD-115"/>
        <s v="PROD-999"/>
        <s v="PROD-104"/>
        <s v="PROD-121"/>
        <s v="PROD-105"/>
        <s v="PROD-119"/>
        <s v="PROD-122"/>
        <s v="PROD-110"/>
        <s v="PROD-123"/>
        <s v="PROD-124"/>
        <s v="PROD-118"/>
        <s v="PROD-114"/>
        <s v="PROD-103"/>
        <s v="PROD-117"/>
        <s v="PROD-102"/>
        <s v="PROD-120"/>
        <s v="PROD-108"/>
        <s v="PROD-101"/>
        <s v="PROD-111"/>
        <s v="PROD-112"/>
        <s v="PROD-113"/>
        <s v="PROD-106"/>
        <s v="PROD-107"/>
        <s v="PROD-109"/>
        <s v="PROD-116"/>
        <s v="PROD-12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" cacheId="0" dataCaption="" compact="0" compactData="0">
  <location ref="A1:D22" firstHeaderRow="0" firstDataRow="3" firstDataCol="0"/>
  <pivotFields>
    <pivotField name="ID_Clien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UT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Nombre Lim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t="default"/>
      </items>
    </pivotField>
    <pivotField name="Email_Conta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t="default"/>
      </items>
    </pivotField>
    <pivotField name="Comuna" axis="axisRow" compact="0" outline="0" multipleItemSelectionAllowed="1" showAll="0" sortType="ascending">
      <items>
        <item x="1"/>
        <item x="8"/>
        <item x="4"/>
        <item x="3"/>
        <item x="7"/>
        <item x="11"/>
        <item x="12"/>
        <item x="2"/>
        <item x="6"/>
        <item x="0"/>
        <item x="10"/>
        <item x="5"/>
        <item x="9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axis="axisRow" compact="0" outline="0" multipleItemSelectionAllowed="1" showAll="0" sortType="ascending">
      <items>
        <item x="1"/>
        <item x="4"/>
        <item x="6"/>
        <item x="2"/>
        <item x="5"/>
        <item x="0"/>
        <item x="3"/>
        <item t="default"/>
      </items>
    </pivotField>
    <pivotField name="Monto_Facturado_CLP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t="default"/>
      </items>
    </pivotField>
    <pivotField name="Dias_Morosi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_Cuenta" compact="0" outline="0" multipleItemSelectionAllowed="1" showAll="0">
      <items>
        <item x="0"/>
        <item x="1"/>
        <item x="2"/>
        <item t="default"/>
      </items>
    </pivotField>
    <pivotField name="Fecha_Regist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roducto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  <field x="4"/>
  </rowFields>
  <colFields>
    <field x="-2"/>
  </colFields>
  <dataFields>
    <dataField name="COUNTA ID_Cliente" fld="0" subtotal="count" baseField="0"/>
    <dataField name="SUM of Monto_Facturado_CLP" fld="7" baseField="0"/>
  </dataFields>
</pivotTableDefinition>
</file>

<file path=xl/pivotTables/pivotTable2.xml><?xml version="1.0" encoding="utf-8"?>
<pivotTableDefinition xmlns="http://schemas.openxmlformats.org/spreadsheetml/2006/main" name="Tabla dinámica 2" cacheId="0" dataCaption="" compact="0" compactData="0">
  <location ref="F1:H7" firstHeaderRow="0" firstDataRow="2" firstDataCol="0"/>
  <pivotFields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UT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Nombre Lim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t="default"/>
      </items>
    </pivotField>
    <pivotField name="Email_Conta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t="default"/>
      </items>
    </pivotField>
    <pivotField name="Comun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o_Facturado_CLP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t="default"/>
      </items>
    </pivotField>
    <pivotField name="Dias_Morosidad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_Cuenta" compact="0" outline="0" multipleItemSelectionAllowed="1" showAll="0">
      <items>
        <item x="0"/>
        <item x="1"/>
        <item x="2"/>
        <item t="default"/>
      </items>
    </pivotField>
    <pivotField name="Fecha_Regist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roducto" axis="axisRow" compact="0" numFmtId="164" outline="0" multipleItemSelectionAllowed="1" showAll="0" sortType="ascending">
      <items>
        <item x="2"/>
        <item x="3"/>
        <item x="4"/>
        <item x="0"/>
        <item x="1"/>
        <item t="default"/>
      </items>
    </pivotField>
  </pivotFields>
  <rowFields>
    <field x="11"/>
  </rowFields>
  <colFields>
    <field x="-2"/>
  </colFields>
  <dataFields>
    <dataField name="SUM of Monto_Facturado_CLP" fld="7" baseField="0"/>
    <dataField name="SUM of Dias_Morosidad" fld="8" baseField="0"/>
  </dataFields>
</pivotTableDefinition>
</file>

<file path=xl/pivotTables/pivotTable3.xml><?xml version="1.0" encoding="utf-8"?>
<pivotTableDefinition xmlns="http://schemas.openxmlformats.org/spreadsheetml/2006/main" name="Tabla dinámica 7" cacheId="1" dataCaption="" compact="0" compactData="0">
  <location ref="A1:C383" firstHeaderRow="0" firstDataRow="2" firstDataCol="0"/>
  <pivotFields>
    <pivotField name="ID_Cliente" axis="axisRow" compact="0" outline="0" multipleItemSelectionAllowed="1" showAll="0" sortType="ascending">
      <items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ID_Producto" axis="axisRow" dataField="1" compact="0" outline="0" multipleItemSelectionAllowed="1" showAll="0" sortType="ascending">
      <items>
        <item x="26"/>
        <item x="17"/>
        <item x="14"/>
        <item x="12"/>
        <item x="2"/>
        <item x="4"/>
        <item x="21"/>
        <item x="22"/>
        <item x="16"/>
        <item x="23"/>
        <item x="7"/>
        <item x="18"/>
        <item x="19"/>
        <item x="20"/>
        <item x="11"/>
        <item x="0"/>
        <item x="24"/>
        <item x="13"/>
        <item x="10"/>
        <item x="5"/>
        <item x="15"/>
        <item x="3"/>
        <item x="6"/>
        <item x="8"/>
        <item x="9"/>
        <item x="25"/>
        <item x="1"/>
        <item t="default"/>
      </items>
    </pivotField>
  </pivotFields>
  <rowFields>
    <field x="0"/>
    <field x="1"/>
  </rowFields>
  <dataFields>
    <dataField name="COUNTA of ID_Producto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1.0"/>
    <col customWidth="1" min="3" max="3" width="31.38"/>
    <col customWidth="1" min="4" max="4" width="23.25"/>
    <col customWidth="1" min="5" max="5" width="13.0"/>
    <col customWidth="1" min="6" max="6" width="10.5"/>
    <col customWidth="1" min="7" max="7" width="18.38"/>
    <col customWidth="1" min="8" max="8" width="18.25"/>
    <col customWidth="1" min="9" max="9" width="13.0"/>
    <col customWidth="1" min="10" max="10" width="12.5"/>
    <col customWidth="1" min="11" max="11" width="12.75"/>
    <col customWidth="1" min="12" max="12" width="25.38"/>
    <col customWidth="1" min="13" max="13" width="19.0"/>
    <col customWidth="1" min="14" max="14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4"/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18</v>
      </c>
      <c r="G2" s="1" t="s">
        <v>19</v>
      </c>
      <c r="H2" s="2">
        <v>3640000.0</v>
      </c>
      <c r="I2" s="1">
        <v>0.0</v>
      </c>
      <c r="J2" s="1" t="s">
        <v>20</v>
      </c>
      <c r="K2" s="5">
        <v>46156.0</v>
      </c>
      <c r="L2" s="4" t="str">
        <f t="shared" ref="L2:L958" si="1">PROPER(TRIM(C2))</f>
        <v>Macarena Tapia Morales</v>
      </c>
      <c r="M2" s="6" t="str">
        <f t="shared" ref="M2:M958" si="2">TRIM(B2)</f>
        <v>12.857.780-8</v>
      </c>
      <c r="N2" s="6" t="str">
        <f t="shared" ref="N2:N958" si="3">TEXTJOIN(" - ", TRUE, E2, F2, G2)</f>
        <v>La Serena - La Serena - Región de Coquimbo</v>
      </c>
      <c r="O2" s="4"/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2">
        <v>2.108E7</v>
      </c>
      <c r="I3" s="1">
        <v>60.0</v>
      </c>
      <c r="J3" s="1" t="s">
        <v>28</v>
      </c>
      <c r="K3" s="5">
        <v>46034.0</v>
      </c>
      <c r="L3" s="4" t="str">
        <f t="shared" si="1"/>
        <v>Cristián Valenzuela Araya</v>
      </c>
      <c r="M3" s="6" t="str">
        <f t="shared" si="2"/>
        <v>21773005-0</v>
      </c>
      <c r="N3" s="6" t="str">
        <f t="shared" si="3"/>
        <v>Viña del Mar - Valparaíso - Región de Valparaíso</v>
      </c>
      <c r="O3" s="4"/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33</v>
      </c>
      <c r="G4" s="1" t="s">
        <v>34</v>
      </c>
      <c r="H4" s="2">
        <v>7980000.0</v>
      </c>
      <c r="I4" s="1">
        <v>0.0</v>
      </c>
      <c r="J4" s="1" t="s">
        <v>28</v>
      </c>
      <c r="K4" s="5">
        <v>46194.0</v>
      </c>
      <c r="L4" s="4" t="str">
        <f t="shared" si="1"/>
        <v>Andrea Silva Morales</v>
      </c>
      <c r="M4" s="6" t="str">
        <f t="shared" si="2"/>
        <v>14.402.092-1</v>
      </c>
      <c r="N4" s="6" t="str">
        <f t="shared" si="3"/>
        <v>Puerto Montt - Puerto Montt - Región de Los Lagos</v>
      </c>
      <c r="O4" s="4"/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39</v>
      </c>
      <c r="G5" s="1" t="s">
        <v>40</v>
      </c>
      <c r="H5" s="2">
        <v>8180000.0</v>
      </c>
      <c r="I5" s="1">
        <v>30.0</v>
      </c>
      <c r="J5" s="1" t="s">
        <v>28</v>
      </c>
      <c r="K5" s="5">
        <v>46178.0</v>
      </c>
      <c r="L5" s="4" t="str">
        <f t="shared" si="1"/>
        <v>Ignacio Rojas Espinoza</v>
      </c>
      <c r="M5" s="6" t="str">
        <f t="shared" si="2"/>
        <v>21.059.002-8</v>
      </c>
      <c r="N5" s="6" t="str">
        <f t="shared" si="3"/>
        <v>Concepción - Concepción - Región del Biobío</v>
      </c>
      <c r="O5" s="4"/>
    </row>
    <row r="6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45</v>
      </c>
      <c r="G6" s="1" t="s">
        <v>46</v>
      </c>
      <c r="H6" s="2">
        <v>1.145E7</v>
      </c>
      <c r="I6" s="1">
        <v>45.0</v>
      </c>
      <c r="J6" s="1" t="s">
        <v>47</v>
      </c>
      <c r="K6" s="5">
        <v>46098.0</v>
      </c>
      <c r="L6" s="4" t="str">
        <f t="shared" si="1"/>
        <v>Francisca Soto Soto</v>
      </c>
      <c r="M6" s="6" t="str">
        <f t="shared" si="2"/>
        <v>22320514-8</v>
      </c>
      <c r="N6" s="6" t="str">
        <f t="shared" si="3"/>
        <v>Temuco - Temuco - Región de la Araucanía</v>
      </c>
      <c r="O6" s="4"/>
    </row>
    <row r="7">
      <c r="A7" s="1" t="s">
        <v>48</v>
      </c>
      <c r="B7" s="1" t="s">
        <v>49</v>
      </c>
      <c r="C7" s="1" t="s">
        <v>50</v>
      </c>
      <c r="D7" s="1" t="s">
        <v>51</v>
      </c>
      <c r="E7" s="1" t="s">
        <v>33</v>
      </c>
      <c r="F7" s="1" t="s">
        <v>33</v>
      </c>
      <c r="G7" s="1" t="s">
        <v>34</v>
      </c>
      <c r="H7" s="2">
        <v>1.393E7</v>
      </c>
      <c r="I7" s="1">
        <v>30.0</v>
      </c>
      <c r="J7" s="1" t="s">
        <v>28</v>
      </c>
      <c r="K7" s="5">
        <v>46170.0</v>
      </c>
      <c r="L7" s="4" t="str">
        <f t="shared" si="1"/>
        <v>Ignacio Soto Vergara</v>
      </c>
      <c r="M7" s="6" t="str">
        <f t="shared" si="2"/>
        <v>11.045.450-1</v>
      </c>
      <c r="N7" s="6" t="str">
        <f t="shared" si="3"/>
        <v>Puerto Montt - Puerto Montt - Región de Los Lagos</v>
      </c>
      <c r="O7" s="4"/>
    </row>
    <row r="8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39</v>
      </c>
      <c r="G8" s="1" t="s">
        <v>40</v>
      </c>
      <c r="H8" s="2">
        <v>1.32E7</v>
      </c>
      <c r="I8" s="1">
        <v>120.0</v>
      </c>
      <c r="J8" s="1" t="s">
        <v>47</v>
      </c>
      <c r="K8" s="5">
        <v>46119.0</v>
      </c>
      <c r="L8" s="4" t="str">
        <f t="shared" si="1"/>
        <v>Beatriz Tapia Silva</v>
      </c>
      <c r="M8" s="6" t="str">
        <f t="shared" si="2"/>
        <v>17.684.442-7</v>
      </c>
      <c r="N8" s="6" t="str">
        <f t="shared" si="3"/>
        <v>Talcahuano - Concepción - Región del Biobío</v>
      </c>
      <c r="O8" s="4"/>
    </row>
    <row r="9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2">
        <v>3170000.0</v>
      </c>
      <c r="I9" s="1">
        <v>0.0</v>
      </c>
      <c r="J9" s="1" t="s">
        <v>20</v>
      </c>
      <c r="K9" s="5">
        <v>46065.0</v>
      </c>
      <c r="L9" s="4" t="str">
        <f t="shared" si="1"/>
        <v>Mauricio Araya Tapia</v>
      </c>
      <c r="M9" s="6" t="str">
        <f t="shared" si="2"/>
        <v>20.205.046-2</v>
      </c>
      <c r="N9" s="6" t="str">
        <f t="shared" si="3"/>
        <v>Santiago Centro - Santiago - Región Metropolitana</v>
      </c>
      <c r="O9" s="4"/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26</v>
      </c>
      <c r="F10" s="1" t="s">
        <v>26</v>
      </c>
      <c r="G10" s="1" t="s">
        <v>27</v>
      </c>
      <c r="H10" s="2">
        <v>1.878E7</v>
      </c>
      <c r="I10" s="1">
        <v>0.0</v>
      </c>
      <c r="J10" s="1" t="s">
        <v>20</v>
      </c>
      <c r="K10" s="5">
        <v>46120.0</v>
      </c>
      <c r="L10" s="4" t="str">
        <f t="shared" si="1"/>
        <v>Carolina Vergara Valenzuela</v>
      </c>
      <c r="M10" s="6" t="str">
        <f t="shared" si="2"/>
        <v>13660995-K</v>
      </c>
      <c r="N10" s="6" t="str">
        <f t="shared" si="3"/>
        <v>Valparaíso - Valparaíso - Región de Valparaíso</v>
      </c>
      <c r="O10" s="4"/>
    </row>
    <row r="11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62</v>
      </c>
      <c r="G11" s="1" t="s">
        <v>63</v>
      </c>
      <c r="H11" s="2">
        <v>1840000.0</v>
      </c>
      <c r="I11" s="1">
        <v>0.0</v>
      </c>
      <c r="J11" s="1" t="s">
        <v>73</v>
      </c>
      <c r="K11" s="5">
        <v>46176.0</v>
      </c>
      <c r="L11" s="4" t="str">
        <f t="shared" si="1"/>
        <v>Tomas López Rodríguez</v>
      </c>
      <c r="M11" s="6" t="str">
        <f t="shared" si="2"/>
        <v>11.050.232-K</v>
      </c>
      <c r="N11" s="6" t="str">
        <f t="shared" si="3"/>
        <v>Providencia - Santiago - Región Metropolitana</v>
      </c>
      <c r="O11" s="4"/>
    </row>
    <row r="12">
      <c r="A12" s="1" t="s">
        <v>75</v>
      </c>
      <c r="B12" s="1" t="s">
        <v>76</v>
      </c>
      <c r="C12" s="1" t="s">
        <v>78</v>
      </c>
      <c r="D12" s="1" t="s">
        <v>79</v>
      </c>
      <c r="E12" s="1" t="s">
        <v>45</v>
      </c>
      <c r="F12" s="1" t="s">
        <v>45</v>
      </c>
      <c r="G12" s="1" t="s">
        <v>46</v>
      </c>
      <c r="H12" s="2">
        <v>7970000.0</v>
      </c>
      <c r="I12" s="1">
        <v>15.0</v>
      </c>
      <c r="J12" s="1" t="s">
        <v>47</v>
      </c>
      <c r="K12" s="5">
        <v>46139.0</v>
      </c>
      <c r="L12" s="4" t="str">
        <f t="shared" si="1"/>
        <v>Valentina Araya Rojas</v>
      </c>
      <c r="M12" s="6" t="str">
        <f t="shared" si="2"/>
        <v>14.532.054-2</v>
      </c>
      <c r="N12" s="6" t="str">
        <f t="shared" si="3"/>
        <v>Temuco - Temuco - Región de la Araucanía</v>
      </c>
      <c r="O12" s="4"/>
    </row>
    <row r="13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39</v>
      </c>
      <c r="F13" s="1" t="s">
        <v>39</v>
      </c>
      <c r="G13" s="1" t="s">
        <v>40</v>
      </c>
      <c r="H13" s="2">
        <v>1.491E7</v>
      </c>
      <c r="I13" s="1">
        <v>120.0</v>
      </c>
      <c r="J13" s="1" t="s">
        <v>73</v>
      </c>
      <c r="K13" s="5">
        <v>46209.0</v>
      </c>
      <c r="L13" s="4" t="str">
        <f t="shared" si="1"/>
        <v>Álvaro Pérez Soto</v>
      </c>
      <c r="M13" s="6" t="str">
        <f t="shared" si="2"/>
        <v>19.537.899-0</v>
      </c>
      <c r="N13" s="6" t="str">
        <f t="shared" si="3"/>
        <v>Concepción - Concepción - Región del Biobío</v>
      </c>
      <c r="O13" s="4"/>
    </row>
    <row r="14">
      <c r="A14" s="1" t="s">
        <v>87</v>
      </c>
      <c r="B14" s="1" t="s">
        <v>88</v>
      </c>
      <c r="C14" s="1" t="s">
        <v>89</v>
      </c>
      <c r="D14" s="1" t="s">
        <v>91</v>
      </c>
      <c r="E14" s="1" t="s">
        <v>61</v>
      </c>
      <c r="F14" s="1" t="s">
        <v>62</v>
      </c>
      <c r="G14" s="1" t="s">
        <v>63</v>
      </c>
      <c r="H14" s="2">
        <v>2160000.0</v>
      </c>
      <c r="I14" s="1">
        <v>120.0</v>
      </c>
      <c r="J14" s="1" t="s">
        <v>20</v>
      </c>
      <c r="K14" s="5">
        <v>46182.0</v>
      </c>
      <c r="L14" s="4" t="str">
        <f t="shared" si="1"/>
        <v>Constanza Vergara Sepúlveda</v>
      </c>
      <c r="M14" s="6" t="str">
        <f t="shared" si="2"/>
        <v>20.660.647-1</v>
      </c>
      <c r="N14" s="6" t="str">
        <f t="shared" si="3"/>
        <v>Santiago Centro - Santiago - Región Metropolitana</v>
      </c>
      <c r="O14" s="4"/>
    </row>
    <row r="15">
      <c r="A15" s="1" t="s">
        <v>95</v>
      </c>
      <c r="B15" s="1" t="s">
        <v>96</v>
      </c>
      <c r="C15" s="1" t="s">
        <v>98</v>
      </c>
      <c r="D15" s="1" t="s">
        <v>99</v>
      </c>
      <c r="E15" s="1" t="s">
        <v>33</v>
      </c>
      <c r="F15" s="1" t="s">
        <v>33</v>
      </c>
      <c r="G15" s="1" t="s">
        <v>34</v>
      </c>
      <c r="H15" s="2">
        <v>8750000.0</v>
      </c>
      <c r="I15" s="1">
        <v>60.0</v>
      </c>
      <c r="J15" s="1" t="s">
        <v>28</v>
      </c>
      <c r="K15" s="5">
        <v>46043.0</v>
      </c>
      <c r="L15" s="4" t="str">
        <f t="shared" si="1"/>
        <v>Diego Fuentes Araya</v>
      </c>
      <c r="M15" s="6" t="str">
        <f t="shared" si="2"/>
        <v>14.790.263-0</v>
      </c>
      <c r="N15" s="6" t="str">
        <f t="shared" si="3"/>
        <v>Puerto Montt - Puerto Montt - Región de Los Lagos</v>
      </c>
      <c r="O15" s="4"/>
    </row>
    <row r="16">
      <c r="A16" s="1" t="s">
        <v>101</v>
      </c>
      <c r="B16" s="1" t="s">
        <v>102</v>
      </c>
      <c r="C16" s="1" t="s">
        <v>103</v>
      </c>
      <c r="D16" s="1" t="s">
        <v>104</v>
      </c>
      <c r="E16" s="1" t="s">
        <v>56</v>
      </c>
      <c r="F16" s="1" t="s">
        <v>39</v>
      </c>
      <c r="G16" s="1" t="s">
        <v>40</v>
      </c>
      <c r="H16" s="2">
        <v>8560000.0</v>
      </c>
      <c r="I16" s="1">
        <v>120.0</v>
      </c>
      <c r="J16" s="1" t="s">
        <v>28</v>
      </c>
      <c r="K16" s="5">
        <v>46030.0</v>
      </c>
      <c r="L16" s="4" t="str">
        <f t="shared" si="1"/>
        <v>Fernanda López Contreras</v>
      </c>
      <c r="M16" s="6" t="str">
        <f t="shared" si="2"/>
        <v>17847811-6</v>
      </c>
      <c r="N16" s="6" t="str">
        <f t="shared" si="3"/>
        <v>Talcahuano - Concepción - Región del Biobío</v>
      </c>
      <c r="O16" s="4"/>
    </row>
    <row r="17">
      <c r="A17" s="1" t="s">
        <v>105</v>
      </c>
      <c r="B17" s="1" t="s">
        <v>106</v>
      </c>
      <c r="C17" s="1" t="s">
        <v>107</v>
      </c>
      <c r="D17" s="1" t="s">
        <v>108</v>
      </c>
      <c r="E17" s="1" t="s">
        <v>109</v>
      </c>
      <c r="F17" s="1" t="s">
        <v>62</v>
      </c>
      <c r="G17" s="1" t="s">
        <v>63</v>
      </c>
      <c r="H17" s="2">
        <v>1.562E7</v>
      </c>
      <c r="I17" s="1">
        <v>0.0</v>
      </c>
      <c r="J17" s="1" t="s">
        <v>20</v>
      </c>
      <c r="K17" s="5">
        <v>46206.0</v>
      </c>
      <c r="L17" s="4" t="str">
        <f t="shared" si="1"/>
        <v>Mauricio Valenzuela Morales</v>
      </c>
      <c r="M17" s="6" t="str">
        <f t="shared" si="2"/>
        <v>18686604-4</v>
      </c>
      <c r="N17" s="6" t="str">
        <f t="shared" si="3"/>
        <v>Ñuñoa - Santiago - Región Metropolitana</v>
      </c>
      <c r="O17" s="4"/>
    </row>
    <row r="18">
      <c r="A18" s="1" t="s">
        <v>110</v>
      </c>
      <c r="B18" s="1" t="s">
        <v>111</v>
      </c>
      <c r="C18" s="1" t="s">
        <v>112</v>
      </c>
      <c r="D18" s="1" t="s">
        <v>113</v>
      </c>
      <c r="E18" s="1" t="s">
        <v>72</v>
      </c>
      <c r="F18" s="1" t="s">
        <v>62</v>
      </c>
      <c r="G18" s="1" t="s">
        <v>63</v>
      </c>
      <c r="H18" s="2">
        <v>3490000.0</v>
      </c>
      <c r="I18" s="1">
        <v>45.0</v>
      </c>
      <c r="J18" s="1" t="s">
        <v>20</v>
      </c>
      <c r="K18" s="5">
        <v>46183.0</v>
      </c>
      <c r="L18" s="4" t="str">
        <f t="shared" si="1"/>
        <v>Paula Contreras Morales</v>
      </c>
      <c r="M18" s="6" t="str">
        <f t="shared" si="2"/>
        <v>19518387-3</v>
      </c>
      <c r="N18" s="6" t="str">
        <f t="shared" si="3"/>
        <v>Providencia - Santiago - Región Metropolitana</v>
      </c>
      <c r="O18" s="4"/>
    </row>
    <row r="19">
      <c r="A19" s="1" t="s">
        <v>114</v>
      </c>
      <c r="B19" s="1" t="s">
        <v>115</v>
      </c>
      <c r="C19" s="1" t="s">
        <v>116</v>
      </c>
      <c r="D19" s="1" t="s">
        <v>117</v>
      </c>
      <c r="E19" s="1" t="s">
        <v>118</v>
      </c>
      <c r="F19" s="1" t="s">
        <v>62</v>
      </c>
      <c r="G19" s="1" t="s">
        <v>63</v>
      </c>
      <c r="H19" s="2">
        <v>4000000.0</v>
      </c>
      <c r="I19" s="1">
        <v>15.0</v>
      </c>
      <c r="J19" s="1" t="s">
        <v>20</v>
      </c>
      <c r="K19" s="5">
        <v>46109.0</v>
      </c>
      <c r="L19" s="4" t="str">
        <f t="shared" si="1"/>
        <v>Gabriel Contreras Soto</v>
      </c>
      <c r="M19" s="6" t="str">
        <f t="shared" si="2"/>
        <v>21.435.970-1</v>
      </c>
      <c r="N19" s="6" t="str">
        <f t="shared" si="3"/>
        <v>Maipú - Santiago - Región Metropolitana</v>
      </c>
      <c r="O19" s="4"/>
    </row>
    <row r="20">
      <c r="A20" s="1" t="s">
        <v>119</v>
      </c>
      <c r="B20" s="1" t="s">
        <v>120</v>
      </c>
      <c r="C20" s="1" t="s">
        <v>121</v>
      </c>
      <c r="D20" s="1" t="s">
        <v>122</v>
      </c>
      <c r="E20" s="1" t="s">
        <v>33</v>
      </c>
      <c r="F20" s="1" t="s">
        <v>33</v>
      </c>
      <c r="G20" s="1" t="s">
        <v>34</v>
      </c>
      <c r="H20" s="2">
        <v>1.763E7</v>
      </c>
      <c r="I20" s="1">
        <v>0.0</v>
      </c>
      <c r="J20" s="1" t="s">
        <v>97</v>
      </c>
      <c r="K20" s="5">
        <v>46087.0</v>
      </c>
      <c r="L20" s="4" t="str">
        <f t="shared" si="1"/>
        <v>Sofia Espinoza Tapia</v>
      </c>
      <c r="M20" s="6" t="str">
        <f t="shared" si="2"/>
        <v>14.972.823-9</v>
      </c>
      <c r="N20" s="6" t="str">
        <f t="shared" si="3"/>
        <v>Puerto Montt - Puerto Montt - Región de Los Lagos</v>
      </c>
      <c r="O20" s="4"/>
    </row>
    <row r="21">
      <c r="A21" s="1" t="s">
        <v>123</v>
      </c>
      <c r="B21" s="1" t="s">
        <v>124</v>
      </c>
      <c r="C21" s="1" t="s">
        <v>125</v>
      </c>
      <c r="D21" s="1" t="s">
        <v>126</v>
      </c>
      <c r="E21" s="1" t="s">
        <v>109</v>
      </c>
      <c r="F21" s="1" t="s">
        <v>62</v>
      </c>
      <c r="G21" s="1" t="s">
        <v>63</v>
      </c>
      <c r="H21" s="2">
        <v>1710000.0</v>
      </c>
      <c r="I21" s="1">
        <v>15.0</v>
      </c>
      <c r="J21" s="1" t="s">
        <v>47</v>
      </c>
      <c r="K21" s="5">
        <v>46159.0</v>
      </c>
      <c r="L21" s="4" t="str">
        <f t="shared" si="1"/>
        <v>Diego Espinoza Valenzuela</v>
      </c>
      <c r="M21" s="6" t="str">
        <f t="shared" si="2"/>
        <v>22.082.736-1</v>
      </c>
      <c r="N21" s="6" t="str">
        <f t="shared" si="3"/>
        <v>Ñuñoa - Santiago - Región Metropolitana</v>
      </c>
      <c r="O21" s="4"/>
    </row>
    <row r="22">
      <c r="A22" s="1" t="s">
        <v>127</v>
      </c>
      <c r="B22" s="1" t="s">
        <v>128</v>
      </c>
      <c r="C22" s="1" t="s">
        <v>129</v>
      </c>
      <c r="D22" s="1" t="s">
        <v>130</v>
      </c>
      <c r="E22" s="1" t="s">
        <v>56</v>
      </c>
      <c r="F22" s="1" t="s">
        <v>39</v>
      </c>
      <c r="G22" s="1" t="s">
        <v>40</v>
      </c>
      <c r="H22" s="2">
        <v>4910000.0</v>
      </c>
      <c r="I22" s="1">
        <v>120.0</v>
      </c>
      <c r="J22" s="1" t="s">
        <v>97</v>
      </c>
      <c r="K22" s="5">
        <v>46231.0</v>
      </c>
      <c r="L22" s="4" t="str">
        <f t="shared" si="1"/>
        <v>Marcela Espinoza Espinoza</v>
      </c>
      <c r="M22" s="6" t="str">
        <f t="shared" si="2"/>
        <v>22051983-2</v>
      </c>
      <c r="N22" s="6" t="str">
        <f t="shared" si="3"/>
        <v>Talcahuano - Concepción - Región del Biobío</v>
      </c>
      <c r="O22" s="4"/>
    </row>
    <row r="23">
      <c r="A23" s="1" t="s">
        <v>131</v>
      </c>
      <c r="B23" s="1" t="s">
        <v>132</v>
      </c>
      <c r="C23" s="1" t="s">
        <v>133</v>
      </c>
      <c r="D23" s="1" t="s">
        <v>134</v>
      </c>
      <c r="E23" s="1" t="s">
        <v>118</v>
      </c>
      <c r="F23" s="1" t="s">
        <v>62</v>
      </c>
      <c r="G23" s="1" t="s">
        <v>63</v>
      </c>
      <c r="H23" s="2">
        <v>2.145E7</v>
      </c>
      <c r="I23" s="1">
        <v>30.0</v>
      </c>
      <c r="J23" s="1" t="s">
        <v>20</v>
      </c>
      <c r="K23" s="5">
        <v>46082.0</v>
      </c>
      <c r="L23" s="4" t="str">
        <f t="shared" si="1"/>
        <v>Rodrigo Valenzuela Espinoza</v>
      </c>
      <c r="M23" s="6" t="str">
        <f t="shared" si="2"/>
        <v>12.322.581-5</v>
      </c>
      <c r="N23" s="6" t="str">
        <f t="shared" si="3"/>
        <v>Maipú - Santiago - Región Metropolitana</v>
      </c>
      <c r="O23" s="4"/>
    </row>
    <row r="24">
      <c r="A24" s="1" t="s">
        <v>135</v>
      </c>
      <c r="B24" s="1" t="s">
        <v>136</v>
      </c>
      <c r="C24" s="1" t="s">
        <v>137</v>
      </c>
      <c r="D24" s="1" t="s">
        <v>138</v>
      </c>
      <c r="E24" s="1" t="s">
        <v>18</v>
      </c>
      <c r="F24" s="1" t="s">
        <v>18</v>
      </c>
      <c r="G24" s="1" t="s">
        <v>19</v>
      </c>
      <c r="H24" s="2">
        <v>6560000.0</v>
      </c>
      <c r="I24" s="1">
        <v>0.0</v>
      </c>
      <c r="J24" s="1" t="s">
        <v>47</v>
      </c>
      <c r="K24" s="5">
        <v>46087.0</v>
      </c>
      <c r="L24" s="4" t="str">
        <f t="shared" si="1"/>
        <v>Fernanda Soto Araya</v>
      </c>
      <c r="M24" s="6" t="str">
        <f t="shared" si="2"/>
        <v>11.924.064-K</v>
      </c>
      <c r="N24" s="6" t="str">
        <f t="shared" si="3"/>
        <v>La Serena - La Serena - Región de Coquimbo</v>
      </c>
      <c r="O24" s="4"/>
    </row>
    <row r="25">
      <c r="A25" s="1" t="s">
        <v>139</v>
      </c>
      <c r="B25" s="1" t="s">
        <v>140</v>
      </c>
      <c r="C25" s="1" t="s">
        <v>141</v>
      </c>
      <c r="D25" s="1" t="s">
        <v>142</v>
      </c>
      <c r="E25" s="1" t="s">
        <v>45</v>
      </c>
      <c r="F25" s="1" t="s">
        <v>45</v>
      </c>
      <c r="G25" s="1" t="s">
        <v>46</v>
      </c>
      <c r="H25" s="2">
        <v>1.019E7</v>
      </c>
      <c r="I25" s="1">
        <v>0.0</v>
      </c>
      <c r="J25" s="1" t="s">
        <v>97</v>
      </c>
      <c r="K25" s="5">
        <v>46204.0</v>
      </c>
      <c r="L25" s="4" t="str">
        <f t="shared" si="1"/>
        <v>Gabriel Pérez Morales</v>
      </c>
      <c r="M25" s="6" t="str">
        <f t="shared" si="2"/>
        <v>13.858.633-3</v>
      </c>
      <c r="N25" s="6" t="str">
        <f t="shared" si="3"/>
        <v>Temuco - Temuco - Región de la Araucanía</v>
      </c>
      <c r="O25" s="4"/>
    </row>
    <row r="26">
      <c r="A26" s="1" t="s">
        <v>143</v>
      </c>
      <c r="B26" s="1" t="s">
        <v>144</v>
      </c>
      <c r="C26" s="1" t="s">
        <v>145</v>
      </c>
      <c r="D26" s="1" t="s">
        <v>146</v>
      </c>
      <c r="E26" s="1" t="s">
        <v>33</v>
      </c>
      <c r="F26" s="1" t="s">
        <v>33</v>
      </c>
      <c r="G26" s="1" t="s">
        <v>34</v>
      </c>
      <c r="H26" s="2">
        <v>1.571E7</v>
      </c>
      <c r="I26" s="1">
        <v>30.0</v>
      </c>
      <c r="J26" s="1" t="s">
        <v>20</v>
      </c>
      <c r="K26" s="5">
        <v>46094.0</v>
      </c>
      <c r="L26" s="4" t="str">
        <f t="shared" si="1"/>
        <v>Beatriz Silva Morales</v>
      </c>
      <c r="M26" s="6" t="str">
        <f t="shared" si="2"/>
        <v>20.139.202-3</v>
      </c>
      <c r="N26" s="6" t="str">
        <f t="shared" si="3"/>
        <v>Puerto Montt - Puerto Montt - Región de Los Lagos</v>
      </c>
      <c r="O26" s="4"/>
    </row>
    <row r="27">
      <c r="A27" s="1" t="s">
        <v>147</v>
      </c>
      <c r="B27" s="1" t="s">
        <v>148</v>
      </c>
      <c r="C27" s="1" t="s">
        <v>149</v>
      </c>
      <c r="D27" s="1" t="s">
        <v>51</v>
      </c>
      <c r="E27" s="1" t="s">
        <v>26</v>
      </c>
      <c r="F27" s="1" t="s">
        <v>26</v>
      </c>
      <c r="G27" s="1" t="s">
        <v>27</v>
      </c>
      <c r="H27" s="2">
        <v>7360000.0</v>
      </c>
      <c r="I27" s="1">
        <v>0.0</v>
      </c>
      <c r="J27" s="1" t="s">
        <v>73</v>
      </c>
      <c r="K27" s="5">
        <v>46037.0</v>
      </c>
      <c r="L27" s="4" t="str">
        <f t="shared" si="1"/>
        <v>Ignacio Soto Rojas</v>
      </c>
      <c r="M27" s="6" t="str">
        <f t="shared" si="2"/>
        <v>13205217-8</v>
      </c>
      <c r="N27" s="6" t="str">
        <f t="shared" si="3"/>
        <v>Valparaíso - Valparaíso - Región de Valparaíso</v>
      </c>
      <c r="O27" s="4"/>
    </row>
    <row r="28">
      <c r="A28" s="1" t="s">
        <v>152</v>
      </c>
      <c r="B28" s="1" t="s">
        <v>153</v>
      </c>
      <c r="C28" s="1" t="s">
        <v>155</v>
      </c>
      <c r="D28" s="1" t="s">
        <v>157</v>
      </c>
      <c r="E28" s="1" t="s">
        <v>118</v>
      </c>
      <c r="F28" s="1" t="s">
        <v>62</v>
      </c>
      <c r="G28" s="1" t="s">
        <v>63</v>
      </c>
      <c r="H28" s="2">
        <v>1.547E7</v>
      </c>
      <c r="I28" s="1">
        <v>0.0</v>
      </c>
      <c r="J28" s="1" t="s">
        <v>28</v>
      </c>
      <c r="K28" s="5">
        <v>46034.0</v>
      </c>
      <c r="L28" s="4" t="str">
        <f t="shared" si="1"/>
        <v>Sofia Díaz Valenzuela</v>
      </c>
      <c r="M28" s="6" t="str">
        <f t="shared" si="2"/>
        <v>13.667.446-4</v>
      </c>
      <c r="N28" s="6" t="str">
        <f t="shared" si="3"/>
        <v>Maipú - Santiago - Región Metropolitana</v>
      </c>
      <c r="O28" s="4"/>
    </row>
    <row r="29">
      <c r="A29" s="1" t="s">
        <v>161</v>
      </c>
      <c r="B29" s="1" t="s">
        <v>162</v>
      </c>
      <c r="C29" s="1" t="s">
        <v>163</v>
      </c>
      <c r="D29" s="1" t="s">
        <v>164</v>
      </c>
      <c r="E29" s="1" t="s">
        <v>39</v>
      </c>
      <c r="F29" s="1" t="s">
        <v>39</v>
      </c>
      <c r="G29" s="1" t="s">
        <v>40</v>
      </c>
      <c r="H29" s="2">
        <v>5550000.0</v>
      </c>
      <c r="I29" s="1">
        <v>30.0</v>
      </c>
      <c r="J29" s="1" t="s">
        <v>28</v>
      </c>
      <c r="K29" s="5">
        <v>46209.0</v>
      </c>
      <c r="L29" s="4" t="str">
        <f t="shared" si="1"/>
        <v>Felipe Sepúlveda Rodríguez</v>
      </c>
      <c r="M29" s="6" t="str">
        <f t="shared" si="2"/>
        <v>20.093.525-5</v>
      </c>
      <c r="N29" s="6" t="str">
        <f t="shared" si="3"/>
        <v>Concepción - Concepción - Región del Biobío</v>
      </c>
      <c r="O29" s="4"/>
    </row>
    <row r="30">
      <c r="A30" s="1" t="s">
        <v>165</v>
      </c>
      <c r="B30" s="1" t="s">
        <v>166</v>
      </c>
      <c r="C30" s="1" t="s">
        <v>167</v>
      </c>
      <c r="D30" s="1" t="s">
        <v>168</v>
      </c>
      <c r="E30" s="1" t="s">
        <v>109</v>
      </c>
      <c r="F30" s="1" t="s">
        <v>62</v>
      </c>
      <c r="G30" s="1" t="s">
        <v>63</v>
      </c>
      <c r="H30" s="2">
        <v>1.628E7</v>
      </c>
      <c r="I30" s="1">
        <v>60.0</v>
      </c>
      <c r="J30" s="1" t="s">
        <v>97</v>
      </c>
      <c r="K30" s="5">
        <v>46036.0</v>
      </c>
      <c r="L30" s="4" t="str">
        <f t="shared" si="1"/>
        <v>Loreto Pérez Araya</v>
      </c>
      <c r="M30" s="6" t="str">
        <f t="shared" si="2"/>
        <v>11562196-8</v>
      </c>
      <c r="N30" s="6" t="str">
        <f t="shared" si="3"/>
        <v>Ñuñoa - Santiago - Región Metropolitana</v>
      </c>
      <c r="O30" s="4"/>
    </row>
    <row r="31">
      <c r="A31" s="1" t="s">
        <v>169</v>
      </c>
      <c r="B31" s="1" t="s">
        <v>170</v>
      </c>
      <c r="C31" s="1" t="s">
        <v>171</v>
      </c>
      <c r="D31" s="1" t="s">
        <v>172</v>
      </c>
      <c r="E31" s="1" t="s">
        <v>109</v>
      </c>
      <c r="F31" s="1" t="s">
        <v>62</v>
      </c>
      <c r="G31" s="1" t="s">
        <v>63</v>
      </c>
      <c r="H31" s="2">
        <v>4690000.0</v>
      </c>
      <c r="I31" s="1">
        <v>0.0</v>
      </c>
      <c r="J31" s="1" t="s">
        <v>20</v>
      </c>
      <c r="K31" s="5">
        <v>46127.0</v>
      </c>
      <c r="L31" s="4" t="str">
        <f t="shared" si="1"/>
        <v>Ignacio Fuentes Silva</v>
      </c>
      <c r="M31" s="6" t="str">
        <f t="shared" si="2"/>
        <v>15782346-2</v>
      </c>
      <c r="N31" s="6" t="str">
        <f t="shared" si="3"/>
        <v>Ñuñoa - Santiago - Región Metropolitana</v>
      </c>
      <c r="O31" s="4"/>
    </row>
    <row r="32">
      <c r="A32" s="1" t="s">
        <v>177</v>
      </c>
      <c r="B32" s="1" t="s">
        <v>178</v>
      </c>
      <c r="C32" s="1" t="s">
        <v>179</v>
      </c>
      <c r="D32" s="1" t="s">
        <v>180</v>
      </c>
      <c r="E32" s="1" t="s">
        <v>25</v>
      </c>
      <c r="F32" s="1" t="s">
        <v>26</v>
      </c>
      <c r="G32" s="1" t="s">
        <v>27</v>
      </c>
      <c r="H32" s="2">
        <v>1270000.0</v>
      </c>
      <c r="I32" s="1">
        <v>0.0</v>
      </c>
      <c r="J32" s="1" t="s">
        <v>73</v>
      </c>
      <c r="K32" s="5">
        <v>46138.0</v>
      </c>
      <c r="L32" s="4" t="str">
        <f t="shared" si="1"/>
        <v>Francisca Araya Tapia</v>
      </c>
      <c r="M32" s="6" t="str">
        <f t="shared" si="2"/>
        <v>21.148.772-3</v>
      </c>
      <c r="N32" s="6" t="str">
        <f t="shared" si="3"/>
        <v>Viña del Mar - Valparaíso - Región de Valparaíso</v>
      </c>
      <c r="O32" s="4"/>
    </row>
    <row r="33">
      <c r="A33" s="1" t="s">
        <v>182</v>
      </c>
      <c r="B33" s="1" t="s">
        <v>183</v>
      </c>
      <c r="C33" s="1" t="s">
        <v>184</v>
      </c>
      <c r="D33" s="1" t="s">
        <v>185</v>
      </c>
      <c r="E33" s="1" t="s">
        <v>56</v>
      </c>
      <c r="F33" s="1" t="s">
        <v>39</v>
      </c>
      <c r="G33" s="1" t="s">
        <v>40</v>
      </c>
      <c r="H33" s="2">
        <v>1.473E7</v>
      </c>
      <c r="I33" s="1">
        <v>120.0</v>
      </c>
      <c r="J33" s="1" t="s">
        <v>73</v>
      </c>
      <c r="K33" s="5">
        <v>46092.0</v>
      </c>
      <c r="L33" s="4" t="str">
        <f t="shared" si="1"/>
        <v>Diego González Sepúlveda</v>
      </c>
      <c r="M33" s="6" t="str">
        <f t="shared" si="2"/>
        <v>12.940.421-3</v>
      </c>
      <c r="N33" s="6" t="str">
        <f t="shared" si="3"/>
        <v>Talcahuano - Concepción - Región del Biobío</v>
      </c>
      <c r="O33" s="4"/>
    </row>
    <row r="34">
      <c r="A34" s="1" t="s">
        <v>186</v>
      </c>
      <c r="B34" s="1" t="s">
        <v>187</v>
      </c>
      <c r="C34" s="1" t="s">
        <v>188</v>
      </c>
      <c r="D34" s="1" t="s">
        <v>189</v>
      </c>
      <c r="E34" s="1" t="s">
        <v>26</v>
      </c>
      <c r="F34" s="1" t="s">
        <v>26</v>
      </c>
      <c r="G34" s="1" t="s">
        <v>27</v>
      </c>
      <c r="H34" s="2">
        <v>2770000.0</v>
      </c>
      <c r="I34" s="1">
        <v>0.0</v>
      </c>
      <c r="J34" s="1" t="s">
        <v>20</v>
      </c>
      <c r="K34" s="5">
        <v>46162.0</v>
      </c>
      <c r="L34" s="4" t="str">
        <f t="shared" si="1"/>
        <v>Catalina Muñoz Morales</v>
      </c>
      <c r="M34" s="6" t="str">
        <f t="shared" si="2"/>
        <v>13.937.626-4</v>
      </c>
      <c r="N34" s="6" t="str">
        <f t="shared" si="3"/>
        <v>Valparaíso - Valparaíso - Región de Valparaíso</v>
      </c>
      <c r="O34" s="4"/>
    </row>
    <row r="35">
      <c r="A35" s="1" t="s">
        <v>195</v>
      </c>
      <c r="B35" s="1" t="s">
        <v>196</v>
      </c>
      <c r="C35" s="1" t="s">
        <v>197</v>
      </c>
      <c r="D35" s="1" t="s">
        <v>198</v>
      </c>
      <c r="E35" s="1" t="s">
        <v>72</v>
      </c>
      <c r="F35" s="1" t="s">
        <v>62</v>
      </c>
      <c r="G35" s="1" t="s">
        <v>63</v>
      </c>
      <c r="H35" s="2">
        <v>1.037E7</v>
      </c>
      <c r="I35" s="1">
        <v>15.0</v>
      </c>
      <c r="J35" s="1" t="s">
        <v>28</v>
      </c>
      <c r="K35" s="5">
        <v>46134.0</v>
      </c>
      <c r="L35" s="4" t="str">
        <f t="shared" si="1"/>
        <v>Mauricio Espinoza Muñoz</v>
      </c>
      <c r="M35" s="6" t="str">
        <f t="shared" si="2"/>
        <v>17840614-1</v>
      </c>
      <c r="N35" s="6" t="str">
        <f t="shared" si="3"/>
        <v>Providencia - Santiago - Región Metropolitana</v>
      </c>
      <c r="O35" s="4"/>
    </row>
    <row r="36">
      <c r="A36" s="1" t="s">
        <v>200</v>
      </c>
      <c r="B36" s="1" t="s">
        <v>201</v>
      </c>
      <c r="C36" s="1" t="s">
        <v>202</v>
      </c>
      <c r="D36" s="1" t="s">
        <v>203</v>
      </c>
      <c r="E36" s="1" t="s">
        <v>18</v>
      </c>
      <c r="F36" s="1" t="s">
        <v>18</v>
      </c>
      <c r="G36" s="1" t="s">
        <v>19</v>
      </c>
      <c r="H36" s="2">
        <v>2.124E7</v>
      </c>
      <c r="I36" s="1">
        <v>120.0</v>
      </c>
      <c r="J36" s="1" t="s">
        <v>28</v>
      </c>
      <c r="K36" s="5">
        <v>46192.0</v>
      </c>
      <c r="L36" s="4" t="str">
        <f t="shared" si="1"/>
        <v>Carolina Araya Pérez</v>
      </c>
      <c r="M36" s="6" t="str">
        <f t="shared" si="2"/>
        <v>16582459-2</v>
      </c>
      <c r="N36" s="6" t="str">
        <f t="shared" si="3"/>
        <v>La Serena - La Serena - Región de Coquimbo</v>
      </c>
      <c r="O36" s="4"/>
    </row>
    <row r="37">
      <c r="A37" s="1" t="s">
        <v>208</v>
      </c>
      <c r="B37" s="1" t="s">
        <v>209</v>
      </c>
      <c r="C37" s="1" t="s">
        <v>210</v>
      </c>
      <c r="D37" s="1" t="s">
        <v>211</v>
      </c>
      <c r="E37" s="1" t="s">
        <v>25</v>
      </c>
      <c r="F37" s="1" t="s">
        <v>26</v>
      </c>
      <c r="G37" s="1" t="s">
        <v>27</v>
      </c>
      <c r="H37" s="2">
        <v>1.956E7</v>
      </c>
      <c r="I37" s="1">
        <v>60.0</v>
      </c>
      <c r="J37" s="1" t="s">
        <v>97</v>
      </c>
      <c r="K37" s="5">
        <v>46056.0</v>
      </c>
      <c r="L37" s="4" t="str">
        <f t="shared" si="1"/>
        <v>Diego Díaz Fuentes</v>
      </c>
      <c r="M37" s="6" t="str">
        <f t="shared" si="2"/>
        <v>15.180.463-K</v>
      </c>
      <c r="N37" s="6" t="str">
        <f t="shared" si="3"/>
        <v>Viña del Mar - Valparaíso - Región de Valparaíso</v>
      </c>
      <c r="O37" s="4"/>
    </row>
    <row r="38">
      <c r="A38" s="1" t="s">
        <v>216</v>
      </c>
      <c r="B38" s="1" t="s">
        <v>217</v>
      </c>
      <c r="C38" s="1" t="s">
        <v>218</v>
      </c>
      <c r="D38" s="1" t="s">
        <v>219</v>
      </c>
      <c r="E38" s="1" t="s">
        <v>118</v>
      </c>
      <c r="F38" s="1" t="s">
        <v>62</v>
      </c>
      <c r="G38" s="1" t="s">
        <v>63</v>
      </c>
      <c r="H38" s="2">
        <v>1.315E7</v>
      </c>
      <c r="I38" s="1">
        <v>15.0</v>
      </c>
      <c r="J38" s="1" t="s">
        <v>20</v>
      </c>
      <c r="K38" s="5">
        <v>46136.0</v>
      </c>
      <c r="L38" s="4" t="str">
        <f t="shared" si="1"/>
        <v>Fernanda Morales Vergara</v>
      </c>
      <c r="M38" s="6" t="str">
        <f t="shared" si="2"/>
        <v>15.325.544-5</v>
      </c>
      <c r="N38" s="6" t="str">
        <f t="shared" si="3"/>
        <v>Maipú - Santiago - Región Metropolitana</v>
      </c>
      <c r="O38" s="4"/>
    </row>
    <row r="39">
      <c r="A39" s="1" t="s">
        <v>224</v>
      </c>
      <c r="B39" s="1" t="s">
        <v>225</v>
      </c>
      <c r="C39" s="1" t="s">
        <v>226</v>
      </c>
      <c r="D39" s="1" t="s">
        <v>227</v>
      </c>
      <c r="E39" s="1" t="s">
        <v>45</v>
      </c>
      <c r="F39" s="1" t="s">
        <v>45</v>
      </c>
      <c r="G39" s="1" t="s">
        <v>46</v>
      </c>
      <c r="H39" s="2">
        <v>7420000.0</v>
      </c>
      <c r="I39" s="1">
        <v>30.0</v>
      </c>
      <c r="J39" s="1" t="s">
        <v>28</v>
      </c>
      <c r="K39" s="5">
        <v>46148.0</v>
      </c>
      <c r="L39" s="4" t="str">
        <f t="shared" si="1"/>
        <v>Tomas Araya Contreras</v>
      </c>
      <c r="M39" s="6" t="str">
        <f t="shared" si="2"/>
        <v>15.343.944-1</v>
      </c>
      <c r="N39" s="6" t="str">
        <f t="shared" si="3"/>
        <v>Temuco - Temuco - Región de la Araucanía</v>
      </c>
      <c r="O39" s="4"/>
    </row>
    <row r="40">
      <c r="A40" s="1" t="s">
        <v>228</v>
      </c>
      <c r="B40" s="1" t="s">
        <v>229</v>
      </c>
      <c r="C40" s="1" t="s">
        <v>230</v>
      </c>
      <c r="D40" s="1" t="s">
        <v>235</v>
      </c>
      <c r="E40" s="1" t="s">
        <v>26</v>
      </c>
      <c r="F40" s="1" t="s">
        <v>26</v>
      </c>
      <c r="G40" s="1" t="s">
        <v>27</v>
      </c>
      <c r="H40" s="2">
        <v>6160000.0</v>
      </c>
      <c r="I40" s="1">
        <v>120.0</v>
      </c>
      <c r="J40" s="1" t="s">
        <v>97</v>
      </c>
      <c r="K40" s="5">
        <v>46222.0</v>
      </c>
      <c r="L40" s="4" t="str">
        <f t="shared" si="1"/>
        <v>Valentina López Morales</v>
      </c>
      <c r="M40" s="6" t="str">
        <f t="shared" si="2"/>
        <v>18.340.158-8</v>
      </c>
      <c r="N40" s="6" t="str">
        <f t="shared" si="3"/>
        <v>Valparaíso - Valparaíso - Región de Valparaíso</v>
      </c>
      <c r="O40" s="4"/>
    </row>
    <row r="41">
      <c r="A41" s="1" t="s">
        <v>236</v>
      </c>
      <c r="B41" s="1" t="s">
        <v>237</v>
      </c>
      <c r="C41" s="1" t="s">
        <v>238</v>
      </c>
      <c r="D41" s="1" t="s">
        <v>239</v>
      </c>
      <c r="E41" s="1" t="s">
        <v>109</v>
      </c>
      <c r="F41" s="1" t="s">
        <v>62</v>
      </c>
      <c r="G41" s="1" t="s">
        <v>63</v>
      </c>
      <c r="H41" s="2">
        <v>2.178E7</v>
      </c>
      <c r="I41" s="1">
        <v>0.0</v>
      </c>
      <c r="J41" s="1" t="s">
        <v>73</v>
      </c>
      <c r="K41" s="5">
        <v>46139.0</v>
      </c>
      <c r="L41" s="4" t="str">
        <f t="shared" si="1"/>
        <v>Sebastián Díaz Araya</v>
      </c>
      <c r="M41" s="6" t="str">
        <f t="shared" si="2"/>
        <v>19.552.605-0</v>
      </c>
      <c r="N41" s="6" t="str">
        <f t="shared" si="3"/>
        <v>Ñuñoa - Santiago - Región Metropolitana</v>
      </c>
      <c r="O41" s="4"/>
    </row>
    <row r="42">
      <c r="A42" s="1" t="s">
        <v>244</v>
      </c>
      <c r="B42" s="1" t="s">
        <v>245</v>
      </c>
      <c r="C42" s="1" t="s">
        <v>246</v>
      </c>
      <c r="D42" s="1" t="s">
        <v>247</v>
      </c>
      <c r="E42" s="1" t="s">
        <v>109</v>
      </c>
      <c r="F42" s="1" t="s">
        <v>62</v>
      </c>
      <c r="G42" s="1" t="s">
        <v>63</v>
      </c>
      <c r="H42" s="2">
        <v>1.165E7</v>
      </c>
      <c r="I42" s="1">
        <v>60.0</v>
      </c>
      <c r="J42" s="1" t="s">
        <v>97</v>
      </c>
      <c r="K42" s="5">
        <v>46197.0</v>
      </c>
      <c r="L42" s="4" t="str">
        <f t="shared" si="1"/>
        <v>Catalina Fuentes Espinoza</v>
      </c>
      <c r="M42" s="6" t="str">
        <f t="shared" si="2"/>
        <v>15.068.981-8</v>
      </c>
      <c r="N42" s="6" t="str">
        <f t="shared" si="3"/>
        <v>Ñuñoa - Santiago - Región Metropolitana</v>
      </c>
      <c r="O42" s="4"/>
    </row>
    <row r="43">
      <c r="A43" s="1" t="s">
        <v>248</v>
      </c>
      <c r="B43" s="1" t="s">
        <v>249</v>
      </c>
      <c r="C43" s="1" t="s">
        <v>250</v>
      </c>
      <c r="D43" s="1" t="s">
        <v>252</v>
      </c>
      <c r="E43" s="1" t="s">
        <v>118</v>
      </c>
      <c r="F43" s="1" t="s">
        <v>62</v>
      </c>
      <c r="G43" s="1" t="s">
        <v>63</v>
      </c>
      <c r="H43" s="2">
        <v>1.124E7</v>
      </c>
      <c r="I43" s="1">
        <v>120.0</v>
      </c>
      <c r="J43" s="1" t="s">
        <v>73</v>
      </c>
      <c r="K43" s="5">
        <v>46062.0</v>
      </c>
      <c r="L43" s="4" t="str">
        <f t="shared" si="1"/>
        <v>Hernán Muñoz Valenzuela</v>
      </c>
      <c r="M43" s="6" t="str">
        <f t="shared" si="2"/>
        <v>22.280.617-7</v>
      </c>
      <c r="N43" s="6" t="str">
        <f t="shared" si="3"/>
        <v>Maipú - Santiago - Región Metropolitana</v>
      </c>
      <c r="O43" s="4"/>
    </row>
    <row r="44">
      <c r="A44" s="1" t="s">
        <v>256</v>
      </c>
      <c r="B44" s="1" t="s">
        <v>257</v>
      </c>
      <c r="C44" s="1" t="s">
        <v>258</v>
      </c>
      <c r="D44" s="1" t="s">
        <v>259</v>
      </c>
      <c r="E44" s="1" t="s">
        <v>33</v>
      </c>
      <c r="F44" s="1" t="s">
        <v>33</v>
      </c>
      <c r="G44" s="1" t="s">
        <v>34</v>
      </c>
      <c r="H44" s="2">
        <v>1.728E7</v>
      </c>
      <c r="I44" s="1">
        <v>45.0</v>
      </c>
      <c r="J44" s="1" t="s">
        <v>47</v>
      </c>
      <c r="K44" s="5">
        <v>46122.0</v>
      </c>
      <c r="L44" s="4" t="str">
        <f t="shared" si="1"/>
        <v>Macarena Soto Morales</v>
      </c>
      <c r="M44" s="6" t="str">
        <f t="shared" si="2"/>
        <v>16.747.630-6</v>
      </c>
      <c r="N44" s="6" t="str">
        <f t="shared" si="3"/>
        <v>Puerto Montt - Puerto Montt - Región de Los Lagos</v>
      </c>
      <c r="O44" s="4"/>
    </row>
    <row r="45">
      <c r="A45" s="1" t="s">
        <v>260</v>
      </c>
      <c r="B45" s="1" t="s">
        <v>261</v>
      </c>
      <c r="C45" s="1" t="s">
        <v>262</v>
      </c>
      <c r="D45" s="1" t="s">
        <v>263</v>
      </c>
      <c r="E45" s="1" t="s">
        <v>158</v>
      </c>
      <c r="F45" s="1" t="s">
        <v>158</v>
      </c>
      <c r="G45" s="1" t="s">
        <v>159</v>
      </c>
      <c r="H45" s="2">
        <v>4750000.0</v>
      </c>
      <c r="I45" s="1">
        <v>45.0</v>
      </c>
      <c r="J45" s="1" t="s">
        <v>28</v>
      </c>
      <c r="K45" s="5">
        <v>46229.0</v>
      </c>
      <c r="L45" s="4" t="str">
        <f t="shared" si="1"/>
        <v>Cristián Vergara Soto</v>
      </c>
      <c r="M45" s="6" t="str">
        <f t="shared" si="2"/>
        <v>12.737.571-K</v>
      </c>
      <c r="N45" s="6" t="str">
        <f t="shared" si="3"/>
        <v>Antofagasta - Antofagasta - Región de Antofagasta</v>
      </c>
      <c r="O45" s="4"/>
    </row>
    <row r="46">
      <c r="A46" s="1" t="s">
        <v>268</v>
      </c>
      <c r="B46" s="1" t="s">
        <v>269</v>
      </c>
      <c r="C46" s="1" t="s">
        <v>270</v>
      </c>
      <c r="D46" s="1" t="s">
        <v>271</v>
      </c>
      <c r="E46" s="1" t="s">
        <v>109</v>
      </c>
      <c r="F46" s="1" t="s">
        <v>62</v>
      </c>
      <c r="G46" s="1" t="s">
        <v>63</v>
      </c>
      <c r="H46" s="2">
        <v>1.799E7</v>
      </c>
      <c r="I46" s="1">
        <v>0.0</v>
      </c>
      <c r="J46" s="1" t="s">
        <v>28</v>
      </c>
      <c r="K46" s="5">
        <v>46182.0</v>
      </c>
      <c r="L46" s="4" t="str">
        <f t="shared" si="1"/>
        <v>Beatriz Tapia Valenzuela</v>
      </c>
      <c r="M46" s="6" t="str">
        <f t="shared" si="2"/>
        <v>21720037-1</v>
      </c>
      <c r="N46" s="6" t="str">
        <f t="shared" si="3"/>
        <v>Ñuñoa - Santiago - Región Metropolitana</v>
      </c>
      <c r="O46" s="4"/>
    </row>
    <row r="47">
      <c r="A47" s="1" t="s">
        <v>273</v>
      </c>
      <c r="B47" s="1" t="s">
        <v>274</v>
      </c>
      <c r="C47" s="1" t="s">
        <v>275</v>
      </c>
      <c r="D47" s="1" t="s">
        <v>277</v>
      </c>
      <c r="E47" s="1" t="s">
        <v>18</v>
      </c>
      <c r="F47" s="1" t="s">
        <v>18</v>
      </c>
      <c r="G47" s="1" t="s">
        <v>19</v>
      </c>
      <c r="H47" s="2">
        <v>2.054E7</v>
      </c>
      <c r="I47" s="1">
        <v>0.0</v>
      </c>
      <c r="J47" s="1" t="s">
        <v>73</v>
      </c>
      <c r="K47" s="5">
        <v>46084.0</v>
      </c>
      <c r="L47" s="4" t="str">
        <f t="shared" si="1"/>
        <v>Cristián Díaz Morales</v>
      </c>
      <c r="M47" s="6" t="str">
        <f t="shared" si="2"/>
        <v>12.133.167-1</v>
      </c>
      <c r="N47" s="6" t="str">
        <f t="shared" si="3"/>
        <v>La Serena - La Serena - Región de Coquimbo</v>
      </c>
      <c r="O47" s="4"/>
    </row>
    <row r="48">
      <c r="A48" s="1" t="s">
        <v>288</v>
      </c>
      <c r="B48" s="1" t="s">
        <v>289</v>
      </c>
      <c r="C48" s="1" t="s">
        <v>291</v>
      </c>
      <c r="D48" s="1" t="s">
        <v>292</v>
      </c>
      <c r="E48" s="1" t="s">
        <v>25</v>
      </c>
      <c r="F48" s="1" t="s">
        <v>26</v>
      </c>
      <c r="G48" s="1" t="s">
        <v>27</v>
      </c>
      <c r="H48" s="2">
        <v>1.759E7</v>
      </c>
      <c r="I48" s="1">
        <v>30.0</v>
      </c>
      <c r="J48" s="1" t="s">
        <v>20</v>
      </c>
      <c r="K48" s="5">
        <v>46043.0</v>
      </c>
      <c r="L48" s="4" t="str">
        <f t="shared" si="1"/>
        <v>Marcela Díaz Morales</v>
      </c>
      <c r="M48" s="6" t="str">
        <f t="shared" si="2"/>
        <v>18.346.735-2</v>
      </c>
      <c r="N48" s="6" t="str">
        <f t="shared" si="3"/>
        <v>Viña del Mar - Valparaíso - Región de Valparaíso</v>
      </c>
      <c r="O48" s="4"/>
    </row>
    <row r="49">
      <c r="A49" s="1" t="s">
        <v>297</v>
      </c>
      <c r="B49" s="1" t="s">
        <v>298</v>
      </c>
      <c r="C49" s="1" t="s">
        <v>299</v>
      </c>
      <c r="D49" s="1" t="s">
        <v>300</v>
      </c>
      <c r="E49" s="1" t="s">
        <v>56</v>
      </c>
      <c r="F49" s="1" t="s">
        <v>39</v>
      </c>
      <c r="G49" s="1" t="s">
        <v>40</v>
      </c>
      <c r="H49" s="2">
        <v>2.013E7</v>
      </c>
      <c r="I49" s="1">
        <v>0.0</v>
      </c>
      <c r="J49" s="1" t="s">
        <v>97</v>
      </c>
      <c r="K49" s="5">
        <v>46154.0</v>
      </c>
      <c r="L49" s="4" t="str">
        <f t="shared" si="1"/>
        <v>Sebastián López Muñoz</v>
      </c>
      <c r="M49" s="6" t="str">
        <f t="shared" si="2"/>
        <v>18.378.016-2</v>
      </c>
      <c r="N49" s="6" t="str">
        <f t="shared" si="3"/>
        <v>Talcahuano - Concepción - Región del Biobío</v>
      </c>
      <c r="O49" s="4"/>
    </row>
    <row r="50">
      <c r="A50" s="1" t="s">
        <v>301</v>
      </c>
      <c r="B50" s="1" t="s">
        <v>302</v>
      </c>
      <c r="C50" s="1" t="s">
        <v>303</v>
      </c>
      <c r="D50" s="1" t="s">
        <v>305</v>
      </c>
      <c r="E50" s="1" t="s">
        <v>194</v>
      </c>
      <c r="F50" s="1" t="s">
        <v>62</v>
      </c>
      <c r="G50" s="1" t="s">
        <v>63</v>
      </c>
      <c r="H50" s="2">
        <v>7750000.0</v>
      </c>
      <c r="I50" s="1">
        <v>0.0</v>
      </c>
      <c r="J50" s="1" t="s">
        <v>20</v>
      </c>
      <c r="K50" s="5">
        <v>46113.0</v>
      </c>
      <c r="L50" s="4" t="str">
        <f t="shared" si="1"/>
        <v>Macarena Rojas Silva</v>
      </c>
      <c r="M50" s="6" t="str">
        <f t="shared" si="2"/>
        <v>20.762.083-9</v>
      </c>
      <c r="N50" s="6" t="str">
        <f t="shared" si="3"/>
        <v>Las Condes - Santiago - Región Metropolitana</v>
      </c>
      <c r="O50" s="4"/>
    </row>
    <row r="51">
      <c r="A51" s="1" t="s">
        <v>309</v>
      </c>
      <c r="B51" s="1" t="s">
        <v>310</v>
      </c>
      <c r="C51" s="1" t="s">
        <v>311</v>
      </c>
      <c r="D51" s="1" t="s">
        <v>312</v>
      </c>
      <c r="E51" s="1" t="s">
        <v>61</v>
      </c>
      <c r="F51" s="1" t="s">
        <v>62</v>
      </c>
      <c r="G51" s="1" t="s">
        <v>63</v>
      </c>
      <c r="H51" s="2">
        <v>5730000.0</v>
      </c>
      <c r="I51" s="1">
        <v>45.0</v>
      </c>
      <c r="J51" s="1" t="s">
        <v>20</v>
      </c>
      <c r="K51" s="5">
        <v>46073.0</v>
      </c>
      <c r="L51" s="4" t="str">
        <f t="shared" si="1"/>
        <v>Felipe Araya Sepúlveda</v>
      </c>
      <c r="M51" s="6" t="str">
        <f t="shared" si="2"/>
        <v>20.171.486-1</v>
      </c>
      <c r="N51" s="6" t="str">
        <f t="shared" si="3"/>
        <v>Santiago Centro - Santiago - Región Metropolitana</v>
      </c>
      <c r="O51" s="4"/>
    </row>
    <row r="52">
      <c r="A52" s="1" t="s">
        <v>317</v>
      </c>
      <c r="B52" s="1" t="s">
        <v>318</v>
      </c>
      <c r="C52" s="1" t="s">
        <v>319</v>
      </c>
      <c r="D52" s="1" t="s">
        <v>321</v>
      </c>
      <c r="E52" s="1" t="s">
        <v>33</v>
      </c>
      <c r="F52" s="1" t="s">
        <v>33</v>
      </c>
      <c r="G52" s="1" t="s">
        <v>34</v>
      </c>
      <c r="H52" s="2">
        <v>1.895E7</v>
      </c>
      <c r="I52" s="1">
        <v>0.0</v>
      </c>
      <c r="J52" s="1" t="s">
        <v>47</v>
      </c>
      <c r="K52" s="5">
        <v>46075.0</v>
      </c>
      <c r="L52" s="4" t="str">
        <f t="shared" si="1"/>
        <v>Camila Vergara Sepúlveda</v>
      </c>
      <c r="M52" s="6" t="str">
        <f t="shared" si="2"/>
        <v>19.107.255-1</v>
      </c>
      <c r="N52" s="6" t="str">
        <f t="shared" si="3"/>
        <v>Puerto Montt - Puerto Montt - Región de Los Lagos</v>
      </c>
      <c r="O52" s="4"/>
    </row>
    <row r="53">
      <c r="A53" s="1" t="s">
        <v>327</v>
      </c>
      <c r="B53" s="1" t="s">
        <v>328</v>
      </c>
      <c r="C53" s="1" t="s">
        <v>330</v>
      </c>
      <c r="D53" s="1" t="s">
        <v>332</v>
      </c>
      <c r="E53" s="1" t="s">
        <v>45</v>
      </c>
      <c r="F53" s="1" t="s">
        <v>45</v>
      </c>
      <c r="G53" s="1" t="s">
        <v>46</v>
      </c>
      <c r="H53" s="2">
        <v>8600000.0</v>
      </c>
      <c r="I53" s="1">
        <v>0.0</v>
      </c>
      <c r="J53" s="1" t="s">
        <v>20</v>
      </c>
      <c r="K53" s="5">
        <v>46192.0</v>
      </c>
      <c r="L53" s="4" t="str">
        <f t="shared" si="1"/>
        <v>Ignacio Contreras Díaz</v>
      </c>
      <c r="M53" s="6" t="str">
        <f t="shared" si="2"/>
        <v>13.054.944-6</v>
      </c>
      <c r="N53" s="6" t="str">
        <f t="shared" si="3"/>
        <v>Temuco - Temuco - Región de la Araucanía</v>
      </c>
      <c r="O53" s="4"/>
    </row>
    <row r="54">
      <c r="A54" s="1" t="s">
        <v>335</v>
      </c>
      <c r="B54" s="1" t="s">
        <v>336</v>
      </c>
      <c r="C54" s="1" t="s">
        <v>337</v>
      </c>
      <c r="D54" s="1" t="s">
        <v>338</v>
      </c>
      <c r="E54" s="1" t="s">
        <v>72</v>
      </c>
      <c r="F54" s="1" t="s">
        <v>62</v>
      </c>
      <c r="G54" s="1" t="s">
        <v>63</v>
      </c>
      <c r="H54" s="2">
        <v>1.836E7</v>
      </c>
      <c r="I54" s="1">
        <v>0.0</v>
      </c>
      <c r="J54" s="1" t="s">
        <v>73</v>
      </c>
      <c r="K54" s="5">
        <v>46224.0</v>
      </c>
      <c r="L54" s="4" t="str">
        <f t="shared" si="1"/>
        <v>Daniela Rodríguez Pérez</v>
      </c>
      <c r="M54" s="6" t="str">
        <f t="shared" si="2"/>
        <v>21.890.262-5</v>
      </c>
      <c r="N54" s="6" t="str">
        <f t="shared" si="3"/>
        <v>Providencia - Santiago - Región Metropolitana</v>
      </c>
      <c r="O54" s="4"/>
    </row>
    <row r="55">
      <c r="A55" s="1" t="s">
        <v>346</v>
      </c>
      <c r="B55" s="1" t="s">
        <v>347</v>
      </c>
      <c r="C55" s="1" t="s">
        <v>348</v>
      </c>
      <c r="D55" s="1" t="s">
        <v>349</v>
      </c>
      <c r="E55" s="1" t="s">
        <v>25</v>
      </c>
      <c r="F55" s="1" t="s">
        <v>26</v>
      </c>
      <c r="G55" s="1" t="s">
        <v>27</v>
      </c>
      <c r="H55" s="2">
        <v>1.809E7</v>
      </c>
      <c r="I55" s="1">
        <v>0.0</v>
      </c>
      <c r="J55" s="1" t="s">
        <v>47</v>
      </c>
      <c r="K55" s="5">
        <v>46155.0</v>
      </c>
      <c r="L55" s="4" t="str">
        <f t="shared" si="1"/>
        <v>Sebastián Sepúlveda Soto</v>
      </c>
      <c r="M55" s="6" t="str">
        <f t="shared" si="2"/>
        <v>17.449.223-K</v>
      </c>
      <c r="N55" s="6" t="str">
        <f t="shared" si="3"/>
        <v>Viña del Mar - Valparaíso - Región de Valparaíso</v>
      </c>
      <c r="O55" s="4"/>
    </row>
    <row r="56">
      <c r="A56" s="1" t="s">
        <v>350</v>
      </c>
      <c r="B56" s="1" t="s">
        <v>352</v>
      </c>
      <c r="C56" s="1" t="s">
        <v>354</v>
      </c>
      <c r="D56" s="1" t="s">
        <v>356</v>
      </c>
      <c r="E56" s="1" t="s">
        <v>194</v>
      </c>
      <c r="F56" s="1" t="s">
        <v>62</v>
      </c>
      <c r="G56" s="1" t="s">
        <v>63</v>
      </c>
      <c r="H56" s="2">
        <v>1.442E7</v>
      </c>
      <c r="I56" s="1">
        <v>0.0</v>
      </c>
      <c r="J56" s="1" t="s">
        <v>20</v>
      </c>
      <c r="K56" s="5">
        <v>46174.0</v>
      </c>
      <c r="L56" s="4" t="str">
        <f t="shared" si="1"/>
        <v>Valentina Soto Díaz</v>
      </c>
      <c r="M56" s="6" t="str">
        <f t="shared" si="2"/>
        <v>11.500.055-5</v>
      </c>
      <c r="N56" s="6" t="str">
        <f t="shared" si="3"/>
        <v>Las Condes - Santiago - Región Metropolitana</v>
      </c>
      <c r="O56" s="4"/>
    </row>
    <row r="57">
      <c r="A57" s="1" t="s">
        <v>360</v>
      </c>
      <c r="B57" s="1" t="s">
        <v>361</v>
      </c>
      <c r="C57" s="1" t="s">
        <v>362</v>
      </c>
      <c r="D57" s="1" t="s">
        <v>363</v>
      </c>
      <c r="E57" s="1" t="s">
        <v>26</v>
      </c>
      <c r="F57" s="1" t="s">
        <v>26</v>
      </c>
      <c r="G57" s="1" t="s">
        <v>27</v>
      </c>
      <c r="H57" s="2">
        <v>1.488E7</v>
      </c>
      <c r="I57" s="1">
        <v>120.0</v>
      </c>
      <c r="J57" s="1" t="s">
        <v>73</v>
      </c>
      <c r="K57" s="5">
        <v>46062.0</v>
      </c>
      <c r="L57" s="4" t="str">
        <f t="shared" si="1"/>
        <v>Rodrigo Sepúlveda Rodríguez</v>
      </c>
      <c r="M57" s="6" t="str">
        <f t="shared" si="2"/>
        <v>14216753-K</v>
      </c>
      <c r="N57" s="6" t="str">
        <f t="shared" si="3"/>
        <v>Valparaíso - Valparaíso - Región de Valparaíso</v>
      </c>
      <c r="O57" s="4"/>
    </row>
    <row r="58">
      <c r="A58" s="1" t="s">
        <v>373</v>
      </c>
      <c r="B58" s="1" t="s">
        <v>374</v>
      </c>
      <c r="C58" s="1" t="s">
        <v>375</v>
      </c>
      <c r="D58" s="1" t="s">
        <v>377</v>
      </c>
      <c r="E58" s="1" t="s">
        <v>158</v>
      </c>
      <c r="F58" s="1" t="s">
        <v>158</v>
      </c>
      <c r="G58" s="1" t="s">
        <v>159</v>
      </c>
      <c r="H58" s="2">
        <v>6220000.0</v>
      </c>
      <c r="I58" s="1">
        <v>0.0</v>
      </c>
      <c r="J58" s="1" t="s">
        <v>73</v>
      </c>
      <c r="K58" s="5">
        <v>46092.0</v>
      </c>
      <c r="L58" s="4" t="str">
        <f t="shared" si="1"/>
        <v>Beatriz Sepúlveda Morales</v>
      </c>
      <c r="M58" s="6" t="str">
        <f t="shared" si="2"/>
        <v>21.122.939-8</v>
      </c>
      <c r="N58" s="6" t="str">
        <f t="shared" si="3"/>
        <v>Antofagasta - Antofagasta - Región de Antofagasta</v>
      </c>
      <c r="O58" s="4"/>
    </row>
    <row r="59">
      <c r="A59" s="1" t="s">
        <v>384</v>
      </c>
      <c r="B59" s="1" t="s">
        <v>386</v>
      </c>
      <c r="C59" s="1" t="s">
        <v>388</v>
      </c>
      <c r="D59" s="1" t="s">
        <v>390</v>
      </c>
      <c r="E59" s="1" t="s">
        <v>26</v>
      </c>
      <c r="F59" s="1" t="s">
        <v>26</v>
      </c>
      <c r="G59" s="1" t="s">
        <v>27</v>
      </c>
      <c r="H59" s="2">
        <v>1.35E7</v>
      </c>
      <c r="I59" s="1">
        <v>0.0</v>
      </c>
      <c r="J59" s="1" t="s">
        <v>20</v>
      </c>
      <c r="K59" s="5">
        <v>46040.0</v>
      </c>
      <c r="L59" s="4" t="str">
        <f t="shared" si="1"/>
        <v>Matías Pérez Pérez</v>
      </c>
      <c r="M59" s="6" t="str">
        <f t="shared" si="2"/>
        <v>14443843-0</v>
      </c>
      <c r="N59" s="6" t="str">
        <f t="shared" si="3"/>
        <v>Valparaíso - Valparaíso - Región de Valparaíso</v>
      </c>
      <c r="O59" s="4"/>
    </row>
    <row r="60">
      <c r="A60" s="1" t="s">
        <v>392</v>
      </c>
      <c r="B60" s="1" t="s">
        <v>393</v>
      </c>
      <c r="C60" s="1" t="s">
        <v>394</v>
      </c>
      <c r="D60" s="1" t="s">
        <v>396</v>
      </c>
      <c r="E60" s="1" t="s">
        <v>56</v>
      </c>
      <c r="F60" s="1" t="s">
        <v>39</v>
      </c>
      <c r="G60" s="1" t="s">
        <v>40</v>
      </c>
      <c r="H60" s="2">
        <v>2.197E7</v>
      </c>
      <c r="I60" s="1">
        <v>0.0</v>
      </c>
      <c r="J60" s="1" t="s">
        <v>73</v>
      </c>
      <c r="K60" s="5">
        <v>46161.0</v>
      </c>
      <c r="L60" s="4" t="str">
        <f t="shared" si="1"/>
        <v>Camila Vergara Espinoza</v>
      </c>
      <c r="M60" s="6" t="str">
        <f t="shared" si="2"/>
        <v>19.745.270-K</v>
      </c>
      <c r="N60" s="6" t="str">
        <f t="shared" si="3"/>
        <v>Talcahuano - Concepción - Región del Biobío</v>
      </c>
      <c r="O60" s="4"/>
    </row>
    <row r="61">
      <c r="A61" s="1" t="s">
        <v>400</v>
      </c>
      <c r="B61" s="1" t="s">
        <v>401</v>
      </c>
      <c r="C61" s="1" t="s">
        <v>402</v>
      </c>
      <c r="D61" s="1" t="s">
        <v>403</v>
      </c>
      <c r="E61" s="1" t="s">
        <v>33</v>
      </c>
      <c r="F61" s="1" t="s">
        <v>33</v>
      </c>
      <c r="G61" s="1" t="s">
        <v>34</v>
      </c>
      <c r="H61" s="2">
        <v>970000.0</v>
      </c>
      <c r="I61" s="1">
        <v>15.0</v>
      </c>
      <c r="J61" s="1" t="s">
        <v>47</v>
      </c>
      <c r="K61" s="5">
        <v>46149.0</v>
      </c>
      <c r="L61" s="4" t="str">
        <f t="shared" si="1"/>
        <v>Javier Rojas Soto</v>
      </c>
      <c r="M61" s="6" t="str">
        <f t="shared" si="2"/>
        <v>20.646.504-5</v>
      </c>
      <c r="N61" s="6" t="str">
        <f t="shared" si="3"/>
        <v>Puerto Montt - Puerto Montt - Región de Los Lagos</v>
      </c>
      <c r="O61" s="4"/>
    </row>
    <row r="62">
      <c r="A62" s="1" t="s">
        <v>411</v>
      </c>
      <c r="B62" s="1" t="s">
        <v>412</v>
      </c>
      <c r="C62" s="1" t="s">
        <v>413</v>
      </c>
      <c r="D62" s="1" t="s">
        <v>415</v>
      </c>
      <c r="E62" s="1" t="s">
        <v>45</v>
      </c>
      <c r="F62" s="1" t="s">
        <v>45</v>
      </c>
      <c r="G62" s="1" t="s">
        <v>46</v>
      </c>
      <c r="H62" s="2">
        <v>1.201E7</v>
      </c>
      <c r="I62" s="1">
        <v>0.0</v>
      </c>
      <c r="J62" s="1" t="s">
        <v>47</v>
      </c>
      <c r="K62" s="5">
        <v>46085.0</v>
      </c>
      <c r="L62" s="4" t="str">
        <f t="shared" si="1"/>
        <v>Javiera Araya Soto</v>
      </c>
      <c r="M62" s="6" t="str">
        <f t="shared" si="2"/>
        <v>20.366.353-0</v>
      </c>
      <c r="N62" s="6" t="str">
        <f t="shared" si="3"/>
        <v>Temuco - Temuco - Región de la Araucanía</v>
      </c>
      <c r="O62" s="4"/>
    </row>
    <row r="63">
      <c r="A63" s="1" t="s">
        <v>424</v>
      </c>
      <c r="B63" s="1" t="s">
        <v>426</v>
      </c>
      <c r="C63" s="1" t="s">
        <v>428</v>
      </c>
      <c r="D63" s="1" t="s">
        <v>429</v>
      </c>
      <c r="E63" s="1" t="s">
        <v>56</v>
      </c>
      <c r="F63" s="1" t="s">
        <v>39</v>
      </c>
      <c r="G63" s="1" t="s">
        <v>40</v>
      </c>
      <c r="H63" s="2">
        <v>1.121E7</v>
      </c>
      <c r="I63" s="1">
        <v>0.0</v>
      </c>
      <c r="J63" s="1" t="s">
        <v>73</v>
      </c>
      <c r="K63" s="5">
        <v>46096.0</v>
      </c>
      <c r="L63" s="4" t="str">
        <f t="shared" si="1"/>
        <v>Gabriel López Vergara</v>
      </c>
      <c r="M63" s="6" t="str">
        <f t="shared" si="2"/>
        <v>19406750-3</v>
      </c>
      <c r="N63" s="6" t="str">
        <f t="shared" si="3"/>
        <v>Talcahuano - Concepción - Región del Biobío</v>
      </c>
      <c r="O63" s="4"/>
    </row>
    <row r="64">
      <c r="A64" s="1" t="s">
        <v>437</v>
      </c>
      <c r="B64" s="1" t="s">
        <v>439</v>
      </c>
      <c r="C64" s="1" t="s">
        <v>441</v>
      </c>
      <c r="D64" s="1" t="s">
        <v>442</v>
      </c>
      <c r="E64" s="1" t="s">
        <v>56</v>
      </c>
      <c r="F64" s="1" t="s">
        <v>39</v>
      </c>
      <c r="G64" s="1" t="s">
        <v>40</v>
      </c>
      <c r="H64" s="2">
        <v>1.373E7</v>
      </c>
      <c r="I64" s="1">
        <v>30.0</v>
      </c>
      <c r="J64" s="1" t="s">
        <v>73</v>
      </c>
      <c r="K64" s="5">
        <v>46123.0</v>
      </c>
      <c r="L64" s="4" t="str">
        <f t="shared" si="1"/>
        <v>Loreto Morales Pérez</v>
      </c>
      <c r="M64" s="6" t="str">
        <f t="shared" si="2"/>
        <v>14.331.264-2</v>
      </c>
      <c r="N64" s="6" t="str">
        <f t="shared" si="3"/>
        <v>Talcahuano - Concepción - Región del Biobío</v>
      </c>
      <c r="O64" s="4"/>
    </row>
    <row r="65">
      <c r="A65" s="1" t="s">
        <v>451</v>
      </c>
      <c r="B65" s="1" t="s">
        <v>452</v>
      </c>
      <c r="C65" s="1" t="s">
        <v>454</v>
      </c>
      <c r="D65" s="1" t="s">
        <v>456</v>
      </c>
      <c r="E65" s="1" t="s">
        <v>61</v>
      </c>
      <c r="F65" s="1" t="s">
        <v>62</v>
      </c>
      <c r="G65" s="1" t="s">
        <v>63</v>
      </c>
      <c r="H65" s="2">
        <v>1.186E7</v>
      </c>
      <c r="I65" s="1">
        <v>30.0</v>
      </c>
      <c r="J65" s="1" t="s">
        <v>47</v>
      </c>
      <c r="K65" s="5">
        <v>46023.0</v>
      </c>
      <c r="L65" s="4" t="str">
        <f t="shared" si="1"/>
        <v>Felipe González López</v>
      </c>
      <c r="M65" s="6" t="str">
        <f t="shared" si="2"/>
        <v>15748097-K</v>
      </c>
      <c r="N65" s="6" t="str">
        <f t="shared" si="3"/>
        <v>Santiago Centro - Santiago - Región Metropolitana</v>
      </c>
      <c r="O65" s="4"/>
    </row>
    <row r="66">
      <c r="A66" s="1" t="s">
        <v>465</v>
      </c>
      <c r="B66" s="1" t="s">
        <v>466</v>
      </c>
      <c r="C66" s="1" t="s">
        <v>467</v>
      </c>
      <c r="D66" s="1" t="s">
        <v>468</v>
      </c>
      <c r="E66" s="1" t="s">
        <v>33</v>
      </c>
      <c r="F66" s="1" t="s">
        <v>33</v>
      </c>
      <c r="G66" s="1" t="s">
        <v>34</v>
      </c>
      <c r="H66" s="2">
        <v>6040000.0</v>
      </c>
      <c r="I66" s="1">
        <v>0.0</v>
      </c>
      <c r="J66" s="1" t="s">
        <v>73</v>
      </c>
      <c r="K66" s="5">
        <v>46205.0</v>
      </c>
      <c r="L66" s="4" t="str">
        <f t="shared" si="1"/>
        <v>Francisca Valenzuela Tapia</v>
      </c>
      <c r="M66" s="6" t="str">
        <f t="shared" si="2"/>
        <v>14.288.488-4</v>
      </c>
      <c r="N66" s="6" t="str">
        <f t="shared" si="3"/>
        <v>Puerto Montt - Puerto Montt - Región de Los Lagos</v>
      </c>
      <c r="O66" s="4"/>
    </row>
    <row r="67">
      <c r="A67" s="1" t="s">
        <v>480</v>
      </c>
      <c r="B67" s="1" t="s">
        <v>482</v>
      </c>
      <c r="C67" s="1" t="s">
        <v>484</v>
      </c>
      <c r="D67" s="1" t="s">
        <v>486</v>
      </c>
      <c r="E67" s="1" t="s">
        <v>39</v>
      </c>
      <c r="F67" s="1" t="s">
        <v>39</v>
      </c>
      <c r="G67" s="1" t="s">
        <v>40</v>
      </c>
      <c r="H67" s="2">
        <v>1.763E7</v>
      </c>
      <c r="I67" s="1">
        <v>15.0</v>
      </c>
      <c r="J67" s="1" t="s">
        <v>28</v>
      </c>
      <c r="K67" s="5">
        <v>46168.0</v>
      </c>
      <c r="L67" s="4" t="str">
        <f t="shared" si="1"/>
        <v>Mauricio Rodríguez Rojas</v>
      </c>
      <c r="M67" s="6" t="str">
        <f t="shared" si="2"/>
        <v>20.498.090-2</v>
      </c>
      <c r="N67" s="6" t="str">
        <f t="shared" si="3"/>
        <v>Concepción - Concepción - Región del Biobío</v>
      </c>
      <c r="O67" s="4"/>
    </row>
    <row r="68">
      <c r="A68" s="1" t="s">
        <v>498</v>
      </c>
      <c r="B68" s="1" t="s">
        <v>499</v>
      </c>
      <c r="C68" s="1" t="s">
        <v>500</v>
      </c>
      <c r="D68" s="1" t="s">
        <v>502</v>
      </c>
      <c r="E68" s="1" t="s">
        <v>33</v>
      </c>
      <c r="F68" s="1" t="s">
        <v>33</v>
      </c>
      <c r="G68" s="1" t="s">
        <v>34</v>
      </c>
      <c r="H68" s="2">
        <v>1.539E7</v>
      </c>
      <c r="I68" s="1">
        <v>30.0</v>
      </c>
      <c r="J68" s="1" t="s">
        <v>97</v>
      </c>
      <c r="K68" s="5">
        <v>46221.0</v>
      </c>
      <c r="L68" s="4" t="str">
        <f t="shared" si="1"/>
        <v>Andrea González Espinoza</v>
      </c>
      <c r="M68" s="6" t="str">
        <f t="shared" si="2"/>
        <v>11.955.434-4</v>
      </c>
      <c r="N68" s="6" t="str">
        <f t="shared" si="3"/>
        <v>Puerto Montt - Puerto Montt - Región de Los Lagos</v>
      </c>
      <c r="O68" s="4"/>
    </row>
    <row r="69">
      <c r="A69" s="1" t="s">
        <v>512</v>
      </c>
      <c r="B69" s="1" t="s">
        <v>513</v>
      </c>
      <c r="C69" s="1" t="s">
        <v>514</v>
      </c>
      <c r="D69" s="1" t="s">
        <v>515</v>
      </c>
      <c r="E69" s="1" t="s">
        <v>26</v>
      </c>
      <c r="F69" s="1" t="s">
        <v>26</v>
      </c>
      <c r="G69" s="1" t="s">
        <v>27</v>
      </c>
      <c r="H69" s="2">
        <v>1.086E7</v>
      </c>
      <c r="I69" s="1">
        <v>0.0</v>
      </c>
      <c r="J69" s="1" t="s">
        <v>28</v>
      </c>
      <c r="K69" s="5">
        <v>46182.0</v>
      </c>
      <c r="L69" s="4" t="str">
        <f t="shared" si="1"/>
        <v>Matías Fuentes Morales</v>
      </c>
      <c r="M69" s="6" t="str">
        <f t="shared" si="2"/>
        <v>20.069.414-5</v>
      </c>
      <c r="N69" s="6" t="str">
        <f t="shared" si="3"/>
        <v>Valparaíso - Valparaíso - Región de Valparaíso</v>
      </c>
      <c r="O69" s="4"/>
    </row>
    <row r="70">
      <c r="A70" s="1" t="s">
        <v>528</v>
      </c>
      <c r="B70" s="1" t="s">
        <v>530</v>
      </c>
      <c r="C70" s="1" t="s">
        <v>531</v>
      </c>
      <c r="D70" s="1" t="s">
        <v>532</v>
      </c>
      <c r="E70" s="1" t="s">
        <v>25</v>
      </c>
      <c r="F70" s="1" t="s">
        <v>26</v>
      </c>
      <c r="G70" s="1" t="s">
        <v>27</v>
      </c>
      <c r="H70" s="2">
        <v>1140000.0</v>
      </c>
      <c r="I70" s="1">
        <v>60.0</v>
      </c>
      <c r="J70" s="1" t="s">
        <v>73</v>
      </c>
      <c r="K70" s="5">
        <v>46189.0</v>
      </c>
      <c r="L70" s="4" t="str">
        <f t="shared" si="1"/>
        <v>Carolina Rojas Araya</v>
      </c>
      <c r="M70" s="6" t="str">
        <f t="shared" si="2"/>
        <v>13.859.516-2</v>
      </c>
      <c r="N70" s="6" t="str">
        <f t="shared" si="3"/>
        <v>Viña del Mar - Valparaíso - Región de Valparaíso</v>
      </c>
      <c r="O70" s="4"/>
    </row>
    <row r="71">
      <c r="A71" s="1" t="s">
        <v>541</v>
      </c>
      <c r="B71" s="1" t="s">
        <v>542</v>
      </c>
      <c r="C71" s="1" t="s">
        <v>544</v>
      </c>
      <c r="D71" s="1" t="s">
        <v>545</v>
      </c>
      <c r="E71" s="1" t="s">
        <v>33</v>
      </c>
      <c r="F71" s="1" t="s">
        <v>33</v>
      </c>
      <c r="G71" s="1" t="s">
        <v>34</v>
      </c>
      <c r="H71" s="2">
        <v>1.685E7</v>
      </c>
      <c r="I71" s="1">
        <v>45.0</v>
      </c>
      <c r="J71" s="1" t="s">
        <v>73</v>
      </c>
      <c r="K71" s="5">
        <v>46049.0</v>
      </c>
      <c r="L71" s="4" t="str">
        <f t="shared" si="1"/>
        <v>Mauricio Araya Soto</v>
      </c>
      <c r="M71" s="6" t="str">
        <f t="shared" si="2"/>
        <v>20.266.869-8</v>
      </c>
      <c r="N71" s="6" t="str">
        <f t="shared" si="3"/>
        <v>Puerto Montt - Puerto Montt - Región de Los Lagos</v>
      </c>
      <c r="O71" s="4"/>
    </row>
    <row r="72">
      <c r="A72" s="1" t="s">
        <v>553</v>
      </c>
      <c r="B72" s="1" t="s">
        <v>555</v>
      </c>
      <c r="C72" s="1" t="s">
        <v>557</v>
      </c>
      <c r="D72" s="1" t="s">
        <v>559</v>
      </c>
      <c r="E72" s="1" t="s">
        <v>56</v>
      </c>
      <c r="F72" s="1" t="s">
        <v>39</v>
      </c>
      <c r="G72" s="1" t="s">
        <v>40</v>
      </c>
      <c r="H72" s="2">
        <v>7030000.0</v>
      </c>
      <c r="I72" s="1">
        <v>0.0</v>
      </c>
      <c r="J72" s="1" t="s">
        <v>97</v>
      </c>
      <c r="K72" s="5">
        <v>46114.0</v>
      </c>
      <c r="L72" s="4" t="str">
        <f t="shared" si="1"/>
        <v>Andrea Muñoz Araya</v>
      </c>
      <c r="M72" s="6" t="str">
        <f t="shared" si="2"/>
        <v>11364673-7</v>
      </c>
      <c r="N72" s="6" t="str">
        <f t="shared" si="3"/>
        <v>Talcahuano - Concepción - Región del Biobío</v>
      </c>
      <c r="O72" s="4"/>
    </row>
    <row r="73">
      <c r="A73" s="1" t="s">
        <v>565</v>
      </c>
      <c r="B73" s="1" t="s">
        <v>566</v>
      </c>
      <c r="C73" s="1" t="s">
        <v>567</v>
      </c>
      <c r="D73" s="1" t="s">
        <v>569</v>
      </c>
      <c r="E73" s="1" t="s">
        <v>39</v>
      </c>
      <c r="F73" s="1" t="s">
        <v>39</v>
      </c>
      <c r="G73" s="1" t="s">
        <v>40</v>
      </c>
      <c r="H73" s="2">
        <v>1.732E7</v>
      </c>
      <c r="I73" s="1">
        <v>60.0</v>
      </c>
      <c r="J73" s="1" t="s">
        <v>73</v>
      </c>
      <c r="K73" s="5">
        <v>46030.0</v>
      </c>
      <c r="L73" s="4" t="str">
        <f t="shared" si="1"/>
        <v>Esteban Valenzuela Díaz</v>
      </c>
      <c r="M73" s="6" t="str">
        <f t="shared" si="2"/>
        <v>16.639.676-7</v>
      </c>
      <c r="N73" s="6" t="str">
        <f t="shared" si="3"/>
        <v>Concepción - Concepción - Región del Biobío</v>
      </c>
      <c r="O73" s="4"/>
    </row>
    <row r="74">
      <c r="A74" s="1" t="s">
        <v>576</v>
      </c>
      <c r="B74" s="1" t="s">
        <v>577</v>
      </c>
      <c r="C74" s="1" t="s">
        <v>578</v>
      </c>
      <c r="D74" s="1" t="s">
        <v>579</v>
      </c>
      <c r="E74" s="1" t="s">
        <v>26</v>
      </c>
      <c r="F74" s="1" t="s">
        <v>26</v>
      </c>
      <c r="G74" s="1" t="s">
        <v>27</v>
      </c>
      <c r="H74" s="2">
        <v>1.014E7</v>
      </c>
      <c r="I74" s="1">
        <v>120.0</v>
      </c>
      <c r="J74" s="1" t="s">
        <v>97</v>
      </c>
      <c r="K74" s="5">
        <v>46119.0</v>
      </c>
      <c r="L74" s="4" t="str">
        <f t="shared" si="1"/>
        <v>Constanza Fuentes Rodríguez</v>
      </c>
      <c r="M74" s="6" t="str">
        <f t="shared" si="2"/>
        <v>16.529.760-7</v>
      </c>
      <c r="N74" s="6" t="str">
        <f t="shared" si="3"/>
        <v>Valparaíso - Valparaíso - Región de Valparaíso</v>
      </c>
      <c r="O74" s="4"/>
    </row>
    <row r="75">
      <c r="A75" s="1" t="s">
        <v>584</v>
      </c>
      <c r="B75" s="1" t="s">
        <v>585</v>
      </c>
      <c r="C75" s="1" t="s">
        <v>587</v>
      </c>
      <c r="D75" s="1" t="s">
        <v>588</v>
      </c>
      <c r="E75" s="1" t="s">
        <v>56</v>
      </c>
      <c r="F75" s="1" t="s">
        <v>39</v>
      </c>
      <c r="G75" s="1" t="s">
        <v>40</v>
      </c>
      <c r="H75" s="2">
        <v>1.787E7</v>
      </c>
      <c r="I75" s="1">
        <v>15.0</v>
      </c>
      <c r="J75" s="1" t="s">
        <v>97</v>
      </c>
      <c r="K75" s="5">
        <v>46047.0</v>
      </c>
      <c r="L75" s="4" t="str">
        <f t="shared" si="1"/>
        <v>Ignacio Espinoza Araya</v>
      </c>
      <c r="M75" s="6" t="str">
        <f t="shared" si="2"/>
        <v>21.681.359-7</v>
      </c>
      <c r="N75" s="6" t="str">
        <f t="shared" si="3"/>
        <v>Talcahuano - Concepción - Región del Biobío</v>
      </c>
      <c r="O75" s="4"/>
    </row>
    <row r="76">
      <c r="A76" s="1" t="s">
        <v>597</v>
      </c>
      <c r="B76" s="1" t="s">
        <v>598</v>
      </c>
      <c r="C76" s="1" t="s">
        <v>599</v>
      </c>
      <c r="D76" s="1" t="s">
        <v>600</v>
      </c>
      <c r="E76" s="1" t="s">
        <v>158</v>
      </c>
      <c r="F76" s="1" t="s">
        <v>158</v>
      </c>
      <c r="G76" s="1" t="s">
        <v>159</v>
      </c>
      <c r="H76" s="2">
        <v>1.227E7</v>
      </c>
      <c r="I76" s="1">
        <v>0.0</v>
      </c>
      <c r="J76" s="1" t="s">
        <v>97</v>
      </c>
      <c r="K76" s="5">
        <v>46228.0</v>
      </c>
      <c r="L76" s="4" t="str">
        <f t="shared" si="1"/>
        <v>Marcela Sepúlveda Espinoza</v>
      </c>
      <c r="M76" s="6" t="str">
        <f t="shared" si="2"/>
        <v>17.345.273-4</v>
      </c>
      <c r="N76" s="6" t="str">
        <f t="shared" si="3"/>
        <v>Antofagasta - Antofagasta - Región de Antofagasta</v>
      </c>
      <c r="O76" s="4"/>
    </row>
    <row r="77">
      <c r="A77" s="1" t="s">
        <v>601</v>
      </c>
      <c r="B77" s="1" t="s">
        <v>602</v>
      </c>
      <c r="C77" s="1" t="s">
        <v>603</v>
      </c>
      <c r="D77" s="1" t="s">
        <v>604</v>
      </c>
      <c r="E77" s="1" t="s">
        <v>158</v>
      </c>
      <c r="F77" s="1" t="s">
        <v>158</v>
      </c>
      <c r="G77" s="1" t="s">
        <v>159</v>
      </c>
      <c r="H77" s="2">
        <v>1.775E7</v>
      </c>
      <c r="I77" s="1">
        <v>30.0</v>
      </c>
      <c r="J77" s="1" t="s">
        <v>97</v>
      </c>
      <c r="K77" s="5">
        <v>46164.0</v>
      </c>
      <c r="L77" s="4" t="str">
        <f t="shared" si="1"/>
        <v>Tomas González Rodríguez</v>
      </c>
      <c r="M77" s="6" t="str">
        <f t="shared" si="2"/>
        <v>18.692.246-4</v>
      </c>
      <c r="N77" s="6" t="str">
        <f t="shared" si="3"/>
        <v>Antofagasta - Antofagasta - Región de Antofagasta</v>
      </c>
      <c r="O77" s="4"/>
    </row>
    <row r="78">
      <c r="A78" s="1" t="s">
        <v>611</v>
      </c>
      <c r="B78" s="1" t="s">
        <v>612</v>
      </c>
      <c r="C78" s="1" t="s">
        <v>614</v>
      </c>
      <c r="D78" s="1" t="s">
        <v>615</v>
      </c>
      <c r="E78" s="1" t="s">
        <v>18</v>
      </c>
      <c r="F78" s="1" t="s">
        <v>18</v>
      </c>
      <c r="G78" s="1" t="s">
        <v>19</v>
      </c>
      <c r="H78" s="2">
        <v>660000.0</v>
      </c>
      <c r="I78" s="1">
        <v>120.0</v>
      </c>
      <c r="J78" s="1" t="s">
        <v>73</v>
      </c>
      <c r="K78" s="5">
        <v>46135.0</v>
      </c>
      <c r="L78" s="4" t="str">
        <f t="shared" si="1"/>
        <v>Constanza Rodríguez Fuentes</v>
      </c>
      <c r="M78" s="6" t="str">
        <f t="shared" si="2"/>
        <v>14950656-4</v>
      </c>
      <c r="N78" s="6" t="str">
        <f t="shared" si="3"/>
        <v>La Serena - La Serena - Región de Coquimbo</v>
      </c>
      <c r="O78" s="4"/>
    </row>
    <row r="79">
      <c r="A79" s="1" t="s">
        <v>435</v>
      </c>
      <c r="B79" s="1" t="s">
        <v>436</v>
      </c>
      <c r="C79" s="1" t="s">
        <v>622</v>
      </c>
      <c r="D79" s="1" t="s">
        <v>423</v>
      </c>
      <c r="E79" s="1" t="s">
        <v>45</v>
      </c>
      <c r="F79" s="1" t="s">
        <v>45</v>
      </c>
      <c r="G79" s="1" t="s">
        <v>46</v>
      </c>
      <c r="H79" s="2">
        <v>1.409E7</v>
      </c>
      <c r="I79" s="1">
        <v>0.0</v>
      </c>
      <c r="J79" s="1" t="s">
        <v>28</v>
      </c>
      <c r="K79" s="5">
        <v>46133.0</v>
      </c>
      <c r="L79" s="4" t="str">
        <f t="shared" si="1"/>
        <v>Álvaro Tapia Espinoza</v>
      </c>
      <c r="M79" s="6" t="str">
        <f t="shared" si="2"/>
        <v>20.532.244-4</v>
      </c>
      <c r="N79" s="6" t="str">
        <f t="shared" si="3"/>
        <v>Temuco - Temuco - Región de la Araucanía</v>
      </c>
      <c r="O79" s="4"/>
    </row>
    <row r="80">
      <c r="A80" s="1" t="s">
        <v>628</v>
      </c>
      <c r="B80" s="1" t="s">
        <v>630</v>
      </c>
      <c r="C80" s="1" t="s">
        <v>631</v>
      </c>
      <c r="D80" s="1" t="s">
        <v>130</v>
      </c>
      <c r="E80" s="1" t="s">
        <v>33</v>
      </c>
      <c r="F80" s="1" t="s">
        <v>33</v>
      </c>
      <c r="G80" s="1" t="s">
        <v>34</v>
      </c>
      <c r="H80" s="2">
        <v>9020000.0</v>
      </c>
      <c r="I80" s="1">
        <v>60.0</v>
      </c>
      <c r="J80" s="1" t="s">
        <v>73</v>
      </c>
      <c r="K80" s="5">
        <v>46179.0</v>
      </c>
      <c r="L80" s="4" t="str">
        <f t="shared" si="1"/>
        <v>Marcela Espinoza Díaz</v>
      </c>
      <c r="M80" s="6" t="str">
        <f t="shared" si="2"/>
        <v>13856777-7</v>
      </c>
      <c r="N80" s="6" t="str">
        <f t="shared" si="3"/>
        <v>Puerto Montt - Puerto Montt - Región de Los Lagos</v>
      </c>
      <c r="O80" s="4"/>
    </row>
    <row r="81">
      <c r="A81" s="1" t="s">
        <v>641</v>
      </c>
      <c r="B81" s="1" t="s">
        <v>642</v>
      </c>
      <c r="C81" s="1" t="s">
        <v>643</v>
      </c>
      <c r="D81" s="1" t="s">
        <v>644</v>
      </c>
      <c r="E81" s="1" t="s">
        <v>109</v>
      </c>
      <c r="F81" s="1" t="s">
        <v>62</v>
      </c>
      <c r="G81" s="1" t="s">
        <v>63</v>
      </c>
      <c r="H81" s="2">
        <v>5210000.0</v>
      </c>
      <c r="I81" s="1">
        <v>15.0</v>
      </c>
      <c r="J81" s="1" t="s">
        <v>97</v>
      </c>
      <c r="K81" s="5">
        <v>46170.0</v>
      </c>
      <c r="L81" s="4" t="str">
        <f t="shared" si="1"/>
        <v>Mauricio Pérez Espinoza</v>
      </c>
      <c r="M81" s="6" t="str">
        <f t="shared" si="2"/>
        <v>13.263.736-6</v>
      </c>
      <c r="N81" s="6" t="str">
        <f t="shared" si="3"/>
        <v>Ñuñoa - Santiago - Región Metropolitana</v>
      </c>
      <c r="O81" s="4"/>
    </row>
    <row r="82">
      <c r="A82" s="1" t="s">
        <v>653</v>
      </c>
      <c r="B82" s="1" t="s">
        <v>654</v>
      </c>
      <c r="C82" s="1" t="s">
        <v>655</v>
      </c>
      <c r="D82" s="1" t="s">
        <v>657</v>
      </c>
      <c r="E82" s="1" t="s">
        <v>26</v>
      </c>
      <c r="F82" s="1" t="s">
        <v>26</v>
      </c>
      <c r="G82" s="1" t="s">
        <v>27</v>
      </c>
      <c r="H82" s="2">
        <v>1.771E7</v>
      </c>
      <c r="I82" s="1">
        <v>120.0</v>
      </c>
      <c r="J82" s="1" t="s">
        <v>97</v>
      </c>
      <c r="K82" s="5">
        <v>46208.0</v>
      </c>
      <c r="L82" s="4" t="str">
        <f t="shared" si="1"/>
        <v>Sofia Vergara Contreras</v>
      </c>
      <c r="M82" s="6" t="str">
        <f t="shared" si="2"/>
        <v>11.338.107-4</v>
      </c>
      <c r="N82" s="6" t="str">
        <f t="shared" si="3"/>
        <v>Valparaíso - Valparaíso - Región de Valparaíso</v>
      </c>
      <c r="O82" s="4"/>
    </row>
    <row r="83">
      <c r="A83" s="1" t="s">
        <v>664</v>
      </c>
      <c r="B83" s="1" t="s">
        <v>665</v>
      </c>
      <c r="C83" s="1" t="s">
        <v>666</v>
      </c>
      <c r="D83" s="1" t="s">
        <v>667</v>
      </c>
      <c r="E83" s="1" t="s">
        <v>25</v>
      </c>
      <c r="F83" s="1" t="s">
        <v>26</v>
      </c>
      <c r="G83" s="1" t="s">
        <v>27</v>
      </c>
      <c r="H83" s="2">
        <v>2.01E7</v>
      </c>
      <c r="I83" s="1">
        <v>30.0</v>
      </c>
      <c r="J83" s="1" t="s">
        <v>20</v>
      </c>
      <c r="K83" s="5">
        <v>46147.0</v>
      </c>
      <c r="L83" s="4" t="str">
        <f t="shared" si="1"/>
        <v>Ignacio Díaz López</v>
      </c>
      <c r="M83" s="6" t="str">
        <f t="shared" si="2"/>
        <v>17.942.818-3</v>
      </c>
      <c r="N83" s="6" t="str">
        <f t="shared" si="3"/>
        <v>Viña del Mar - Valparaíso - Región de Valparaíso</v>
      </c>
      <c r="O83" s="4"/>
    </row>
    <row r="84">
      <c r="A84" s="1" t="s">
        <v>677</v>
      </c>
      <c r="B84" s="1" t="s">
        <v>679</v>
      </c>
      <c r="C84" s="1" t="s">
        <v>680</v>
      </c>
      <c r="D84" s="1" t="s">
        <v>681</v>
      </c>
      <c r="E84" s="1" t="s">
        <v>33</v>
      </c>
      <c r="F84" s="1" t="s">
        <v>33</v>
      </c>
      <c r="G84" s="1" t="s">
        <v>34</v>
      </c>
      <c r="H84" s="2">
        <v>2.025E7</v>
      </c>
      <c r="I84" s="1">
        <v>30.0</v>
      </c>
      <c r="J84" s="1" t="s">
        <v>97</v>
      </c>
      <c r="K84" s="5">
        <v>46132.0</v>
      </c>
      <c r="L84" s="4" t="str">
        <f t="shared" si="1"/>
        <v>Macarena González Díaz</v>
      </c>
      <c r="M84" s="6" t="str">
        <f t="shared" si="2"/>
        <v>15.412.692-4</v>
      </c>
      <c r="N84" s="6" t="str">
        <f t="shared" si="3"/>
        <v>Puerto Montt - Puerto Montt - Región de Los Lagos</v>
      </c>
      <c r="O84" s="4"/>
    </row>
    <row r="85">
      <c r="A85" s="1" t="s">
        <v>689</v>
      </c>
      <c r="B85" s="1" t="s">
        <v>690</v>
      </c>
      <c r="C85" s="1" t="s">
        <v>691</v>
      </c>
      <c r="D85" s="1" t="s">
        <v>693</v>
      </c>
      <c r="E85" s="1" t="s">
        <v>158</v>
      </c>
      <c r="F85" s="1" t="s">
        <v>158</v>
      </c>
      <c r="G85" s="1" t="s">
        <v>159</v>
      </c>
      <c r="H85" s="2">
        <v>4080000.0</v>
      </c>
      <c r="I85" s="1">
        <v>0.0</v>
      </c>
      <c r="J85" s="1" t="s">
        <v>28</v>
      </c>
      <c r="K85" s="5">
        <v>46057.0</v>
      </c>
      <c r="L85" s="4" t="str">
        <f t="shared" si="1"/>
        <v>Javier Sepúlveda Rojas</v>
      </c>
      <c r="M85" s="6" t="str">
        <f t="shared" si="2"/>
        <v>18.844.773-2</v>
      </c>
      <c r="N85" s="6" t="str">
        <f t="shared" si="3"/>
        <v>Antofagasta - Antofagasta - Región de Antofagasta</v>
      </c>
      <c r="O85" s="4"/>
    </row>
    <row r="86">
      <c r="A86" s="1" t="s">
        <v>700</v>
      </c>
      <c r="B86" s="1" t="s">
        <v>702</v>
      </c>
      <c r="C86" s="1" t="s">
        <v>703</v>
      </c>
      <c r="D86" s="1" t="s">
        <v>705</v>
      </c>
      <c r="E86" s="1" t="s">
        <v>72</v>
      </c>
      <c r="F86" s="1" t="s">
        <v>62</v>
      </c>
      <c r="G86" s="1" t="s">
        <v>63</v>
      </c>
      <c r="H86" s="2">
        <v>980000.0</v>
      </c>
      <c r="I86" s="1">
        <v>15.0</v>
      </c>
      <c r="J86" s="1" t="s">
        <v>28</v>
      </c>
      <c r="K86" s="5">
        <v>46080.0</v>
      </c>
      <c r="L86" s="4" t="str">
        <f t="shared" si="1"/>
        <v>Macarena Rodríguez Muñoz</v>
      </c>
      <c r="M86" s="6" t="str">
        <f t="shared" si="2"/>
        <v>12.449.255-5</v>
      </c>
      <c r="N86" s="6" t="str">
        <f t="shared" si="3"/>
        <v>Providencia - Santiago - Región Metropolitana</v>
      </c>
      <c r="O86" s="4"/>
    </row>
    <row r="87">
      <c r="A87" s="1" t="s">
        <v>708</v>
      </c>
      <c r="B87" s="1" t="s">
        <v>710</v>
      </c>
      <c r="C87" s="1" t="s">
        <v>711</v>
      </c>
      <c r="D87" s="1" t="s">
        <v>713</v>
      </c>
      <c r="E87" s="1" t="s">
        <v>45</v>
      </c>
      <c r="F87" s="1" t="s">
        <v>45</v>
      </c>
      <c r="G87" s="1" t="s">
        <v>46</v>
      </c>
      <c r="H87" s="2">
        <v>1.119E7</v>
      </c>
      <c r="I87" s="1">
        <v>45.0</v>
      </c>
      <c r="J87" s="1" t="s">
        <v>73</v>
      </c>
      <c r="K87" s="5">
        <v>46042.0</v>
      </c>
      <c r="L87" s="4" t="str">
        <f t="shared" si="1"/>
        <v>Mauricio Pérez Soto</v>
      </c>
      <c r="M87" s="6" t="str">
        <f t="shared" si="2"/>
        <v>20.269.276-3</v>
      </c>
      <c r="N87" s="6" t="str">
        <f t="shared" si="3"/>
        <v>Temuco - Temuco - Región de la Araucanía</v>
      </c>
      <c r="O87" s="4"/>
    </row>
    <row r="88">
      <c r="A88" s="1" t="s">
        <v>554</v>
      </c>
      <c r="B88" s="1" t="s">
        <v>556</v>
      </c>
      <c r="C88" s="1" t="s">
        <v>558</v>
      </c>
      <c r="D88" s="1" t="s">
        <v>560</v>
      </c>
      <c r="E88" s="1" t="s">
        <v>158</v>
      </c>
      <c r="F88" s="1" t="s">
        <v>158</v>
      </c>
      <c r="G88" s="1" t="s">
        <v>159</v>
      </c>
      <c r="H88" s="2">
        <v>1.129E7</v>
      </c>
      <c r="I88" s="1">
        <v>15.0</v>
      </c>
      <c r="J88" s="1" t="s">
        <v>28</v>
      </c>
      <c r="K88" s="5">
        <v>46030.0</v>
      </c>
      <c r="L88" s="4" t="str">
        <f t="shared" si="1"/>
        <v>Andrea Contreras González</v>
      </c>
      <c r="M88" s="6" t="str">
        <f t="shared" si="2"/>
        <v>12.715.632-3</v>
      </c>
      <c r="N88" s="6" t="str">
        <f t="shared" si="3"/>
        <v>Antofagasta - Antofagasta - Región de Antofagasta</v>
      </c>
      <c r="O88" s="4"/>
    </row>
    <row r="89">
      <c r="A89" s="1" t="s">
        <v>724</v>
      </c>
      <c r="B89" s="1" t="s">
        <v>725</v>
      </c>
      <c r="C89" s="1" t="s">
        <v>727</v>
      </c>
      <c r="D89" s="1" t="s">
        <v>730</v>
      </c>
      <c r="E89" s="1" t="s">
        <v>194</v>
      </c>
      <c r="F89" s="1" t="s">
        <v>62</v>
      </c>
      <c r="G89" s="1" t="s">
        <v>63</v>
      </c>
      <c r="H89" s="2">
        <v>1710000.0</v>
      </c>
      <c r="I89" s="1">
        <v>30.0</v>
      </c>
      <c r="J89" s="1" t="s">
        <v>20</v>
      </c>
      <c r="K89" s="5">
        <v>46066.0</v>
      </c>
      <c r="L89" s="4" t="str">
        <f t="shared" si="1"/>
        <v>Tomas Valenzuela Araya</v>
      </c>
      <c r="M89" s="6" t="str">
        <f t="shared" si="2"/>
        <v>11.678.385-2</v>
      </c>
      <c r="N89" s="6" t="str">
        <f t="shared" si="3"/>
        <v>Las Condes - Santiago - Región Metropolitana</v>
      </c>
      <c r="O89" s="4"/>
    </row>
    <row r="90">
      <c r="A90" s="1" t="s">
        <v>736</v>
      </c>
      <c r="B90" s="1" t="s">
        <v>738</v>
      </c>
      <c r="C90" s="1" t="s">
        <v>739</v>
      </c>
      <c r="D90" s="1" t="s">
        <v>740</v>
      </c>
      <c r="E90" s="1" t="s">
        <v>158</v>
      </c>
      <c r="F90" s="1" t="s">
        <v>158</v>
      </c>
      <c r="G90" s="1" t="s">
        <v>159</v>
      </c>
      <c r="H90" s="2">
        <v>2.055E7</v>
      </c>
      <c r="I90" s="1">
        <v>15.0</v>
      </c>
      <c r="J90" s="1" t="s">
        <v>28</v>
      </c>
      <c r="K90" s="5">
        <v>46064.0</v>
      </c>
      <c r="L90" s="4" t="str">
        <f t="shared" si="1"/>
        <v>Daniela Valenzuela Rodríguez</v>
      </c>
      <c r="M90" s="6" t="str">
        <f t="shared" si="2"/>
        <v>20336972-4</v>
      </c>
      <c r="N90" s="6" t="str">
        <f t="shared" si="3"/>
        <v>Antofagasta - Antofagasta - Región de Antofagasta</v>
      </c>
      <c r="O90" s="4"/>
    </row>
    <row r="91">
      <c r="A91" s="1" t="s">
        <v>749</v>
      </c>
      <c r="B91" s="1" t="s">
        <v>750</v>
      </c>
      <c r="C91" s="1" t="s">
        <v>751</v>
      </c>
      <c r="D91" s="1" t="s">
        <v>752</v>
      </c>
      <c r="E91" s="1" t="s">
        <v>25</v>
      </c>
      <c r="F91" s="1" t="s">
        <v>26</v>
      </c>
      <c r="G91" s="1" t="s">
        <v>27</v>
      </c>
      <c r="H91" s="2">
        <v>8770000.0</v>
      </c>
      <c r="I91" s="1">
        <v>90.0</v>
      </c>
      <c r="J91" s="1" t="s">
        <v>73</v>
      </c>
      <c r="K91" s="5">
        <v>46135.0</v>
      </c>
      <c r="L91" s="4" t="str">
        <f t="shared" si="1"/>
        <v>Felipe González Rodríguez</v>
      </c>
      <c r="M91" s="6" t="str">
        <f t="shared" si="2"/>
        <v>14.197.146-6</v>
      </c>
      <c r="N91" s="6" t="str">
        <f t="shared" si="3"/>
        <v>Viña del Mar - Valparaíso - Región de Valparaíso</v>
      </c>
      <c r="O91" s="4"/>
    </row>
    <row r="92">
      <c r="A92" s="1" t="s">
        <v>757</v>
      </c>
      <c r="B92" s="1" t="s">
        <v>759</v>
      </c>
      <c r="C92" s="1" t="s">
        <v>760</v>
      </c>
      <c r="D92" s="1" t="s">
        <v>761</v>
      </c>
      <c r="E92" s="1" t="s">
        <v>18</v>
      </c>
      <c r="F92" s="1" t="s">
        <v>18</v>
      </c>
      <c r="G92" s="1" t="s">
        <v>19</v>
      </c>
      <c r="H92" s="2">
        <v>1.034E7</v>
      </c>
      <c r="I92" s="1">
        <v>45.0</v>
      </c>
      <c r="J92" s="1" t="s">
        <v>47</v>
      </c>
      <c r="K92" s="5">
        <v>46210.0</v>
      </c>
      <c r="L92" s="4" t="str">
        <f t="shared" si="1"/>
        <v>Camila Contreras Espinoza</v>
      </c>
      <c r="M92" s="6" t="str">
        <f t="shared" si="2"/>
        <v>22.160.319-1</v>
      </c>
      <c r="N92" s="6" t="str">
        <f t="shared" si="3"/>
        <v>La Serena - La Serena - Región de Coquimbo</v>
      </c>
      <c r="O92" s="4"/>
    </row>
    <row r="93">
      <c r="A93" s="1" t="s">
        <v>774</v>
      </c>
      <c r="B93" s="1" t="s">
        <v>775</v>
      </c>
      <c r="C93" s="1" t="s">
        <v>777</v>
      </c>
      <c r="D93" s="1" t="s">
        <v>778</v>
      </c>
      <c r="E93" s="1" t="s">
        <v>18</v>
      </c>
      <c r="F93" s="1" t="s">
        <v>18</v>
      </c>
      <c r="G93" s="1" t="s">
        <v>19</v>
      </c>
      <c r="H93" s="2">
        <v>1400000.0</v>
      </c>
      <c r="I93" s="1">
        <v>0.0</v>
      </c>
      <c r="J93" s="1" t="s">
        <v>73</v>
      </c>
      <c r="K93" s="5">
        <v>46135.0</v>
      </c>
      <c r="L93" s="4" t="str">
        <f t="shared" si="1"/>
        <v>Gabriel Muñoz Soto</v>
      </c>
      <c r="M93" s="6" t="str">
        <f t="shared" si="2"/>
        <v>15199395-K</v>
      </c>
      <c r="N93" s="6" t="str">
        <f t="shared" si="3"/>
        <v>La Serena - La Serena - Región de Coquimbo</v>
      </c>
      <c r="O93" s="4"/>
    </row>
    <row r="94">
      <c r="A94" s="1" t="s">
        <v>784</v>
      </c>
      <c r="B94" s="1" t="s">
        <v>785</v>
      </c>
      <c r="C94" s="1" t="s">
        <v>786</v>
      </c>
      <c r="D94" s="1" t="s">
        <v>788</v>
      </c>
      <c r="E94" s="1" t="s">
        <v>25</v>
      </c>
      <c r="F94" s="1" t="s">
        <v>26</v>
      </c>
      <c r="G94" s="1" t="s">
        <v>27</v>
      </c>
      <c r="H94" s="2">
        <v>2.095E7</v>
      </c>
      <c r="I94" s="1">
        <v>30.0</v>
      </c>
      <c r="J94" s="1" t="s">
        <v>97</v>
      </c>
      <c r="K94" s="5">
        <v>46128.0</v>
      </c>
      <c r="L94" s="4" t="str">
        <f t="shared" si="1"/>
        <v>Daniela Sepúlveda Pérez</v>
      </c>
      <c r="M94" s="6" t="str">
        <f t="shared" si="2"/>
        <v>17.257.650-4</v>
      </c>
      <c r="N94" s="6" t="str">
        <f t="shared" si="3"/>
        <v>Viña del Mar - Valparaíso - Región de Valparaíso</v>
      </c>
      <c r="O94" s="4"/>
    </row>
    <row r="95">
      <c r="A95" s="1" t="s">
        <v>796</v>
      </c>
      <c r="B95" s="1" t="s">
        <v>798</v>
      </c>
      <c r="C95" s="1" t="s">
        <v>799</v>
      </c>
      <c r="D95" s="1" t="s">
        <v>800</v>
      </c>
      <c r="E95" s="1" t="s">
        <v>72</v>
      </c>
      <c r="F95" s="1" t="s">
        <v>62</v>
      </c>
      <c r="G95" s="1" t="s">
        <v>63</v>
      </c>
      <c r="H95" s="2">
        <v>5920000.0</v>
      </c>
      <c r="I95" s="1">
        <v>30.0</v>
      </c>
      <c r="J95" s="1" t="s">
        <v>47</v>
      </c>
      <c r="K95" s="5">
        <v>46091.0</v>
      </c>
      <c r="L95" s="4" t="str">
        <f t="shared" si="1"/>
        <v>Felipe Valenzuela Sepúlveda</v>
      </c>
      <c r="M95" s="6" t="str">
        <f t="shared" si="2"/>
        <v>14.827.339-6</v>
      </c>
      <c r="N95" s="6" t="str">
        <f t="shared" si="3"/>
        <v>Providencia - Santiago - Región Metropolitana</v>
      </c>
      <c r="O95" s="4"/>
    </row>
    <row r="96">
      <c r="A96" s="1" t="s">
        <v>804</v>
      </c>
      <c r="B96" s="1" t="s">
        <v>806</v>
      </c>
      <c r="C96" s="1" t="s">
        <v>808</v>
      </c>
      <c r="D96" s="1" t="s">
        <v>810</v>
      </c>
      <c r="E96" s="1" t="s">
        <v>26</v>
      </c>
      <c r="F96" s="1" t="s">
        <v>26</v>
      </c>
      <c r="G96" s="1" t="s">
        <v>27</v>
      </c>
      <c r="H96" s="2">
        <v>9130000.0</v>
      </c>
      <c r="I96" s="1">
        <v>90.0</v>
      </c>
      <c r="J96" s="1" t="s">
        <v>97</v>
      </c>
      <c r="K96" s="5">
        <v>46170.0</v>
      </c>
      <c r="L96" s="4" t="str">
        <f t="shared" si="1"/>
        <v>Marcela Tapia Morales</v>
      </c>
      <c r="M96" s="6" t="str">
        <f t="shared" si="2"/>
        <v>15.488.455-5</v>
      </c>
      <c r="N96" s="6" t="str">
        <f t="shared" si="3"/>
        <v>Valparaíso - Valparaíso - Región de Valparaíso</v>
      </c>
      <c r="O96" s="4"/>
    </row>
    <row r="97">
      <c r="A97" s="1" t="s">
        <v>816</v>
      </c>
      <c r="B97" s="1" t="s">
        <v>817</v>
      </c>
      <c r="C97" s="1" t="s">
        <v>818</v>
      </c>
      <c r="D97" s="1" t="s">
        <v>819</v>
      </c>
      <c r="E97" s="1" t="s">
        <v>72</v>
      </c>
      <c r="F97" s="1" t="s">
        <v>62</v>
      </c>
      <c r="G97" s="1" t="s">
        <v>63</v>
      </c>
      <c r="H97" s="2">
        <v>2.086E7</v>
      </c>
      <c r="I97" s="1">
        <v>60.0</v>
      </c>
      <c r="J97" s="1" t="s">
        <v>47</v>
      </c>
      <c r="K97" s="5">
        <v>46034.0</v>
      </c>
      <c r="L97" s="4" t="str">
        <f t="shared" si="1"/>
        <v>Sebastián Tapia Muñoz</v>
      </c>
      <c r="M97" s="6" t="str">
        <f t="shared" si="2"/>
        <v>12.265.019-7</v>
      </c>
      <c r="N97" s="6" t="str">
        <f t="shared" si="3"/>
        <v>Providencia - Santiago - Región Metropolitana</v>
      </c>
      <c r="O97" s="4"/>
    </row>
    <row r="98">
      <c r="A98" s="1" t="s">
        <v>824</v>
      </c>
      <c r="B98" s="1" t="s">
        <v>825</v>
      </c>
      <c r="C98" s="1" t="s">
        <v>827</v>
      </c>
      <c r="D98" s="1" t="s">
        <v>829</v>
      </c>
      <c r="E98" s="1" t="s">
        <v>118</v>
      </c>
      <c r="F98" s="1" t="s">
        <v>62</v>
      </c>
      <c r="G98" s="1" t="s">
        <v>63</v>
      </c>
      <c r="H98" s="2">
        <v>7490000.0</v>
      </c>
      <c r="I98" s="1">
        <v>0.0</v>
      </c>
      <c r="J98" s="1" t="s">
        <v>73</v>
      </c>
      <c r="K98" s="5">
        <v>46081.0</v>
      </c>
      <c r="L98" s="4" t="str">
        <f t="shared" si="1"/>
        <v>Francisca Araya López</v>
      </c>
      <c r="M98" s="6" t="str">
        <f t="shared" si="2"/>
        <v>19.176.462-3</v>
      </c>
      <c r="N98" s="6" t="str">
        <f t="shared" si="3"/>
        <v>Maipú - Santiago - Región Metropolitana</v>
      </c>
      <c r="O98" s="4"/>
    </row>
    <row r="99">
      <c r="A99" s="1" t="s">
        <v>836</v>
      </c>
      <c r="B99" s="1" t="s">
        <v>837</v>
      </c>
      <c r="C99" s="1" t="s">
        <v>838</v>
      </c>
      <c r="D99" s="1" t="s">
        <v>839</v>
      </c>
      <c r="E99" s="1" t="s">
        <v>61</v>
      </c>
      <c r="F99" s="1" t="s">
        <v>62</v>
      </c>
      <c r="G99" s="1" t="s">
        <v>63</v>
      </c>
      <c r="H99" s="2">
        <v>1.189E7</v>
      </c>
      <c r="I99" s="1">
        <v>15.0</v>
      </c>
      <c r="J99" s="1" t="s">
        <v>73</v>
      </c>
      <c r="K99" s="5">
        <v>46194.0</v>
      </c>
      <c r="L99" s="4" t="str">
        <f t="shared" si="1"/>
        <v>Ignacio Fuentes Sepúlveda</v>
      </c>
      <c r="M99" s="6" t="str">
        <f t="shared" si="2"/>
        <v>20.597.692-K</v>
      </c>
      <c r="N99" s="6" t="str">
        <f t="shared" si="3"/>
        <v>Santiago Centro - Santiago - Región Metropolitana</v>
      </c>
      <c r="O99" s="4"/>
    </row>
    <row r="100">
      <c r="A100" s="1" t="s">
        <v>847</v>
      </c>
      <c r="B100" s="1" t="s">
        <v>848</v>
      </c>
      <c r="C100" s="1" t="s">
        <v>850</v>
      </c>
      <c r="D100" s="1" t="s">
        <v>851</v>
      </c>
      <c r="E100" s="1" t="s">
        <v>26</v>
      </c>
      <c r="F100" s="1" t="s">
        <v>26</v>
      </c>
      <c r="G100" s="1" t="s">
        <v>27</v>
      </c>
      <c r="H100" s="2">
        <v>1.903E7</v>
      </c>
      <c r="I100" s="1">
        <v>120.0</v>
      </c>
      <c r="J100" s="1" t="s">
        <v>97</v>
      </c>
      <c r="K100" s="5">
        <v>46124.0</v>
      </c>
      <c r="L100" s="4" t="str">
        <f t="shared" si="1"/>
        <v>Macarena Díaz Soto</v>
      </c>
      <c r="M100" s="6" t="str">
        <f t="shared" si="2"/>
        <v>18.898.568-6</v>
      </c>
      <c r="N100" s="6" t="str">
        <f t="shared" si="3"/>
        <v>Valparaíso - Valparaíso - Región de Valparaíso</v>
      </c>
      <c r="O100" s="4"/>
    </row>
    <row r="101">
      <c r="A101" s="1" t="s">
        <v>855</v>
      </c>
      <c r="B101" s="1" t="s">
        <v>857</v>
      </c>
      <c r="C101" s="1" t="s">
        <v>858</v>
      </c>
      <c r="D101" s="1" t="s">
        <v>859</v>
      </c>
      <c r="E101" s="1" t="s">
        <v>72</v>
      </c>
      <c r="F101" s="1" t="s">
        <v>62</v>
      </c>
      <c r="G101" s="1" t="s">
        <v>63</v>
      </c>
      <c r="H101" s="2">
        <v>8730000.0</v>
      </c>
      <c r="I101" s="1">
        <v>30.0</v>
      </c>
      <c r="J101" s="1" t="s">
        <v>73</v>
      </c>
      <c r="K101" s="5">
        <v>46200.0</v>
      </c>
      <c r="L101" s="4" t="str">
        <f t="shared" si="1"/>
        <v>Tomas Díaz Valenzuela</v>
      </c>
      <c r="M101" s="6" t="str">
        <f t="shared" si="2"/>
        <v>15194399-2</v>
      </c>
      <c r="N101" s="6" t="str">
        <f t="shared" si="3"/>
        <v>Providencia - Santiago - Región Metropolitana</v>
      </c>
      <c r="O101" s="4"/>
    </row>
    <row r="102">
      <c r="A102" s="1" t="s">
        <v>862</v>
      </c>
      <c r="B102" s="1" t="s">
        <v>864</v>
      </c>
      <c r="C102" s="1" t="s">
        <v>865</v>
      </c>
      <c r="D102" s="1" t="s">
        <v>867</v>
      </c>
      <c r="E102" s="1" t="s">
        <v>56</v>
      </c>
      <c r="F102" s="1" t="s">
        <v>39</v>
      </c>
      <c r="G102" s="1" t="s">
        <v>40</v>
      </c>
      <c r="H102" s="2">
        <v>2.062E7</v>
      </c>
      <c r="I102" s="1">
        <v>60.0</v>
      </c>
      <c r="J102" s="1" t="s">
        <v>73</v>
      </c>
      <c r="K102" s="5">
        <v>46205.0</v>
      </c>
      <c r="L102" s="4" t="str">
        <f t="shared" si="1"/>
        <v>Catalina Contreras Contreras</v>
      </c>
      <c r="M102" s="6" t="str">
        <f t="shared" si="2"/>
        <v>15068863-9</v>
      </c>
      <c r="N102" s="6" t="str">
        <f t="shared" si="3"/>
        <v>Talcahuano - Concepción - Región del Biobío</v>
      </c>
      <c r="O102" s="4"/>
    </row>
    <row r="103">
      <c r="A103" s="1" t="s">
        <v>873</v>
      </c>
      <c r="B103" s="1" t="s">
        <v>874</v>
      </c>
      <c r="C103" s="1" t="s">
        <v>876</v>
      </c>
      <c r="D103" s="1" t="s">
        <v>877</v>
      </c>
      <c r="E103" s="1" t="s">
        <v>194</v>
      </c>
      <c r="F103" s="1" t="s">
        <v>62</v>
      </c>
      <c r="G103" s="1" t="s">
        <v>63</v>
      </c>
      <c r="H103" s="2">
        <v>3000000.0</v>
      </c>
      <c r="I103" s="1">
        <v>15.0</v>
      </c>
      <c r="J103" s="1" t="s">
        <v>97</v>
      </c>
      <c r="K103" s="5">
        <v>46091.0</v>
      </c>
      <c r="L103" s="4" t="str">
        <f t="shared" si="1"/>
        <v>Diego Silva Araya</v>
      </c>
      <c r="M103" s="6" t="str">
        <f t="shared" si="2"/>
        <v>15.833.955-4</v>
      </c>
      <c r="N103" s="6" t="str">
        <f t="shared" si="3"/>
        <v>Las Condes - Santiago - Región Metropolitana</v>
      </c>
      <c r="O103" s="4"/>
    </row>
    <row r="104">
      <c r="A104" s="1" t="s">
        <v>880</v>
      </c>
      <c r="B104" s="1" t="s">
        <v>881</v>
      </c>
      <c r="C104" s="1" t="s">
        <v>882</v>
      </c>
      <c r="D104" s="1" t="s">
        <v>883</v>
      </c>
      <c r="E104" s="1" t="s">
        <v>39</v>
      </c>
      <c r="F104" s="1" t="s">
        <v>39</v>
      </c>
      <c r="G104" s="1" t="s">
        <v>40</v>
      </c>
      <c r="H104" s="2">
        <v>1.654E7</v>
      </c>
      <c r="I104" s="1">
        <v>30.0</v>
      </c>
      <c r="J104" s="1" t="s">
        <v>28</v>
      </c>
      <c r="K104" s="5">
        <v>46131.0</v>
      </c>
      <c r="L104" s="4" t="str">
        <f t="shared" si="1"/>
        <v>Camila Vergara Tapia</v>
      </c>
      <c r="M104" s="6" t="str">
        <f t="shared" si="2"/>
        <v>22.398.288-8</v>
      </c>
      <c r="N104" s="6" t="str">
        <f t="shared" si="3"/>
        <v>Concepción - Concepción - Región del Biobío</v>
      </c>
      <c r="O104" s="4"/>
    </row>
    <row r="105">
      <c r="A105" s="1" t="s">
        <v>889</v>
      </c>
      <c r="B105" s="1" t="s">
        <v>891</v>
      </c>
      <c r="C105" s="1" t="s">
        <v>892</v>
      </c>
      <c r="D105" s="1" t="s">
        <v>893</v>
      </c>
      <c r="E105" s="1" t="s">
        <v>39</v>
      </c>
      <c r="F105" s="1" t="s">
        <v>39</v>
      </c>
      <c r="G105" s="1" t="s">
        <v>40</v>
      </c>
      <c r="H105" s="2">
        <v>1310000.0</v>
      </c>
      <c r="I105" s="1">
        <v>0.0</v>
      </c>
      <c r="J105" s="1" t="s">
        <v>47</v>
      </c>
      <c r="K105" s="5">
        <v>46196.0</v>
      </c>
      <c r="L105" s="4" t="str">
        <f t="shared" si="1"/>
        <v>Cristián Valenzuela González</v>
      </c>
      <c r="M105" s="6" t="str">
        <f t="shared" si="2"/>
        <v>14.182.624-6</v>
      </c>
      <c r="N105" s="6" t="str">
        <f t="shared" si="3"/>
        <v>Concepción - Concepción - Región del Biobío</v>
      </c>
      <c r="O105" s="4"/>
    </row>
    <row r="106">
      <c r="A106" s="1" t="s">
        <v>896</v>
      </c>
      <c r="B106" s="1" t="s">
        <v>897</v>
      </c>
      <c r="C106" s="1" t="s">
        <v>898</v>
      </c>
      <c r="D106" s="1" t="s">
        <v>899</v>
      </c>
      <c r="E106" s="1" t="s">
        <v>33</v>
      </c>
      <c r="F106" s="1" t="s">
        <v>33</v>
      </c>
      <c r="G106" s="1" t="s">
        <v>34</v>
      </c>
      <c r="H106" s="2">
        <v>1.354E7</v>
      </c>
      <c r="I106" s="1">
        <v>30.0</v>
      </c>
      <c r="J106" s="1" t="s">
        <v>20</v>
      </c>
      <c r="K106" s="5">
        <v>46144.0</v>
      </c>
      <c r="L106" s="4" t="str">
        <f t="shared" si="1"/>
        <v>Sofia Contreras Pérez</v>
      </c>
      <c r="M106" s="6" t="str">
        <f t="shared" si="2"/>
        <v>22.467.181-4</v>
      </c>
      <c r="N106" s="6" t="str">
        <f t="shared" si="3"/>
        <v>Puerto Montt - Puerto Montt - Región de Los Lagos</v>
      </c>
      <c r="O106" s="4"/>
    </row>
    <row r="107">
      <c r="A107" s="1" t="s">
        <v>905</v>
      </c>
      <c r="B107" s="1" t="s">
        <v>906</v>
      </c>
      <c r="C107" s="1" t="s">
        <v>907</v>
      </c>
      <c r="D107" s="1" t="s">
        <v>908</v>
      </c>
      <c r="E107" s="1" t="s">
        <v>39</v>
      </c>
      <c r="F107" s="1" t="s">
        <v>39</v>
      </c>
      <c r="G107" s="1" t="s">
        <v>40</v>
      </c>
      <c r="H107" s="2">
        <v>1.253E7</v>
      </c>
      <c r="I107" s="1">
        <v>45.0</v>
      </c>
      <c r="J107" s="1" t="s">
        <v>20</v>
      </c>
      <c r="K107" s="5">
        <v>46066.0</v>
      </c>
      <c r="L107" s="4" t="str">
        <f t="shared" si="1"/>
        <v>Gonzalo Vergara Sepúlveda</v>
      </c>
      <c r="M107" s="6" t="str">
        <f t="shared" si="2"/>
        <v>15189603-3</v>
      </c>
      <c r="N107" s="6" t="str">
        <f t="shared" si="3"/>
        <v>Concepción - Concepción - Región del Biobío</v>
      </c>
      <c r="O107" s="4"/>
    </row>
    <row r="108">
      <c r="A108" s="1" t="s">
        <v>913</v>
      </c>
      <c r="B108" s="1" t="s">
        <v>914</v>
      </c>
      <c r="C108" s="1" t="s">
        <v>915</v>
      </c>
      <c r="D108" s="1" t="s">
        <v>916</v>
      </c>
      <c r="E108" s="1" t="s">
        <v>25</v>
      </c>
      <c r="F108" s="1" t="s">
        <v>26</v>
      </c>
      <c r="G108" s="1" t="s">
        <v>27</v>
      </c>
      <c r="H108" s="2">
        <v>2.021E7</v>
      </c>
      <c r="I108" s="1">
        <v>0.0</v>
      </c>
      <c r="J108" s="1" t="s">
        <v>20</v>
      </c>
      <c r="K108" s="5">
        <v>46151.0</v>
      </c>
      <c r="L108" s="4" t="str">
        <f t="shared" si="1"/>
        <v>Camila Araya Araya</v>
      </c>
      <c r="M108" s="6" t="str">
        <f t="shared" si="2"/>
        <v>15880893-6</v>
      </c>
      <c r="N108" s="6" t="str">
        <f t="shared" si="3"/>
        <v>Viña del Mar - Valparaíso - Región de Valparaíso</v>
      </c>
      <c r="O108" s="4"/>
    </row>
    <row r="109">
      <c r="A109" s="1" t="s">
        <v>921</v>
      </c>
      <c r="B109" s="1" t="s">
        <v>922</v>
      </c>
      <c r="C109" s="1" t="s">
        <v>923</v>
      </c>
      <c r="D109" s="1" t="s">
        <v>924</v>
      </c>
      <c r="E109" s="1" t="s">
        <v>61</v>
      </c>
      <c r="F109" s="1" t="s">
        <v>62</v>
      </c>
      <c r="G109" s="1" t="s">
        <v>63</v>
      </c>
      <c r="H109" s="2">
        <v>1070000.0</v>
      </c>
      <c r="I109" s="1">
        <v>120.0</v>
      </c>
      <c r="J109" s="1" t="s">
        <v>47</v>
      </c>
      <c r="K109" s="5">
        <v>46182.0</v>
      </c>
      <c r="L109" s="4" t="str">
        <f t="shared" si="1"/>
        <v>Diego Muñoz Soto</v>
      </c>
      <c r="M109" s="6" t="str">
        <f t="shared" si="2"/>
        <v>11.267.000-7</v>
      </c>
      <c r="N109" s="6" t="str">
        <f t="shared" si="3"/>
        <v>Santiago Centro - Santiago - Región Metropolitana</v>
      </c>
      <c r="O109" s="4"/>
    </row>
    <row r="110">
      <c r="A110" s="1" t="s">
        <v>927</v>
      </c>
      <c r="B110" s="1" t="s">
        <v>929</v>
      </c>
      <c r="C110" s="1" t="s">
        <v>930</v>
      </c>
      <c r="D110" s="1" t="s">
        <v>931</v>
      </c>
      <c r="E110" s="1" t="s">
        <v>26</v>
      </c>
      <c r="F110" s="1" t="s">
        <v>26</v>
      </c>
      <c r="G110" s="1" t="s">
        <v>27</v>
      </c>
      <c r="H110" s="2">
        <v>1.298E7</v>
      </c>
      <c r="I110" s="1">
        <v>120.0</v>
      </c>
      <c r="J110" s="1" t="s">
        <v>28</v>
      </c>
      <c r="K110" s="5">
        <v>46217.0</v>
      </c>
      <c r="L110" s="4" t="str">
        <f t="shared" si="1"/>
        <v>Valentina Morales Sepúlveda</v>
      </c>
      <c r="M110" s="6" t="str">
        <f t="shared" si="2"/>
        <v>19.431.960-9</v>
      </c>
      <c r="N110" s="6" t="str">
        <f t="shared" si="3"/>
        <v>Valparaíso - Valparaíso - Región de Valparaíso</v>
      </c>
      <c r="O110" s="4"/>
    </row>
    <row r="111">
      <c r="A111" s="1" t="s">
        <v>939</v>
      </c>
      <c r="B111" s="1" t="s">
        <v>941</v>
      </c>
      <c r="C111" s="1" t="s">
        <v>942</v>
      </c>
      <c r="D111" s="1" t="s">
        <v>943</v>
      </c>
      <c r="E111" s="1" t="s">
        <v>194</v>
      </c>
      <c r="F111" s="1" t="s">
        <v>62</v>
      </c>
      <c r="G111" s="1" t="s">
        <v>63</v>
      </c>
      <c r="H111" s="2">
        <v>1.633E7</v>
      </c>
      <c r="I111" s="1">
        <v>60.0</v>
      </c>
      <c r="J111" s="1" t="s">
        <v>73</v>
      </c>
      <c r="K111" s="5">
        <v>46130.0</v>
      </c>
      <c r="L111" s="4" t="str">
        <f t="shared" si="1"/>
        <v>Sebastián Pérez Soto</v>
      </c>
      <c r="M111" s="6" t="str">
        <f t="shared" si="2"/>
        <v>13.520.150-2</v>
      </c>
      <c r="N111" s="6" t="str">
        <f t="shared" si="3"/>
        <v>Las Condes - Santiago - Región Metropolitana</v>
      </c>
      <c r="O111" s="4"/>
    </row>
    <row r="112">
      <c r="A112" s="1" t="s">
        <v>946</v>
      </c>
      <c r="B112" s="1" t="s">
        <v>948</v>
      </c>
      <c r="C112" s="1" t="s">
        <v>949</v>
      </c>
      <c r="D112" s="1" t="s">
        <v>950</v>
      </c>
      <c r="E112" s="1" t="s">
        <v>56</v>
      </c>
      <c r="F112" s="1" t="s">
        <v>39</v>
      </c>
      <c r="G112" s="1" t="s">
        <v>40</v>
      </c>
      <c r="H112" s="2">
        <v>1.934E7</v>
      </c>
      <c r="I112" s="1">
        <v>15.0</v>
      </c>
      <c r="J112" s="1" t="s">
        <v>28</v>
      </c>
      <c r="K112" s="5">
        <v>46194.0</v>
      </c>
      <c r="L112" s="4" t="str">
        <f t="shared" si="1"/>
        <v>Camila Soto Morales</v>
      </c>
      <c r="M112" s="6" t="str">
        <f t="shared" si="2"/>
        <v>16.331.357-3</v>
      </c>
      <c r="N112" s="6" t="str">
        <f t="shared" si="3"/>
        <v>Talcahuano - Concepción - Región del Biobío</v>
      </c>
      <c r="O112" s="4"/>
    </row>
    <row r="113">
      <c r="A113" s="1" t="s">
        <v>958</v>
      </c>
      <c r="B113" s="1" t="s">
        <v>959</v>
      </c>
      <c r="C113" s="1" t="s">
        <v>961</v>
      </c>
      <c r="D113" s="1" t="s">
        <v>962</v>
      </c>
      <c r="E113" s="1" t="s">
        <v>39</v>
      </c>
      <c r="F113" s="1" t="s">
        <v>39</v>
      </c>
      <c r="G113" s="1" t="s">
        <v>40</v>
      </c>
      <c r="H113" s="2">
        <v>2600000.0</v>
      </c>
      <c r="I113" s="1">
        <v>60.0</v>
      </c>
      <c r="J113" s="1" t="s">
        <v>20</v>
      </c>
      <c r="K113" s="5">
        <v>46195.0</v>
      </c>
      <c r="L113" s="4" t="str">
        <f t="shared" si="1"/>
        <v>Felipe Vergara Vergara</v>
      </c>
      <c r="M113" s="6" t="str">
        <f t="shared" si="2"/>
        <v>19.485.484-7</v>
      </c>
      <c r="N113" s="6" t="str">
        <f t="shared" si="3"/>
        <v>Concepción - Concepción - Región del Biobío</v>
      </c>
      <c r="O113" s="4"/>
    </row>
    <row r="114">
      <c r="A114" s="1" t="s">
        <v>965</v>
      </c>
      <c r="B114" s="1" t="s">
        <v>966</v>
      </c>
      <c r="C114" s="1" t="s">
        <v>967</v>
      </c>
      <c r="D114" s="1" t="s">
        <v>969</v>
      </c>
      <c r="E114" s="1" t="s">
        <v>39</v>
      </c>
      <c r="F114" s="1" t="s">
        <v>39</v>
      </c>
      <c r="G114" s="1" t="s">
        <v>40</v>
      </c>
      <c r="H114" s="2">
        <v>1.286E7</v>
      </c>
      <c r="I114" s="1">
        <v>60.0</v>
      </c>
      <c r="J114" s="1" t="s">
        <v>47</v>
      </c>
      <c r="K114" s="5">
        <v>46160.0</v>
      </c>
      <c r="L114" s="4" t="str">
        <f t="shared" si="1"/>
        <v>Carolina Díaz Espinoza</v>
      </c>
      <c r="M114" s="6" t="str">
        <f t="shared" si="2"/>
        <v>13.760.186-2</v>
      </c>
      <c r="N114" s="6" t="str">
        <f t="shared" si="3"/>
        <v>Concepción - Concepción - Región del Biobío</v>
      </c>
      <c r="O114" s="4"/>
    </row>
    <row r="115">
      <c r="A115" s="1" t="s">
        <v>977</v>
      </c>
      <c r="B115" s="1" t="s">
        <v>978</v>
      </c>
      <c r="C115" s="1" t="s">
        <v>979</v>
      </c>
      <c r="D115" s="1" t="s">
        <v>980</v>
      </c>
      <c r="E115" s="1" t="s">
        <v>109</v>
      </c>
      <c r="F115" s="1" t="s">
        <v>62</v>
      </c>
      <c r="G115" s="1" t="s">
        <v>63</v>
      </c>
      <c r="H115" s="2">
        <v>8850000.0</v>
      </c>
      <c r="I115" s="1">
        <v>45.0</v>
      </c>
      <c r="J115" s="1" t="s">
        <v>97</v>
      </c>
      <c r="K115" s="5">
        <v>46192.0</v>
      </c>
      <c r="L115" s="4" t="str">
        <f t="shared" si="1"/>
        <v>Hernán Contreras Vergara</v>
      </c>
      <c r="M115" s="6" t="str">
        <f t="shared" si="2"/>
        <v>13.697.302-7</v>
      </c>
      <c r="N115" s="6" t="str">
        <f t="shared" si="3"/>
        <v>Ñuñoa - Santiago - Región Metropolitana</v>
      </c>
      <c r="O115" s="4"/>
    </row>
    <row r="116">
      <c r="A116" s="1" t="s">
        <v>986</v>
      </c>
      <c r="B116" s="1" t="s">
        <v>987</v>
      </c>
      <c r="C116" s="1" t="s">
        <v>988</v>
      </c>
      <c r="D116" s="1" t="s">
        <v>989</v>
      </c>
      <c r="E116" s="1" t="s">
        <v>72</v>
      </c>
      <c r="F116" s="1" t="s">
        <v>62</v>
      </c>
      <c r="G116" s="1" t="s">
        <v>63</v>
      </c>
      <c r="H116" s="2">
        <v>9450000.0</v>
      </c>
      <c r="I116" s="1">
        <v>0.0</v>
      </c>
      <c r="J116" s="1" t="s">
        <v>20</v>
      </c>
      <c r="K116" s="5">
        <v>46072.0</v>
      </c>
      <c r="L116" s="4" t="str">
        <f t="shared" si="1"/>
        <v>Beatriz Espinoza Silva</v>
      </c>
      <c r="M116" s="6" t="str">
        <f t="shared" si="2"/>
        <v>19.580.611-4</v>
      </c>
      <c r="N116" s="6" t="str">
        <f t="shared" si="3"/>
        <v>Providencia - Santiago - Región Metropolitana</v>
      </c>
      <c r="O116" s="4"/>
    </row>
    <row r="117">
      <c r="A117" s="1" t="s">
        <v>998</v>
      </c>
      <c r="B117" s="1" t="s">
        <v>999</v>
      </c>
      <c r="C117" s="1" t="s">
        <v>1000</v>
      </c>
      <c r="D117" s="1" t="s">
        <v>1001</v>
      </c>
      <c r="E117" s="1" t="s">
        <v>72</v>
      </c>
      <c r="F117" s="1" t="s">
        <v>62</v>
      </c>
      <c r="G117" s="1" t="s">
        <v>63</v>
      </c>
      <c r="H117" s="2">
        <v>1090000.0</v>
      </c>
      <c r="I117" s="1">
        <v>0.0</v>
      </c>
      <c r="J117" s="1" t="s">
        <v>97</v>
      </c>
      <c r="K117" s="5">
        <v>46180.0</v>
      </c>
      <c r="L117" s="4" t="str">
        <f t="shared" si="1"/>
        <v>Matías Sepúlveda Contreras</v>
      </c>
      <c r="M117" s="6" t="str">
        <f t="shared" si="2"/>
        <v>20183945-2</v>
      </c>
      <c r="N117" s="6" t="str">
        <f t="shared" si="3"/>
        <v>Providencia - Santiago - Región Metropolitana</v>
      </c>
      <c r="O117" s="4"/>
    </row>
    <row r="118">
      <c r="A118" s="1" t="s">
        <v>1004</v>
      </c>
      <c r="B118" s="1" t="s">
        <v>1005</v>
      </c>
      <c r="C118" s="1" t="s">
        <v>1007</v>
      </c>
      <c r="D118" s="1" t="s">
        <v>1008</v>
      </c>
      <c r="E118" s="1" t="s">
        <v>56</v>
      </c>
      <c r="F118" s="1" t="s">
        <v>39</v>
      </c>
      <c r="G118" s="1" t="s">
        <v>40</v>
      </c>
      <c r="H118" s="2">
        <v>1.387E7</v>
      </c>
      <c r="I118" s="1">
        <v>15.0</v>
      </c>
      <c r="J118" s="1" t="s">
        <v>73</v>
      </c>
      <c r="K118" s="5">
        <v>46062.0</v>
      </c>
      <c r="L118" s="4" t="str">
        <f t="shared" si="1"/>
        <v>Francisca Pérez Tapia</v>
      </c>
      <c r="M118" s="6" t="str">
        <f t="shared" si="2"/>
        <v>17.292.330-0</v>
      </c>
      <c r="N118" s="6" t="str">
        <f t="shared" si="3"/>
        <v>Talcahuano - Concepción - Región del Biobío</v>
      </c>
      <c r="O118" s="4"/>
    </row>
    <row r="119">
      <c r="A119" s="1" t="s">
        <v>1016</v>
      </c>
      <c r="B119" s="1" t="s">
        <v>1017</v>
      </c>
      <c r="C119" s="1" t="s">
        <v>1018</v>
      </c>
      <c r="D119" s="1" t="s">
        <v>1019</v>
      </c>
      <c r="E119" s="1" t="s">
        <v>56</v>
      </c>
      <c r="F119" s="1" t="s">
        <v>39</v>
      </c>
      <c r="G119" s="1" t="s">
        <v>40</v>
      </c>
      <c r="H119" s="2">
        <v>1.598E7</v>
      </c>
      <c r="I119" s="1">
        <v>0.0</v>
      </c>
      <c r="J119" s="1" t="s">
        <v>97</v>
      </c>
      <c r="K119" s="5">
        <v>46082.0</v>
      </c>
      <c r="L119" s="4" t="str">
        <f t="shared" si="1"/>
        <v>Matías Tapia Fuentes</v>
      </c>
      <c r="M119" s="6" t="str">
        <f t="shared" si="2"/>
        <v>21.955.710-0</v>
      </c>
      <c r="N119" s="6" t="str">
        <f t="shared" si="3"/>
        <v>Talcahuano - Concepción - Región del Biobío</v>
      </c>
      <c r="O119" s="4"/>
    </row>
    <row r="120">
      <c r="A120" s="1" t="s">
        <v>1024</v>
      </c>
      <c r="B120" s="1" t="s">
        <v>1025</v>
      </c>
      <c r="C120" s="1" t="s">
        <v>1026</v>
      </c>
      <c r="D120" s="1" t="s">
        <v>1027</v>
      </c>
      <c r="E120" s="1" t="s">
        <v>61</v>
      </c>
      <c r="F120" s="1" t="s">
        <v>62</v>
      </c>
      <c r="G120" s="1" t="s">
        <v>63</v>
      </c>
      <c r="H120" s="2">
        <v>2.119E7</v>
      </c>
      <c r="I120" s="1">
        <v>45.0</v>
      </c>
      <c r="J120" s="1" t="s">
        <v>97</v>
      </c>
      <c r="K120" s="5">
        <v>46091.0</v>
      </c>
      <c r="L120" s="4" t="str">
        <f t="shared" si="1"/>
        <v>Marcela Pérez Fuentes</v>
      </c>
      <c r="M120" s="6" t="str">
        <f t="shared" si="2"/>
        <v>11964091-1</v>
      </c>
      <c r="N120" s="6" t="str">
        <f t="shared" si="3"/>
        <v>Santiago Centro - Santiago - Región Metropolitana</v>
      </c>
      <c r="O120" s="4"/>
    </row>
    <row r="121">
      <c r="A121" s="1" t="s">
        <v>404</v>
      </c>
      <c r="B121" s="1" t="s">
        <v>406</v>
      </c>
      <c r="C121" s="1" t="s">
        <v>1036</v>
      </c>
      <c r="D121" s="1" t="s">
        <v>408</v>
      </c>
      <c r="E121" s="1" t="s">
        <v>118</v>
      </c>
      <c r="F121" s="1" t="s">
        <v>62</v>
      </c>
      <c r="G121" s="1" t="s">
        <v>63</v>
      </c>
      <c r="H121" s="2">
        <v>8770000.0</v>
      </c>
      <c r="I121" s="1">
        <v>0.0</v>
      </c>
      <c r="J121" s="1" t="s">
        <v>73</v>
      </c>
      <c r="K121" s="5">
        <v>46060.0</v>
      </c>
      <c r="L121" s="4" t="str">
        <f t="shared" si="1"/>
        <v>Álvaro Tapia Contreras</v>
      </c>
      <c r="M121" s="6" t="str">
        <f t="shared" si="2"/>
        <v>16.902.804-3</v>
      </c>
      <c r="N121" s="6" t="str">
        <f t="shared" si="3"/>
        <v>Maipú - Santiago - Región Metropolitana</v>
      </c>
      <c r="O121" s="4"/>
    </row>
    <row r="122">
      <c r="A122" s="1" t="s">
        <v>1040</v>
      </c>
      <c r="B122" s="1" t="s">
        <v>1041</v>
      </c>
      <c r="C122" s="1" t="s">
        <v>1042</v>
      </c>
      <c r="D122" s="1" t="s">
        <v>1043</v>
      </c>
      <c r="E122" s="1" t="s">
        <v>26</v>
      </c>
      <c r="F122" s="1" t="s">
        <v>26</v>
      </c>
      <c r="G122" s="1" t="s">
        <v>27</v>
      </c>
      <c r="H122" s="2">
        <v>3260000.0</v>
      </c>
      <c r="I122" s="1">
        <v>0.0</v>
      </c>
      <c r="J122" s="1" t="s">
        <v>20</v>
      </c>
      <c r="K122" s="5">
        <v>46178.0</v>
      </c>
      <c r="L122" s="4" t="str">
        <f t="shared" si="1"/>
        <v>Sofia González Tapia</v>
      </c>
      <c r="M122" s="6" t="str">
        <f t="shared" si="2"/>
        <v>21.326.779-3</v>
      </c>
      <c r="N122" s="6" t="str">
        <f t="shared" si="3"/>
        <v>Valparaíso - Valparaíso - Región de Valparaíso</v>
      </c>
      <c r="O122" s="4"/>
    </row>
    <row r="123">
      <c r="A123" s="1" t="s">
        <v>1061</v>
      </c>
      <c r="B123" s="1" t="s">
        <v>1062</v>
      </c>
      <c r="C123" s="1" t="s">
        <v>1064</v>
      </c>
      <c r="D123" s="1" t="s">
        <v>1065</v>
      </c>
      <c r="E123" s="1" t="s">
        <v>45</v>
      </c>
      <c r="F123" s="1" t="s">
        <v>45</v>
      </c>
      <c r="G123" s="1" t="s">
        <v>46</v>
      </c>
      <c r="H123" s="2">
        <v>1650000.0</v>
      </c>
      <c r="I123" s="1">
        <v>15.0</v>
      </c>
      <c r="J123" s="1" t="s">
        <v>47</v>
      </c>
      <c r="K123" s="5">
        <v>46119.0</v>
      </c>
      <c r="L123" s="4" t="str">
        <f t="shared" si="1"/>
        <v>Sebastián Sepúlveda Rojas</v>
      </c>
      <c r="M123" s="6" t="str">
        <f t="shared" si="2"/>
        <v>20.871.270-5</v>
      </c>
      <c r="N123" s="6" t="str">
        <f t="shared" si="3"/>
        <v>Temuco - Temuco - Región de la Araucanía</v>
      </c>
      <c r="O123" s="4"/>
    </row>
    <row r="124">
      <c r="A124" s="1" t="s">
        <v>1070</v>
      </c>
      <c r="B124" s="1" t="s">
        <v>1071</v>
      </c>
      <c r="C124" s="1" t="s">
        <v>1072</v>
      </c>
      <c r="D124" s="1" t="s">
        <v>851</v>
      </c>
      <c r="E124" s="1" t="s">
        <v>45</v>
      </c>
      <c r="F124" s="1" t="s">
        <v>45</v>
      </c>
      <c r="G124" s="1" t="s">
        <v>46</v>
      </c>
      <c r="H124" s="2">
        <v>3210000.0</v>
      </c>
      <c r="I124" s="1">
        <v>0.0</v>
      </c>
      <c r="J124" s="1" t="s">
        <v>97</v>
      </c>
      <c r="K124" s="5">
        <v>46089.0</v>
      </c>
      <c r="L124" s="4" t="str">
        <f t="shared" si="1"/>
        <v>Macarena Díaz Soto</v>
      </c>
      <c r="M124" s="6" t="str">
        <f t="shared" si="2"/>
        <v>11949041-8</v>
      </c>
      <c r="N124" s="6" t="str">
        <f t="shared" si="3"/>
        <v>Temuco - Temuco - Región de la Araucanía</v>
      </c>
      <c r="O124" s="4"/>
    </row>
    <row r="125">
      <c r="A125" s="1" t="s">
        <v>1080</v>
      </c>
      <c r="B125" s="1" t="s">
        <v>1081</v>
      </c>
      <c r="C125" s="1" t="s">
        <v>1082</v>
      </c>
      <c r="D125" s="1" t="s">
        <v>1083</v>
      </c>
      <c r="E125" s="1" t="s">
        <v>33</v>
      </c>
      <c r="F125" s="1" t="s">
        <v>33</v>
      </c>
      <c r="G125" s="1" t="s">
        <v>34</v>
      </c>
      <c r="H125" s="2">
        <v>1.897E7</v>
      </c>
      <c r="I125" s="1">
        <v>30.0</v>
      </c>
      <c r="J125" s="1" t="s">
        <v>20</v>
      </c>
      <c r="K125" s="5">
        <v>46106.0</v>
      </c>
      <c r="L125" s="4" t="str">
        <f t="shared" si="1"/>
        <v>Diego Fuentes Silva</v>
      </c>
      <c r="M125" s="6" t="str">
        <f t="shared" si="2"/>
        <v>17.577.741-3</v>
      </c>
      <c r="N125" s="6" t="str">
        <f t="shared" si="3"/>
        <v>Puerto Montt - Puerto Montt - Región de Los Lagos</v>
      </c>
      <c r="O125" s="4"/>
    </row>
    <row r="126">
      <c r="A126" s="1" t="s">
        <v>1089</v>
      </c>
      <c r="B126" s="1" t="s">
        <v>1091</v>
      </c>
      <c r="C126" s="1" t="s">
        <v>1092</v>
      </c>
      <c r="D126" s="1" t="s">
        <v>1093</v>
      </c>
      <c r="E126" s="1" t="s">
        <v>118</v>
      </c>
      <c r="F126" s="1" t="s">
        <v>62</v>
      </c>
      <c r="G126" s="1" t="s">
        <v>63</v>
      </c>
      <c r="H126" s="2">
        <v>1.95E7</v>
      </c>
      <c r="I126" s="1">
        <v>0.0</v>
      </c>
      <c r="J126" s="1" t="s">
        <v>47</v>
      </c>
      <c r="K126" s="5">
        <v>46216.0</v>
      </c>
      <c r="L126" s="4" t="str">
        <f t="shared" si="1"/>
        <v>Javiera Muñoz Rojas</v>
      </c>
      <c r="M126" s="6" t="str">
        <f t="shared" si="2"/>
        <v>14.294.333-2</v>
      </c>
      <c r="N126" s="6" t="str">
        <f t="shared" si="3"/>
        <v>Maipú - Santiago - Región Metropolitana</v>
      </c>
      <c r="O126" s="4"/>
    </row>
    <row r="127">
      <c r="A127" s="1" t="s">
        <v>1098</v>
      </c>
      <c r="B127" s="1" t="s">
        <v>1099</v>
      </c>
      <c r="C127" s="1" t="s">
        <v>1100</v>
      </c>
      <c r="D127" s="1" t="s">
        <v>1101</v>
      </c>
      <c r="E127" s="1" t="s">
        <v>194</v>
      </c>
      <c r="F127" s="1" t="s">
        <v>62</v>
      </c>
      <c r="G127" s="1" t="s">
        <v>63</v>
      </c>
      <c r="H127" s="2">
        <v>8780000.0</v>
      </c>
      <c r="I127" s="1">
        <v>0.0</v>
      </c>
      <c r="J127" s="1" t="s">
        <v>73</v>
      </c>
      <c r="K127" s="5">
        <v>46177.0</v>
      </c>
      <c r="L127" s="4" t="str">
        <f t="shared" si="1"/>
        <v>Claudio Fuentes Pérez</v>
      </c>
      <c r="M127" s="6" t="str">
        <f t="shared" si="2"/>
        <v>11492005-4</v>
      </c>
      <c r="N127" s="6" t="str">
        <f t="shared" si="3"/>
        <v>Las Condes - Santiago - Región Metropolitana</v>
      </c>
      <c r="O127" s="4"/>
    </row>
    <row r="128">
      <c r="A128" s="1" t="s">
        <v>1109</v>
      </c>
      <c r="B128" s="1" t="s">
        <v>1110</v>
      </c>
      <c r="C128" s="1" t="s">
        <v>1111</v>
      </c>
      <c r="D128" s="1" t="s">
        <v>1113</v>
      </c>
      <c r="E128" s="1" t="s">
        <v>26</v>
      </c>
      <c r="F128" s="1" t="s">
        <v>26</v>
      </c>
      <c r="G128" s="1" t="s">
        <v>27</v>
      </c>
      <c r="H128" s="2">
        <v>4380000.0</v>
      </c>
      <c r="I128" s="1">
        <v>60.0</v>
      </c>
      <c r="J128" s="1" t="s">
        <v>28</v>
      </c>
      <c r="K128" s="5">
        <v>46216.0</v>
      </c>
      <c r="L128" s="4" t="str">
        <f t="shared" si="1"/>
        <v>Javiera Muñoz Sepúlveda</v>
      </c>
      <c r="M128" s="6" t="str">
        <f t="shared" si="2"/>
        <v>19888134-9</v>
      </c>
      <c r="N128" s="6" t="str">
        <f t="shared" si="3"/>
        <v>Valparaíso - Valparaíso - Región de Valparaíso</v>
      </c>
      <c r="O128" s="4"/>
    </row>
    <row r="129">
      <c r="A129" s="1" t="s">
        <v>1120</v>
      </c>
      <c r="B129" s="1" t="s">
        <v>1123</v>
      </c>
      <c r="C129" s="1" t="s">
        <v>1124</v>
      </c>
      <c r="D129" s="1" t="s">
        <v>1125</v>
      </c>
      <c r="E129" s="1" t="s">
        <v>45</v>
      </c>
      <c r="F129" s="1" t="s">
        <v>45</v>
      </c>
      <c r="G129" s="1" t="s">
        <v>46</v>
      </c>
      <c r="H129" s="2">
        <v>1.155E7</v>
      </c>
      <c r="I129" s="1">
        <v>0.0</v>
      </c>
      <c r="J129" s="1" t="s">
        <v>97</v>
      </c>
      <c r="K129" s="5">
        <v>46041.0</v>
      </c>
      <c r="L129" s="4" t="str">
        <f t="shared" si="1"/>
        <v>Gonzalo Pérez Morales</v>
      </c>
      <c r="M129" s="6" t="str">
        <f t="shared" si="2"/>
        <v>14.640.218-2</v>
      </c>
      <c r="N129" s="6" t="str">
        <f t="shared" si="3"/>
        <v>Temuco - Temuco - Región de la Araucanía</v>
      </c>
      <c r="O129" s="4"/>
    </row>
    <row r="130">
      <c r="A130" s="1" t="s">
        <v>1128</v>
      </c>
      <c r="B130" s="1" t="s">
        <v>1129</v>
      </c>
      <c r="C130" s="1" t="s">
        <v>1130</v>
      </c>
      <c r="D130" s="1" t="s">
        <v>1132</v>
      </c>
      <c r="E130" s="1" t="s">
        <v>118</v>
      </c>
      <c r="F130" s="1" t="s">
        <v>62</v>
      </c>
      <c r="G130" s="1" t="s">
        <v>63</v>
      </c>
      <c r="H130" s="2">
        <v>1680000.0</v>
      </c>
      <c r="I130" s="1">
        <v>0.0</v>
      </c>
      <c r="J130" s="1" t="s">
        <v>97</v>
      </c>
      <c r="K130" s="5">
        <v>46198.0</v>
      </c>
      <c r="L130" s="4" t="str">
        <f t="shared" si="1"/>
        <v>Carolina Contreras Espinoza</v>
      </c>
      <c r="M130" s="6" t="str">
        <f t="shared" si="2"/>
        <v>14.053.360-1</v>
      </c>
      <c r="N130" s="6" t="str">
        <f t="shared" si="3"/>
        <v>Maipú - Santiago - Región Metropolitana</v>
      </c>
      <c r="O130" s="4"/>
    </row>
    <row r="131">
      <c r="A131" s="1" t="s">
        <v>329</v>
      </c>
      <c r="B131" s="1" t="s">
        <v>331</v>
      </c>
      <c r="C131" s="1" t="s">
        <v>333</v>
      </c>
      <c r="D131" s="1" t="s">
        <v>334</v>
      </c>
      <c r="E131" s="1" t="s">
        <v>18</v>
      </c>
      <c r="F131" s="1" t="s">
        <v>18</v>
      </c>
      <c r="G131" s="1" t="s">
        <v>19</v>
      </c>
      <c r="H131" s="2">
        <v>1270000.0</v>
      </c>
      <c r="I131" s="1">
        <v>30.0</v>
      </c>
      <c r="J131" s="1" t="s">
        <v>47</v>
      </c>
      <c r="K131" s="5">
        <v>46049.0</v>
      </c>
      <c r="L131" s="4" t="str">
        <f t="shared" si="1"/>
        <v>Álvaro Rojas Contreras</v>
      </c>
      <c r="M131" s="6" t="str">
        <f t="shared" si="2"/>
        <v>22344182-8</v>
      </c>
      <c r="N131" s="6" t="str">
        <f t="shared" si="3"/>
        <v>La Serena - La Serena - Región de Coquimbo</v>
      </c>
      <c r="O131" s="4"/>
    </row>
    <row r="132">
      <c r="A132" s="1" t="s">
        <v>1147</v>
      </c>
      <c r="B132" s="1" t="s">
        <v>1148</v>
      </c>
      <c r="C132" s="1" t="s">
        <v>1149</v>
      </c>
      <c r="D132" s="1" t="s">
        <v>1150</v>
      </c>
      <c r="E132" s="1" t="s">
        <v>45</v>
      </c>
      <c r="F132" s="1" t="s">
        <v>45</v>
      </c>
      <c r="G132" s="1" t="s">
        <v>46</v>
      </c>
      <c r="H132" s="2">
        <v>4390000.0</v>
      </c>
      <c r="I132" s="1">
        <v>15.0</v>
      </c>
      <c r="J132" s="1" t="s">
        <v>28</v>
      </c>
      <c r="K132" s="5">
        <v>46220.0</v>
      </c>
      <c r="L132" s="4" t="str">
        <f t="shared" si="1"/>
        <v>Macarena Pérez González</v>
      </c>
      <c r="M132" s="6" t="str">
        <f t="shared" si="2"/>
        <v>17.980.299-5</v>
      </c>
      <c r="N132" s="6" t="str">
        <f t="shared" si="3"/>
        <v>Temuco - Temuco - Región de la Araucanía</v>
      </c>
      <c r="O132" s="4"/>
    </row>
    <row r="133">
      <c r="A133" s="1" t="s">
        <v>1154</v>
      </c>
      <c r="B133" s="1" t="s">
        <v>1155</v>
      </c>
      <c r="C133" s="1" t="s">
        <v>1156</v>
      </c>
      <c r="D133" s="1" t="s">
        <v>1157</v>
      </c>
      <c r="E133" s="1" t="s">
        <v>56</v>
      </c>
      <c r="F133" s="1" t="s">
        <v>39</v>
      </c>
      <c r="G133" s="1" t="s">
        <v>40</v>
      </c>
      <c r="H133" s="2">
        <v>1.74E7</v>
      </c>
      <c r="I133" s="1">
        <v>120.0</v>
      </c>
      <c r="J133" s="1" t="s">
        <v>20</v>
      </c>
      <c r="K133" s="5">
        <v>46023.0</v>
      </c>
      <c r="L133" s="4" t="str">
        <f t="shared" si="1"/>
        <v>Felipe Díaz Tapia</v>
      </c>
      <c r="M133" s="6" t="str">
        <f t="shared" si="2"/>
        <v>14.761.892-9</v>
      </c>
      <c r="N133" s="6" t="str">
        <f t="shared" si="3"/>
        <v>Talcahuano - Concepción - Región del Biobío</v>
      </c>
      <c r="O133" s="4"/>
    </row>
    <row r="134">
      <c r="A134" s="1" t="s">
        <v>1164</v>
      </c>
      <c r="B134" s="1" t="s">
        <v>1165</v>
      </c>
      <c r="C134" s="1" t="s">
        <v>1166</v>
      </c>
      <c r="D134" s="1" t="s">
        <v>1167</v>
      </c>
      <c r="E134" s="1" t="s">
        <v>25</v>
      </c>
      <c r="F134" s="1" t="s">
        <v>26</v>
      </c>
      <c r="G134" s="1" t="s">
        <v>27</v>
      </c>
      <c r="H134" s="2">
        <v>9900000.0</v>
      </c>
      <c r="I134" s="1">
        <v>60.0</v>
      </c>
      <c r="J134" s="1" t="s">
        <v>97</v>
      </c>
      <c r="K134" s="5">
        <v>46102.0</v>
      </c>
      <c r="L134" s="4" t="str">
        <f t="shared" si="1"/>
        <v>Catalina Valenzuela Morales</v>
      </c>
      <c r="M134" s="6" t="str">
        <f t="shared" si="2"/>
        <v>15175033-2</v>
      </c>
      <c r="N134" s="6" t="str">
        <f t="shared" si="3"/>
        <v>Viña del Mar - Valparaíso - Región de Valparaíso</v>
      </c>
      <c r="O134" s="4"/>
    </row>
    <row r="135">
      <c r="A135" s="1" t="s">
        <v>1171</v>
      </c>
      <c r="B135" s="1" t="s">
        <v>1173</v>
      </c>
      <c r="C135" s="1" t="s">
        <v>1174</v>
      </c>
      <c r="D135" s="1" t="s">
        <v>1175</v>
      </c>
      <c r="E135" s="1" t="s">
        <v>158</v>
      </c>
      <c r="F135" s="1" t="s">
        <v>158</v>
      </c>
      <c r="G135" s="1" t="s">
        <v>159</v>
      </c>
      <c r="H135" s="2">
        <v>2960000.0</v>
      </c>
      <c r="I135" s="1">
        <v>0.0</v>
      </c>
      <c r="J135" s="1" t="s">
        <v>47</v>
      </c>
      <c r="K135" s="5">
        <v>46108.0</v>
      </c>
      <c r="L135" s="4" t="str">
        <f t="shared" si="1"/>
        <v>Matías Valenzuela López</v>
      </c>
      <c r="M135" s="6" t="str">
        <f t="shared" si="2"/>
        <v>16.712.548-7</v>
      </c>
      <c r="N135" s="6" t="str">
        <f t="shared" si="3"/>
        <v>Antofagasta - Antofagasta - Región de Antofagasta</v>
      </c>
      <c r="O135" s="4"/>
    </row>
    <row r="136">
      <c r="A136" s="1" t="s">
        <v>1116</v>
      </c>
      <c r="B136" s="1" t="s">
        <v>1118</v>
      </c>
      <c r="C136" s="1" t="s">
        <v>1119</v>
      </c>
      <c r="D136" s="1" t="s">
        <v>1121</v>
      </c>
      <c r="E136" s="1" t="s">
        <v>39</v>
      </c>
      <c r="F136" s="1" t="s">
        <v>39</v>
      </c>
      <c r="G136" s="1" t="s">
        <v>40</v>
      </c>
      <c r="H136" s="2">
        <v>1.942E7</v>
      </c>
      <c r="I136" s="1">
        <v>15.0</v>
      </c>
      <c r="J136" s="1" t="s">
        <v>20</v>
      </c>
      <c r="K136" s="5">
        <v>46079.0</v>
      </c>
      <c r="L136" s="4" t="str">
        <f t="shared" si="1"/>
        <v>Beatriz Fuentes Espinoza</v>
      </c>
      <c r="M136" s="6" t="str">
        <f t="shared" si="2"/>
        <v>18.456.416-2</v>
      </c>
      <c r="N136" s="6" t="str">
        <f t="shared" si="3"/>
        <v>Concepción - Concepción - Región del Biobío</v>
      </c>
      <c r="O136" s="4"/>
    </row>
    <row r="137">
      <c r="A137" s="1" t="s">
        <v>1187</v>
      </c>
      <c r="B137" s="1" t="s">
        <v>1189</v>
      </c>
      <c r="C137" s="1" t="s">
        <v>1191</v>
      </c>
      <c r="D137" s="1" t="s">
        <v>1193</v>
      </c>
      <c r="E137" s="1" t="s">
        <v>61</v>
      </c>
      <c r="F137" s="1" t="s">
        <v>62</v>
      </c>
      <c r="G137" s="1" t="s">
        <v>63</v>
      </c>
      <c r="H137" s="2">
        <v>7810000.0</v>
      </c>
      <c r="I137" s="1">
        <v>30.0</v>
      </c>
      <c r="J137" s="1" t="s">
        <v>73</v>
      </c>
      <c r="K137" s="5">
        <v>46071.0</v>
      </c>
      <c r="L137" s="4" t="str">
        <f t="shared" si="1"/>
        <v>Ignacio Araya Pérez</v>
      </c>
      <c r="M137" s="6" t="str">
        <f t="shared" si="2"/>
        <v>13.947.751-1</v>
      </c>
      <c r="N137" s="6" t="str">
        <f t="shared" si="3"/>
        <v>Santiago Centro - Santiago - Región Metropolitana</v>
      </c>
      <c r="O137" s="4"/>
    </row>
    <row r="138">
      <c r="A138" s="1" t="s">
        <v>1197</v>
      </c>
      <c r="B138" s="1" t="s">
        <v>1198</v>
      </c>
      <c r="C138" s="1" t="s">
        <v>1199</v>
      </c>
      <c r="D138" s="1" t="s">
        <v>1201</v>
      </c>
      <c r="E138" s="1" t="s">
        <v>109</v>
      </c>
      <c r="F138" s="1" t="s">
        <v>62</v>
      </c>
      <c r="G138" s="1" t="s">
        <v>63</v>
      </c>
      <c r="H138" s="2">
        <v>1.154E7</v>
      </c>
      <c r="I138" s="1">
        <v>15.0</v>
      </c>
      <c r="J138" s="1" t="s">
        <v>73</v>
      </c>
      <c r="K138" s="5">
        <v>46024.0</v>
      </c>
      <c r="L138" s="4" t="str">
        <f t="shared" si="1"/>
        <v>Paula Pérez Araya</v>
      </c>
      <c r="M138" s="6" t="str">
        <f t="shared" si="2"/>
        <v>12619604-1</v>
      </c>
      <c r="N138" s="6" t="str">
        <f t="shared" si="3"/>
        <v>Ñuñoa - Santiago - Región Metropolitana</v>
      </c>
      <c r="O138" s="4"/>
    </row>
    <row r="139">
      <c r="A139" s="1" t="s">
        <v>1210</v>
      </c>
      <c r="B139" s="1" t="s">
        <v>1211</v>
      </c>
      <c r="C139" s="1" t="s">
        <v>1212</v>
      </c>
      <c r="D139" s="1" t="s">
        <v>1213</v>
      </c>
      <c r="E139" s="1" t="s">
        <v>194</v>
      </c>
      <c r="F139" s="1" t="s">
        <v>62</v>
      </c>
      <c r="G139" s="1" t="s">
        <v>63</v>
      </c>
      <c r="H139" s="2">
        <v>1.078E7</v>
      </c>
      <c r="I139" s="1">
        <v>0.0</v>
      </c>
      <c r="J139" s="1" t="s">
        <v>28</v>
      </c>
      <c r="K139" s="5">
        <v>46137.0</v>
      </c>
      <c r="L139" s="4" t="str">
        <f t="shared" si="1"/>
        <v>Cristián Fuentes López</v>
      </c>
      <c r="M139" s="6" t="str">
        <f t="shared" si="2"/>
        <v>15.894.833-4</v>
      </c>
      <c r="N139" s="6" t="str">
        <f t="shared" si="3"/>
        <v>Las Condes - Santiago - Región Metropolitana</v>
      </c>
      <c r="O139" s="4"/>
    </row>
    <row r="140">
      <c r="A140" s="1" t="s">
        <v>1217</v>
      </c>
      <c r="B140" s="1" t="s">
        <v>1218</v>
      </c>
      <c r="C140" s="1" t="s">
        <v>1219</v>
      </c>
      <c r="D140" s="1" t="s">
        <v>1220</v>
      </c>
      <c r="E140" s="1" t="s">
        <v>45</v>
      </c>
      <c r="F140" s="1" t="s">
        <v>45</v>
      </c>
      <c r="G140" s="1" t="s">
        <v>46</v>
      </c>
      <c r="H140" s="2">
        <v>1.198E7</v>
      </c>
      <c r="I140" s="1">
        <v>0.0</v>
      </c>
      <c r="J140" s="1" t="s">
        <v>47</v>
      </c>
      <c r="K140" s="5">
        <v>46136.0</v>
      </c>
      <c r="L140" s="4" t="str">
        <f t="shared" si="1"/>
        <v>Sofia Tapia Valenzuela</v>
      </c>
      <c r="M140" s="6" t="str">
        <f t="shared" si="2"/>
        <v>12.921.500-1</v>
      </c>
      <c r="N140" s="6" t="str">
        <f t="shared" si="3"/>
        <v>Temuco - Temuco - Región de la Araucanía</v>
      </c>
      <c r="O140" s="4"/>
    </row>
    <row r="141">
      <c r="A141" s="1" t="s">
        <v>1227</v>
      </c>
      <c r="B141" s="1" t="s">
        <v>1229</v>
      </c>
      <c r="C141" s="1" t="s">
        <v>1230</v>
      </c>
      <c r="D141" s="1" t="s">
        <v>1231</v>
      </c>
      <c r="E141" s="1" t="s">
        <v>109</v>
      </c>
      <c r="F141" s="1" t="s">
        <v>62</v>
      </c>
      <c r="G141" s="1" t="s">
        <v>63</v>
      </c>
      <c r="H141" s="2">
        <v>7800000.0</v>
      </c>
      <c r="I141" s="1">
        <v>45.0</v>
      </c>
      <c r="J141" s="1" t="s">
        <v>28</v>
      </c>
      <c r="K141" s="5">
        <v>46168.0</v>
      </c>
      <c r="L141" s="4" t="str">
        <f t="shared" si="1"/>
        <v>Cristián Muñoz Tapia</v>
      </c>
      <c r="M141" s="6" t="str">
        <f t="shared" si="2"/>
        <v>14.363.811-1</v>
      </c>
      <c r="N141" s="6" t="str">
        <f t="shared" si="3"/>
        <v>Ñuñoa - Santiago - Región Metropolitana</v>
      </c>
      <c r="O141" s="4"/>
    </row>
    <row r="142">
      <c r="A142" s="1" t="s">
        <v>1236</v>
      </c>
      <c r="B142" s="1" t="s">
        <v>1237</v>
      </c>
      <c r="C142" s="1" t="s">
        <v>1238</v>
      </c>
      <c r="D142" s="1" t="s">
        <v>1240</v>
      </c>
      <c r="E142" s="1" t="s">
        <v>18</v>
      </c>
      <c r="F142" s="1" t="s">
        <v>18</v>
      </c>
      <c r="G142" s="1" t="s">
        <v>19</v>
      </c>
      <c r="H142" s="2">
        <v>1.316E7</v>
      </c>
      <c r="I142" s="1">
        <v>15.0</v>
      </c>
      <c r="J142" s="1" t="s">
        <v>73</v>
      </c>
      <c r="K142" s="5">
        <v>46049.0</v>
      </c>
      <c r="L142" s="4" t="str">
        <f t="shared" si="1"/>
        <v>Carolina Contreras Pérez</v>
      </c>
      <c r="M142" s="6" t="str">
        <f t="shared" si="2"/>
        <v>15.748.609-1</v>
      </c>
      <c r="N142" s="6" t="str">
        <f t="shared" si="3"/>
        <v>La Serena - La Serena - Región de Coquimbo</v>
      </c>
      <c r="O142" s="4"/>
    </row>
    <row r="143">
      <c r="A143" s="1" t="s">
        <v>1256</v>
      </c>
      <c r="B143" s="1" t="s">
        <v>1257</v>
      </c>
      <c r="C143" s="1" t="s">
        <v>1259</v>
      </c>
      <c r="D143" s="1" t="s">
        <v>1261</v>
      </c>
      <c r="E143" s="1" t="s">
        <v>25</v>
      </c>
      <c r="F143" s="1" t="s">
        <v>26</v>
      </c>
      <c r="G143" s="1" t="s">
        <v>27</v>
      </c>
      <c r="H143" s="2">
        <v>1390000.0</v>
      </c>
      <c r="I143" s="1">
        <v>0.0</v>
      </c>
      <c r="J143" s="1" t="s">
        <v>47</v>
      </c>
      <c r="K143" s="5">
        <v>46040.0</v>
      </c>
      <c r="L143" s="4" t="str">
        <f t="shared" si="1"/>
        <v>Mauricio Fuentes Soto</v>
      </c>
      <c r="M143" s="6" t="str">
        <f t="shared" si="2"/>
        <v>12019949-K</v>
      </c>
      <c r="N143" s="6" t="str">
        <f t="shared" si="3"/>
        <v>Viña del Mar - Valparaíso - Región de Valparaíso</v>
      </c>
      <c r="O143" s="4"/>
    </row>
    <row r="144">
      <c r="A144" s="1" t="s">
        <v>1268</v>
      </c>
      <c r="B144" s="1" t="s">
        <v>1269</v>
      </c>
      <c r="C144" s="1" t="s">
        <v>1270</v>
      </c>
      <c r="D144" s="1" t="s">
        <v>1272</v>
      </c>
      <c r="E144" s="1" t="s">
        <v>158</v>
      </c>
      <c r="F144" s="1" t="s">
        <v>158</v>
      </c>
      <c r="G144" s="1" t="s">
        <v>159</v>
      </c>
      <c r="H144" s="2">
        <v>7920000.0</v>
      </c>
      <c r="I144" s="1">
        <v>15.0</v>
      </c>
      <c r="J144" s="1" t="s">
        <v>28</v>
      </c>
      <c r="K144" s="5">
        <v>46135.0</v>
      </c>
      <c r="L144" s="4" t="str">
        <f t="shared" si="1"/>
        <v>Marcela López Vergara</v>
      </c>
      <c r="M144" s="6" t="str">
        <f t="shared" si="2"/>
        <v>17.537.410-9</v>
      </c>
      <c r="N144" s="6" t="str">
        <f t="shared" si="3"/>
        <v>Antofagasta - Antofagasta - Región de Antofagasta</v>
      </c>
      <c r="O144" s="4"/>
    </row>
    <row r="145">
      <c r="A145" s="1" t="s">
        <v>1277</v>
      </c>
      <c r="B145" s="1" t="s">
        <v>1279</v>
      </c>
      <c r="C145" s="1" t="s">
        <v>50</v>
      </c>
      <c r="D145" s="1" t="s">
        <v>1280</v>
      </c>
      <c r="E145" s="1" t="s">
        <v>72</v>
      </c>
      <c r="F145" s="1" t="s">
        <v>62</v>
      </c>
      <c r="G145" s="1" t="s">
        <v>63</v>
      </c>
      <c r="H145" s="2">
        <v>1.952E7</v>
      </c>
      <c r="I145" s="1">
        <v>0.0</v>
      </c>
      <c r="J145" s="1" t="s">
        <v>20</v>
      </c>
      <c r="K145" s="5">
        <v>46164.0</v>
      </c>
      <c r="L145" s="4" t="str">
        <f t="shared" si="1"/>
        <v>Ignacio Soto Vergara</v>
      </c>
      <c r="M145" s="6" t="str">
        <f t="shared" si="2"/>
        <v>19540155-7</v>
      </c>
      <c r="N145" s="6" t="str">
        <f t="shared" si="3"/>
        <v>Providencia - Santiago - Región Metropolitana</v>
      </c>
      <c r="O145" s="4"/>
    </row>
    <row r="146">
      <c r="A146" s="1" t="s">
        <v>1287</v>
      </c>
      <c r="B146" s="1" t="s">
        <v>1288</v>
      </c>
      <c r="C146" s="1" t="s">
        <v>1290</v>
      </c>
      <c r="D146" s="1" t="s">
        <v>1291</v>
      </c>
      <c r="E146" s="1" t="s">
        <v>26</v>
      </c>
      <c r="F146" s="1" t="s">
        <v>26</v>
      </c>
      <c r="G146" s="1" t="s">
        <v>27</v>
      </c>
      <c r="H146" s="2">
        <v>1.858E7</v>
      </c>
      <c r="I146" s="1">
        <v>90.0</v>
      </c>
      <c r="J146" s="1" t="s">
        <v>73</v>
      </c>
      <c r="K146" s="5">
        <v>46210.0</v>
      </c>
      <c r="L146" s="4" t="str">
        <f t="shared" si="1"/>
        <v>Camila Rodríguez Silva</v>
      </c>
      <c r="M146" s="6" t="str">
        <f t="shared" si="2"/>
        <v>20.569.422-4</v>
      </c>
      <c r="N146" s="6" t="str">
        <f t="shared" si="3"/>
        <v>Valparaíso - Valparaíso - Región de Valparaíso</v>
      </c>
      <c r="O146" s="4"/>
    </row>
    <row r="147">
      <c r="A147" s="1" t="s">
        <v>1300</v>
      </c>
      <c r="B147" s="1" t="s">
        <v>1301</v>
      </c>
      <c r="C147" s="1" t="s">
        <v>1303</v>
      </c>
      <c r="D147" s="1" t="s">
        <v>1305</v>
      </c>
      <c r="E147" s="1" t="s">
        <v>109</v>
      </c>
      <c r="F147" s="1" t="s">
        <v>62</v>
      </c>
      <c r="G147" s="1" t="s">
        <v>63</v>
      </c>
      <c r="H147" s="2">
        <v>1.052E7</v>
      </c>
      <c r="I147" s="1">
        <v>0.0</v>
      </c>
      <c r="J147" s="1" t="s">
        <v>97</v>
      </c>
      <c r="K147" s="5">
        <v>46197.0</v>
      </c>
      <c r="L147" s="4" t="str">
        <f t="shared" si="1"/>
        <v>Hernán Tapia Muñoz</v>
      </c>
      <c r="M147" s="6" t="str">
        <f t="shared" si="2"/>
        <v>21.587.796-6</v>
      </c>
      <c r="N147" s="6" t="str">
        <f t="shared" si="3"/>
        <v>Ñuñoa - Santiago - Región Metropolitana</v>
      </c>
      <c r="O147" s="4"/>
    </row>
    <row r="148">
      <c r="A148" s="1" t="s">
        <v>1310</v>
      </c>
      <c r="B148" s="1" t="s">
        <v>1311</v>
      </c>
      <c r="C148" s="1" t="s">
        <v>1312</v>
      </c>
      <c r="D148" s="1" t="s">
        <v>1313</v>
      </c>
      <c r="E148" s="1" t="s">
        <v>45</v>
      </c>
      <c r="F148" s="1" t="s">
        <v>45</v>
      </c>
      <c r="G148" s="1" t="s">
        <v>46</v>
      </c>
      <c r="H148" s="2">
        <v>1.941E7</v>
      </c>
      <c r="I148" s="1">
        <v>45.0</v>
      </c>
      <c r="J148" s="1" t="s">
        <v>97</v>
      </c>
      <c r="K148" s="5">
        <v>46026.0</v>
      </c>
      <c r="L148" s="4" t="str">
        <f t="shared" si="1"/>
        <v>Francisca Valenzuela Pérez</v>
      </c>
      <c r="M148" s="6" t="str">
        <f t="shared" si="2"/>
        <v>13.034.986-8</v>
      </c>
      <c r="N148" s="6" t="str">
        <f t="shared" si="3"/>
        <v>Temuco - Temuco - Región de la Araucanía</v>
      </c>
      <c r="O148" s="4"/>
    </row>
    <row r="149">
      <c r="A149" s="1" t="s">
        <v>1317</v>
      </c>
      <c r="B149" s="1" t="s">
        <v>1319</v>
      </c>
      <c r="C149" s="1" t="s">
        <v>1320</v>
      </c>
      <c r="D149" s="1" t="s">
        <v>1321</v>
      </c>
      <c r="E149" s="1" t="s">
        <v>18</v>
      </c>
      <c r="F149" s="1" t="s">
        <v>18</v>
      </c>
      <c r="G149" s="1" t="s">
        <v>19</v>
      </c>
      <c r="H149" s="2">
        <v>7800000.0</v>
      </c>
      <c r="I149" s="1">
        <v>60.0</v>
      </c>
      <c r="J149" s="1" t="s">
        <v>73</v>
      </c>
      <c r="K149" s="5">
        <v>46102.0</v>
      </c>
      <c r="L149" s="4" t="str">
        <f t="shared" si="1"/>
        <v>Rodrigo Sepúlveda Espinoza</v>
      </c>
      <c r="M149" s="6" t="str">
        <f t="shared" si="2"/>
        <v>16.049.078-K</v>
      </c>
      <c r="N149" s="6" t="str">
        <f t="shared" si="3"/>
        <v>La Serena - La Serena - Región de Coquimbo</v>
      </c>
      <c r="O149" s="4"/>
    </row>
    <row r="150">
      <c r="A150" s="1" t="s">
        <v>1329</v>
      </c>
      <c r="B150" s="1" t="s">
        <v>1330</v>
      </c>
      <c r="C150" s="1" t="s">
        <v>1332</v>
      </c>
      <c r="D150" s="1" t="s">
        <v>1333</v>
      </c>
      <c r="E150" s="1" t="s">
        <v>33</v>
      </c>
      <c r="F150" s="1" t="s">
        <v>33</v>
      </c>
      <c r="G150" s="1" t="s">
        <v>34</v>
      </c>
      <c r="H150" s="2">
        <v>1.104E7</v>
      </c>
      <c r="I150" s="1">
        <v>45.0</v>
      </c>
      <c r="J150" s="1" t="s">
        <v>28</v>
      </c>
      <c r="K150" s="5">
        <v>46087.0</v>
      </c>
      <c r="L150" s="4" t="str">
        <f t="shared" si="1"/>
        <v>Catalina Rojas Araya</v>
      </c>
      <c r="M150" s="6" t="str">
        <f t="shared" si="2"/>
        <v>22.439.068-5</v>
      </c>
      <c r="N150" s="6" t="str">
        <f t="shared" si="3"/>
        <v>Puerto Montt - Puerto Montt - Región de Los Lagos</v>
      </c>
      <c r="O150" s="4"/>
    </row>
    <row r="151">
      <c r="A151" s="1" t="s">
        <v>1337</v>
      </c>
      <c r="B151" s="1" t="s">
        <v>1338</v>
      </c>
      <c r="C151" s="1" t="s">
        <v>1339</v>
      </c>
      <c r="D151" s="1" t="s">
        <v>1342</v>
      </c>
      <c r="E151" s="1" t="s">
        <v>109</v>
      </c>
      <c r="F151" s="1" t="s">
        <v>62</v>
      </c>
      <c r="G151" s="1" t="s">
        <v>63</v>
      </c>
      <c r="H151" s="2">
        <v>1.121E7</v>
      </c>
      <c r="I151" s="1">
        <v>0.0</v>
      </c>
      <c r="J151" s="1" t="s">
        <v>20</v>
      </c>
      <c r="K151" s="5">
        <v>46149.0</v>
      </c>
      <c r="L151" s="4" t="str">
        <f t="shared" si="1"/>
        <v>Esteban Fuentes Araya</v>
      </c>
      <c r="M151" s="6" t="str">
        <f t="shared" si="2"/>
        <v>12.793.884-2</v>
      </c>
      <c r="N151" s="6" t="str">
        <f t="shared" si="3"/>
        <v>Ñuñoa - Santiago - Región Metropolitana</v>
      </c>
      <c r="O151" s="4"/>
    </row>
    <row r="152">
      <c r="A152" s="1" t="s">
        <v>1348</v>
      </c>
      <c r="B152" s="1" t="s">
        <v>1349</v>
      </c>
      <c r="C152" s="1" t="s">
        <v>1350</v>
      </c>
      <c r="D152" s="1" t="s">
        <v>1351</v>
      </c>
      <c r="E152" s="1" t="s">
        <v>25</v>
      </c>
      <c r="F152" s="1" t="s">
        <v>26</v>
      </c>
      <c r="G152" s="1" t="s">
        <v>27</v>
      </c>
      <c r="H152" s="2">
        <v>8390000.0</v>
      </c>
      <c r="I152" s="1">
        <v>0.0</v>
      </c>
      <c r="J152" s="1" t="s">
        <v>28</v>
      </c>
      <c r="K152" s="5">
        <v>46023.0</v>
      </c>
      <c r="L152" s="4" t="str">
        <f t="shared" si="1"/>
        <v>Paula Rojas Vergara</v>
      </c>
      <c r="M152" s="6" t="str">
        <f t="shared" si="2"/>
        <v>12.722.794-2</v>
      </c>
      <c r="N152" s="6" t="str">
        <f t="shared" si="3"/>
        <v>Viña del Mar - Valparaíso - Región de Valparaíso</v>
      </c>
      <c r="O152" s="4"/>
    </row>
    <row r="153">
      <c r="A153" s="1" t="s">
        <v>1360</v>
      </c>
      <c r="B153" s="1" t="s">
        <v>1361</v>
      </c>
      <c r="C153" s="1" t="s">
        <v>1362</v>
      </c>
      <c r="D153" s="1" t="s">
        <v>1363</v>
      </c>
      <c r="E153" s="1" t="s">
        <v>45</v>
      </c>
      <c r="F153" s="1" t="s">
        <v>45</v>
      </c>
      <c r="G153" s="1" t="s">
        <v>46</v>
      </c>
      <c r="H153" s="2">
        <v>1.348E7</v>
      </c>
      <c r="I153" s="1">
        <v>0.0</v>
      </c>
      <c r="J153" s="1" t="s">
        <v>20</v>
      </c>
      <c r="K153" s="5">
        <v>46148.0</v>
      </c>
      <c r="L153" s="4" t="str">
        <f t="shared" si="1"/>
        <v>Felipe Tapia Sepúlveda</v>
      </c>
      <c r="M153" s="6" t="str">
        <f t="shared" si="2"/>
        <v>21.144.931-6</v>
      </c>
      <c r="N153" s="6" t="str">
        <f t="shared" si="3"/>
        <v>Temuco - Temuco - Región de la Araucanía</v>
      </c>
      <c r="O153" s="4"/>
    </row>
    <row r="154">
      <c r="A154" s="1" t="s">
        <v>1367</v>
      </c>
      <c r="B154" s="1" t="s">
        <v>1368</v>
      </c>
      <c r="C154" s="1" t="s">
        <v>1370</v>
      </c>
      <c r="D154" s="1" t="s">
        <v>1372</v>
      </c>
      <c r="E154" s="1" t="s">
        <v>25</v>
      </c>
      <c r="F154" s="1" t="s">
        <v>26</v>
      </c>
      <c r="G154" s="1" t="s">
        <v>27</v>
      </c>
      <c r="H154" s="2">
        <v>1.743E7</v>
      </c>
      <c r="I154" s="1">
        <v>15.0</v>
      </c>
      <c r="J154" s="1" t="s">
        <v>73</v>
      </c>
      <c r="K154" s="5">
        <v>46055.0</v>
      </c>
      <c r="L154" s="4" t="str">
        <f t="shared" si="1"/>
        <v>Catalina Contreras Silva</v>
      </c>
      <c r="M154" s="6" t="str">
        <f t="shared" si="2"/>
        <v>12.128.111-6</v>
      </c>
      <c r="N154" s="6" t="str">
        <f t="shared" si="3"/>
        <v>Viña del Mar - Valparaíso - Región de Valparaíso</v>
      </c>
      <c r="O154" s="4"/>
    </row>
    <row r="155">
      <c r="A155" s="1" t="s">
        <v>1377</v>
      </c>
      <c r="B155" s="1" t="s">
        <v>1379</v>
      </c>
      <c r="C155" s="1" t="s">
        <v>1380</v>
      </c>
      <c r="D155" s="1" t="s">
        <v>1382</v>
      </c>
      <c r="E155" s="1" t="s">
        <v>118</v>
      </c>
      <c r="F155" s="1" t="s">
        <v>62</v>
      </c>
      <c r="G155" s="1" t="s">
        <v>63</v>
      </c>
      <c r="H155" s="2">
        <v>4970000.0</v>
      </c>
      <c r="I155" s="1">
        <v>90.0</v>
      </c>
      <c r="J155" s="1" t="s">
        <v>28</v>
      </c>
      <c r="K155" s="5">
        <v>46120.0</v>
      </c>
      <c r="L155" s="4" t="str">
        <f t="shared" si="1"/>
        <v>Matías Fuentes Contreras</v>
      </c>
      <c r="M155" s="6" t="str">
        <f t="shared" si="2"/>
        <v>22.116.094-3</v>
      </c>
      <c r="N155" s="6" t="str">
        <f t="shared" si="3"/>
        <v>Maipú - Santiago - Región Metropolitana</v>
      </c>
      <c r="O155" s="4"/>
    </row>
    <row r="156">
      <c r="A156" s="1" t="s">
        <v>1391</v>
      </c>
      <c r="B156" s="1" t="s">
        <v>1392</v>
      </c>
      <c r="C156" s="1" t="s">
        <v>1393</v>
      </c>
      <c r="D156" s="1" t="s">
        <v>1394</v>
      </c>
      <c r="E156" s="1" t="s">
        <v>18</v>
      </c>
      <c r="F156" s="1" t="s">
        <v>18</v>
      </c>
      <c r="G156" s="1" t="s">
        <v>19</v>
      </c>
      <c r="H156" s="2">
        <v>1.106E7</v>
      </c>
      <c r="I156" s="1">
        <v>0.0</v>
      </c>
      <c r="J156" s="1" t="s">
        <v>97</v>
      </c>
      <c r="K156" s="5">
        <v>46086.0</v>
      </c>
      <c r="L156" s="4" t="str">
        <f t="shared" si="1"/>
        <v>Fernanda Valenzuela Araya</v>
      </c>
      <c r="M156" s="6" t="str">
        <f t="shared" si="2"/>
        <v>21.060.298-5</v>
      </c>
      <c r="N156" s="6" t="str">
        <f t="shared" si="3"/>
        <v>La Serena - La Serena - Región de Coquimbo</v>
      </c>
      <c r="O156" s="4"/>
    </row>
    <row r="157">
      <c r="A157" s="1" t="s">
        <v>1404</v>
      </c>
      <c r="B157" s="1" t="s">
        <v>1405</v>
      </c>
      <c r="C157" s="1" t="s">
        <v>1406</v>
      </c>
      <c r="D157" s="1" t="s">
        <v>1407</v>
      </c>
      <c r="E157" s="1" t="s">
        <v>158</v>
      </c>
      <c r="F157" s="1" t="s">
        <v>158</v>
      </c>
      <c r="G157" s="1" t="s">
        <v>159</v>
      </c>
      <c r="H157" s="2">
        <v>1.336E7</v>
      </c>
      <c r="I157" s="1">
        <v>0.0</v>
      </c>
      <c r="J157" s="1" t="s">
        <v>47</v>
      </c>
      <c r="K157" s="5">
        <v>46098.0</v>
      </c>
      <c r="L157" s="4" t="str">
        <f t="shared" si="1"/>
        <v>Sebastián Rojas Silva</v>
      </c>
      <c r="M157" s="6" t="str">
        <f t="shared" si="2"/>
        <v>16.770.456-K</v>
      </c>
      <c r="N157" s="6" t="str">
        <f t="shared" si="3"/>
        <v>Antofagasta - Antofagasta - Región de Antofagasta</v>
      </c>
      <c r="O157" s="4"/>
    </row>
    <row r="158">
      <c r="A158" s="1" t="s">
        <v>1413</v>
      </c>
      <c r="B158" s="1" t="s">
        <v>1414</v>
      </c>
      <c r="C158" s="1" t="s">
        <v>1416</v>
      </c>
      <c r="D158" s="1" t="s">
        <v>1417</v>
      </c>
      <c r="E158" s="1" t="s">
        <v>39</v>
      </c>
      <c r="F158" s="1" t="s">
        <v>39</v>
      </c>
      <c r="G158" s="1" t="s">
        <v>40</v>
      </c>
      <c r="H158" s="2">
        <v>1.706E7</v>
      </c>
      <c r="I158" s="1">
        <v>0.0</v>
      </c>
      <c r="J158" s="1" t="s">
        <v>47</v>
      </c>
      <c r="K158" s="5">
        <v>46205.0</v>
      </c>
      <c r="L158" s="4" t="str">
        <f t="shared" si="1"/>
        <v>Daniela Valenzuela Morales</v>
      </c>
      <c r="M158" s="6" t="str">
        <f t="shared" si="2"/>
        <v>18.058.116-0</v>
      </c>
      <c r="N158" s="6" t="str">
        <f t="shared" si="3"/>
        <v>Concepción - Concepción - Región del Biobío</v>
      </c>
      <c r="O158" s="4"/>
    </row>
    <row r="159">
      <c r="A159" s="1" t="s">
        <v>1423</v>
      </c>
      <c r="B159" s="1" t="s">
        <v>1424</v>
      </c>
      <c r="C159" s="1" t="s">
        <v>1426</v>
      </c>
      <c r="D159" s="1" t="s">
        <v>1427</v>
      </c>
      <c r="E159" s="1" t="s">
        <v>39</v>
      </c>
      <c r="F159" s="1" t="s">
        <v>39</v>
      </c>
      <c r="G159" s="1" t="s">
        <v>40</v>
      </c>
      <c r="H159" s="2">
        <v>1.148E7</v>
      </c>
      <c r="I159" s="1">
        <v>0.0</v>
      </c>
      <c r="J159" s="1" t="s">
        <v>28</v>
      </c>
      <c r="K159" s="5">
        <v>46077.0</v>
      </c>
      <c r="L159" s="4" t="str">
        <f t="shared" si="1"/>
        <v>Claudio Muñoz López</v>
      </c>
      <c r="M159" s="6" t="str">
        <f t="shared" si="2"/>
        <v>20.240.014-6</v>
      </c>
      <c r="N159" s="6" t="str">
        <f t="shared" si="3"/>
        <v>Concepción - Concepción - Región del Biobío</v>
      </c>
      <c r="O159" s="4"/>
    </row>
    <row r="160">
      <c r="A160" s="1" t="s">
        <v>1432</v>
      </c>
      <c r="B160" s="1" t="s">
        <v>1433</v>
      </c>
      <c r="C160" s="1" t="s">
        <v>1434</v>
      </c>
      <c r="D160" s="1" t="s">
        <v>1435</v>
      </c>
      <c r="E160" s="1" t="s">
        <v>109</v>
      </c>
      <c r="F160" s="1" t="s">
        <v>62</v>
      </c>
      <c r="G160" s="1" t="s">
        <v>63</v>
      </c>
      <c r="H160" s="2">
        <v>9910000.0</v>
      </c>
      <c r="I160" s="1">
        <v>90.0</v>
      </c>
      <c r="J160" s="1" t="s">
        <v>73</v>
      </c>
      <c r="K160" s="5">
        <v>46103.0</v>
      </c>
      <c r="L160" s="4" t="str">
        <f t="shared" si="1"/>
        <v>Daniela Espinoza González</v>
      </c>
      <c r="M160" s="6" t="str">
        <f t="shared" si="2"/>
        <v>14.288.735-9</v>
      </c>
      <c r="N160" s="6" t="str">
        <f t="shared" si="3"/>
        <v>Ñuñoa - Santiago - Región Metropolitana</v>
      </c>
      <c r="O160" s="4"/>
    </row>
    <row r="161">
      <c r="A161" s="1" t="s">
        <v>1437</v>
      </c>
      <c r="B161" s="1" t="s">
        <v>1439</v>
      </c>
      <c r="C161" s="1" t="s">
        <v>1441</v>
      </c>
      <c r="D161" s="1" t="s">
        <v>1443</v>
      </c>
      <c r="E161" s="1" t="s">
        <v>194</v>
      </c>
      <c r="F161" s="1" t="s">
        <v>62</v>
      </c>
      <c r="G161" s="1" t="s">
        <v>63</v>
      </c>
      <c r="H161" s="2">
        <v>5630000.0</v>
      </c>
      <c r="I161" s="1">
        <v>15.0</v>
      </c>
      <c r="J161" s="1" t="s">
        <v>20</v>
      </c>
      <c r="K161" s="5">
        <v>46226.0</v>
      </c>
      <c r="L161" s="4" t="str">
        <f t="shared" si="1"/>
        <v>Gabriel López Contreras</v>
      </c>
      <c r="M161" s="6" t="str">
        <f t="shared" si="2"/>
        <v>13.623.382-7</v>
      </c>
      <c r="N161" s="6" t="str">
        <f t="shared" si="3"/>
        <v>Las Condes - Santiago - Región Metropolitana</v>
      </c>
      <c r="O161" s="4"/>
    </row>
    <row r="162">
      <c r="A162" s="1" t="s">
        <v>1445</v>
      </c>
      <c r="B162" s="1" t="s">
        <v>1446</v>
      </c>
      <c r="C162" s="1" t="s">
        <v>1447</v>
      </c>
      <c r="D162" s="1" t="s">
        <v>1449</v>
      </c>
      <c r="E162" s="1" t="s">
        <v>109</v>
      </c>
      <c r="F162" s="1" t="s">
        <v>62</v>
      </c>
      <c r="G162" s="1" t="s">
        <v>63</v>
      </c>
      <c r="H162" s="2">
        <v>2500000.0</v>
      </c>
      <c r="I162" s="1">
        <v>0.0</v>
      </c>
      <c r="J162" s="1" t="s">
        <v>28</v>
      </c>
      <c r="K162" s="5">
        <v>46109.0</v>
      </c>
      <c r="L162" s="4" t="str">
        <f t="shared" si="1"/>
        <v>Macarena Rodríguez Rodríguez</v>
      </c>
      <c r="M162" s="6" t="str">
        <f t="shared" si="2"/>
        <v>22.397.117-0</v>
      </c>
      <c r="N162" s="6" t="str">
        <f t="shared" si="3"/>
        <v>Ñuñoa - Santiago - Región Metropolitana</v>
      </c>
      <c r="O162" s="4"/>
    </row>
    <row r="163">
      <c r="A163" s="1" t="s">
        <v>1454</v>
      </c>
      <c r="B163" s="1" t="s">
        <v>1455</v>
      </c>
      <c r="C163" s="1" t="s">
        <v>1457</v>
      </c>
      <c r="D163" s="1" t="s">
        <v>1458</v>
      </c>
      <c r="E163" s="1" t="s">
        <v>118</v>
      </c>
      <c r="F163" s="1" t="s">
        <v>62</v>
      </c>
      <c r="G163" s="1" t="s">
        <v>63</v>
      </c>
      <c r="H163" s="2">
        <v>8090000.0</v>
      </c>
      <c r="I163" s="1">
        <v>90.0</v>
      </c>
      <c r="J163" s="1" t="s">
        <v>73</v>
      </c>
      <c r="K163" s="5">
        <v>46066.0</v>
      </c>
      <c r="L163" s="4" t="str">
        <f t="shared" si="1"/>
        <v>Claudio Rojas Araya</v>
      </c>
      <c r="M163" s="6" t="str">
        <f t="shared" si="2"/>
        <v>18.733.998-0</v>
      </c>
      <c r="N163" s="6" t="str">
        <f t="shared" si="3"/>
        <v>Maipú - Santiago - Región Metropolitana</v>
      </c>
      <c r="O163" s="4"/>
    </row>
    <row r="164">
      <c r="A164" s="1" t="s">
        <v>1460</v>
      </c>
      <c r="B164" s="1" t="s">
        <v>1462</v>
      </c>
      <c r="C164" s="1" t="s">
        <v>1464</v>
      </c>
      <c r="D164" s="1" t="s">
        <v>1466</v>
      </c>
      <c r="E164" s="1" t="s">
        <v>25</v>
      </c>
      <c r="F164" s="1" t="s">
        <v>26</v>
      </c>
      <c r="G164" s="1" t="s">
        <v>27</v>
      </c>
      <c r="H164" s="2">
        <v>2250000.0</v>
      </c>
      <c r="I164" s="1">
        <v>15.0</v>
      </c>
      <c r="J164" s="1" t="s">
        <v>47</v>
      </c>
      <c r="K164" s="5">
        <v>46128.0</v>
      </c>
      <c r="L164" s="4" t="str">
        <f t="shared" si="1"/>
        <v>Marcela Silva Soto</v>
      </c>
      <c r="M164" s="6" t="str">
        <f t="shared" si="2"/>
        <v>19.764.054-K</v>
      </c>
      <c r="N164" s="6" t="str">
        <f t="shared" si="3"/>
        <v>Viña del Mar - Valparaíso - Región de Valparaíso</v>
      </c>
      <c r="O164" s="4"/>
    </row>
    <row r="165">
      <c r="A165" s="1" t="s">
        <v>1467</v>
      </c>
      <c r="B165" s="1" t="s">
        <v>1468</v>
      </c>
      <c r="C165" s="1" t="s">
        <v>1470</v>
      </c>
      <c r="D165" s="1" t="s">
        <v>1471</v>
      </c>
      <c r="E165" s="1" t="s">
        <v>61</v>
      </c>
      <c r="F165" s="1" t="s">
        <v>62</v>
      </c>
      <c r="G165" s="1" t="s">
        <v>63</v>
      </c>
      <c r="H165" s="2">
        <v>1.435E7</v>
      </c>
      <c r="I165" s="1">
        <v>0.0</v>
      </c>
      <c r="J165" s="1" t="s">
        <v>28</v>
      </c>
      <c r="K165" s="5">
        <v>46085.0</v>
      </c>
      <c r="L165" s="4" t="str">
        <f t="shared" si="1"/>
        <v>Sebastián Araya Espinoza</v>
      </c>
      <c r="M165" s="6" t="str">
        <f t="shared" si="2"/>
        <v>22007561-3</v>
      </c>
      <c r="N165" s="6" t="str">
        <f t="shared" si="3"/>
        <v>Santiago Centro - Santiago - Región Metropolitana</v>
      </c>
      <c r="O165" s="4"/>
    </row>
    <row r="166">
      <c r="A166" s="1" t="s">
        <v>1476</v>
      </c>
      <c r="B166" s="1" t="s">
        <v>1478</v>
      </c>
      <c r="C166" s="1" t="s">
        <v>1479</v>
      </c>
      <c r="D166" s="1" t="s">
        <v>1480</v>
      </c>
      <c r="E166" s="1" t="s">
        <v>61</v>
      </c>
      <c r="F166" s="1" t="s">
        <v>62</v>
      </c>
      <c r="G166" s="1" t="s">
        <v>63</v>
      </c>
      <c r="H166" s="2">
        <v>1.988E7</v>
      </c>
      <c r="I166" s="1">
        <v>45.0</v>
      </c>
      <c r="J166" s="1" t="s">
        <v>97</v>
      </c>
      <c r="K166" s="5">
        <v>46032.0</v>
      </c>
      <c r="L166" s="4" t="str">
        <f t="shared" si="1"/>
        <v>Paula Valenzuela Espinoza</v>
      </c>
      <c r="M166" s="6" t="str">
        <f t="shared" si="2"/>
        <v>22.022.194-3</v>
      </c>
      <c r="N166" s="6" t="str">
        <f t="shared" si="3"/>
        <v>Santiago Centro - Santiago - Región Metropolitana</v>
      </c>
      <c r="O166" s="4"/>
    </row>
    <row r="167">
      <c r="A167" s="1" t="s">
        <v>1481</v>
      </c>
      <c r="B167" s="1" t="s">
        <v>1482</v>
      </c>
      <c r="C167" s="1" t="s">
        <v>1483</v>
      </c>
      <c r="D167" s="1" t="s">
        <v>1485</v>
      </c>
      <c r="E167" s="1" t="s">
        <v>39</v>
      </c>
      <c r="F167" s="1" t="s">
        <v>39</v>
      </c>
      <c r="G167" s="1" t="s">
        <v>40</v>
      </c>
      <c r="H167" s="2">
        <v>7780000.0</v>
      </c>
      <c r="I167" s="1">
        <v>0.0</v>
      </c>
      <c r="J167" s="1" t="s">
        <v>97</v>
      </c>
      <c r="K167" s="5">
        <v>46199.0</v>
      </c>
      <c r="L167" s="4" t="str">
        <f t="shared" si="1"/>
        <v>Mauricio Tapia Sepúlveda</v>
      </c>
      <c r="M167" s="6" t="str">
        <f t="shared" si="2"/>
        <v>18620093-6</v>
      </c>
      <c r="N167" s="6" t="str">
        <f t="shared" si="3"/>
        <v>Concepción - Concepción - Región del Biobío</v>
      </c>
      <c r="O167" s="4"/>
    </row>
    <row r="168">
      <c r="A168" s="1" t="s">
        <v>1159</v>
      </c>
      <c r="B168" s="1" t="s">
        <v>1161</v>
      </c>
      <c r="C168" s="1" t="s">
        <v>1491</v>
      </c>
      <c r="D168" s="1" t="s">
        <v>1163</v>
      </c>
      <c r="E168" s="1" t="s">
        <v>72</v>
      </c>
      <c r="F168" s="1" t="s">
        <v>62</v>
      </c>
      <c r="G168" s="1" t="s">
        <v>63</v>
      </c>
      <c r="H168" s="2">
        <v>1.1E7</v>
      </c>
      <c r="I168" s="1">
        <v>90.0</v>
      </c>
      <c r="J168" s="1" t="s">
        <v>73</v>
      </c>
      <c r="K168" s="5">
        <v>46046.0</v>
      </c>
      <c r="L168" s="4" t="str">
        <f t="shared" si="1"/>
        <v>Beatriz Muñoz Díaz</v>
      </c>
      <c r="M168" s="6" t="str">
        <f t="shared" si="2"/>
        <v>19.714.207-1</v>
      </c>
      <c r="N168" s="6" t="str">
        <f t="shared" si="3"/>
        <v>Providencia - Santiago - Región Metropolitana</v>
      </c>
      <c r="O168" s="4"/>
    </row>
    <row r="169">
      <c r="A169" s="1" t="s">
        <v>1493</v>
      </c>
      <c r="B169" s="1" t="s">
        <v>1495</v>
      </c>
      <c r="C169" s="1" t="s">
        <v>1497</v>
      </c>
      <c r="D169" s="1" t="s">
        <v>1499</v>
      </c>
      <c r="E169" s="1" t="s">
        <v>56</v>
      </c>
      <c r="F169" s="1" t="s">
        <v>39</v>
      </c>
      <c r="G169" s="1" t="s">
        <v>40</v>
      </c>
      <c r="H169" s="2">
        <v>6220000.0</v>
      </c>
      <c r="I169" s="1">
        <v>90.0</v>
      </c>
      <c r="J169" s="1" t="s">
        <v>28</v>
      </c>
      <c r="K169" s="5">
        <v>46220.0</v>
      </c>
      <c r="L169" s="4" t="str">
        <f t="shared" si="1"/>
        <v>Hernán López Rodríguez</v>
      </c>
      <c r="M169" s="6" t="str">
        <f t="shared" si="2"/>
        <v>21.072.670-4</v>
      </c>
      <c r="N169" s="6" t="str">
        <f t="shared" si="3"/>
        <v>Talcahuano - Concepción - Región del Biobío</v>
      </c>
      <c r="O169" s="4"/>
    </row>
    <row r="170">
      <c r="A170" s="1" t="s">
        <v>1501</v>
      </c>
      <c r="B170" s="1" t="s">
        <v>1502</v>
      </c>
      <c r="C170" s="1" t="s">
        <v>1503</v>
      </c>
      <c r="D170" s="1" t="s">
        <v>1504</v>
      </c>
      <c r="E170" s="1" t="s">
        <v>56</v>
      </c>
      <c r="F170" s="1" t="s">
        <v>39</v>
      </c>
      <c r="G170" s="1" t="s">
        <v>40</v>
      </c>
      <c r="H170" s="2">
        <v>1.447E7</v>
      </c>
      <c r="I170" s="1">
        <v>0.0</v>
      </c>
      <c r="J170" s="1" t="s">
        <v>20</v>
      </c>
      <c r="K170" s="5">
        <v>46132.0</v>
      </c>
      <c r="L170" s="4" t="str">
        <f t="shared" si="1"/>
        <v>Constanza Vergara Muñoz</v>
      </c>
      <c r="M170" s="6" t="str">
        <f t="shared" si="2"/>
        <v>12.496.774-0</v>
      </c>
      <c r="N170" s="6" t="str">
        <f t="shared" si="3"/>
        <v>Talcahuano - Concepción - Región del Biobío</v>
      </c>
      <c r="O170" s="4"/>
    </row>
    <row r="171">
      <c r="A171" s="1" t="s">
        <v>1508</v>
      </c>
      <c r="B171" s="1" t="s">
        <v>1509</v>
      </c>
      <c r="C171" s="1" t="s">
        <v>1511</v>
      </c>
      <c r="D171" s="1" t="s">
        <v>1512</v>
      </c>
      <c r="E171" s="1" t="s">
        <v>56</v>
      </c>
      <c r="F171" s="1" t="s">
        <v>39</v>
      </c>
      <c r="G171" s="1" t="s">
        <v>40</v>
      </c>
      <c r="H171" s="2">
        <v>1.78E7</v>
      </c>
      <c r="I171" s="1">
        <v>0.0</v>
      </c>
      <c r="J171" s="1" t="s">
        <v>73</v>
      </c>
      <c r="K171" s="5">
        <v>46182.0</v>
      </c>
      <c r="L171" s="4" t="str">
        <f t="shared" si="1"/>
        <v>Ignacio Tapia López</v>
      </c>
      <c r="M171" s="6" t="str">
        <f t="shared" si="2"/>
        <v>15.213.079-0</v>
      </c>
      <c r="N171" s="6" t="str">
        <f t="shared" si="3"/>
        <v>Talcahuano - Concepción - Región del Biobío</v>
      </c>
      <c r="O171" s="4"/>
    </row>
    <row r="172">
      <c r="A172" s="1" t="s">
        <v>684</v>
      </c>
      <c r="B172" s="1" t="s">
        <v>685</v>
      </c>
      <c r="C172" s="1" t="s">
        <v>1515</v>
      </c>
      <c r="D172" s="1" t="s">
        <v>688</v>
      </c>
      <c r="E172" s="1" t="s">
        <v>61</v>
      </c>
      <c r="F172" s="1" t="s">
        <v>62</v>
      </c>
      <c r="G172" s="1" t="s">
        <v>63</v>
      </c>
      <c r="H172" s="2">
        <v>8700000.0</v>
      </c>
      <c r="I172" s="1">
        <v>0.0</v>
      </c>
      <c r="J172" s="1" t="s">
        <v>97</v>
      </c>
      <c r="K172" s="5">
        <v>46084.0</v>
      </c>
      <c r="L172" s="4" t="str">
        <f t="shared" si="1"/>
        <v>Andrea González Silva</v>
      </c>
      <c r="M172" s="6" t="str">
        <f t="shared" si="2"/>
        <v>15.481.798-9</v>
      </c>
      <c r="N172" s="6" t="str">
        <f t="shared" si="3"/>
        <v>Santiago Centro - Santiago - Región Metropolitana</v>
      </c>
      <c r="O172" s="4"/>
    </row>
    <row r="173">
      <c r="A173" s="1" t="s">
        <v>1516</v>
      </c>
      <c r="B173" s="1" t="s">
        <v>1517</v>
      </c>
      <c r="C173" s="1" t="s">
        <v>1518</v>
      </c>
      <c r="D173" s="1" t="s">
        <v>1519</v>
      </c>
      <c r="E173" s="1" t="s">
        <v>26</v>
      </c>
      <c r="F173" s="1" t="s">
        <v>26</v>
      </c>
      <c r="G173" s="1" t="s">
        <v>27</v>
      </c>
      <c r="H173" s="2">
        <v>1.685E7</v>
      </c>
      <c r="I173" s="1">
        <v>15.0</v>
      </c>
      <c r="J173" s="1" t="s">
        <v>47</v>
      </c>
      <c r="K173" s="5">
        <v>46184.0</v>
      </c>
      <c r="L173" s="4" t="str">
        <f t="shared" si="1"/>
        <v>Hernán Rodríguez González</v>
      </c>
      <c r="M173" s="6" t="str">
        <f t="shared" si="2"/>
        <v>14.040.606-9</v>
      </c>
      <c r="N173" s="6" t="str">
        <f t="shared" si="3"/>
        <v>Valparaíso - Valparaíso - Región de Valparaíso</v>
      </c>
      <c r="O173" s="4"/>
    </row>
    <row r="174">
      <c r="A174" s="1" t="s">
        <v>1522</v>
      </c>
      <c r="B174" s="1" t="s">
        <v>1523</v>
      </c>
      <c r="C174" s="1" t="s">
        <v>1525</v>
      </c>
      <c r="D174" s="1" t="s">
        <v>1526</v>
      </c>
      <c r="E174" s="1" t="s">
        <v>109</v>
      </c>
      <c r="F174" s="1" t="s">
        <v>62</v>
      </c>
      <c r="G174" s="1" t="s">
        <v>63</v>
      </c>
      <c r="H174" s="2">
        <v>1.488E7</v>
      </c>
      <c r="I174" s="1">
        <v>30.0</v>
      </c>
      <c r="J174" s="1" t="s">
        <v>97</v>
      </c>
      <c r="K174" s="5">
        <v>46076.0</v>
      </c>
      <c r="L174" s="4" t="str">
        <f t="shared" si="1"/>
        <v>Camila Rojas Silva</v>
      </c>
      <c r="M174" s="6" t="str">
        <f t="shared" si="2"/>
        <v>13.870.401-5</v>
      </c>
      <c r="N174" s="6" t="str">
        <f t="shared" si="3"/>
        <v>Ñuñoa - Santiago - Región Metropolitana</v>
      </c>
      <c r="O174" s="4"/>
    </row>
    <row r="175">
      <c r="A175" s="1" t="s">
        <v>1529</v>
      </c>
      <c r="B175" s="1" t="s">
        <v>1530</v>
      </c>
      <c r="C175" s="1" t="s">
        <v>1531</v>
      </c>
      <c r="D175" s="1" t="s">
        <v>1532</v>
      </c>
      <c r="E175" s="1" t="s">
        <v>118</v>
      </c>
      <c r="F175" s="1" t="s">
        <v>62</v>
      </c>
      <c r="G175" s="1" t="s">
        <v>63</v>
      </c>
      <c r="H175" s="2">
        <v>1.933E7</v>
      </c>
      <c r="I175" s="1">
        <v>15.0</v>
      </c>
      <c r="J175" s="1" t="s">
        <v>47</v>
      </c>
      <c r="K175" s="5">
        <v>46078.0</v>
      </c>
      <c r="L175" s="4" t="str">
        <f t="shared" si="1"/>
        <v>Hernán Morales Contreras</v>
      </c>
      <c r="M175" s="6" t="str">
        <f t="shared" si="2"/>
        <v>18.284.772-7</v>
      </c>
      <c r="N175" s="6" t="str">
        <f t="shared" si="3"/>
        <v>Maipú - Santiago - Región Metropolitana</v>
      </c>
      <c r="O175" s="4"/>
    </row>
    <row r="176">
      <c r="A176" s="1" t="s">
        <v>1536</v>
      </c>
      <c r="B176" s="1" t="s">
        <v>1537</v>
      </c>
      <c r="C176" s="1" t="s">
        <v>1538</v>
      </c>
      <c r="D176" s="1" t="s">
        <v>1539</v>
      </c>
      <c r="E176" s="1" t="s">
        <v>39</v>
      </c>
      <c r="F176" s="1" t="s">
        <v>39</v>
      </c>
      <c r="G176" s="1" t="s">
        <v>40</v>
      </c>
      <c r="H176" s="2">
        <v>1.883E7</v>
      </c>
      <c r="I176" s="1">
        <v>90.0</v>
      </c>
      <c r="J176" s="1" t="s">
        <v>47</v>
      </c>
      <c r="K176" s="5">
        <v>46113.0</v>
      </c>
      <c r="L176" s="4" t="str">
        <f t="shared" si="1"/>
        <v>Fernanda Fuentes Rojas</v>
      </c>
      <c r="M176" s="6" t="str">
        <f t="shared" si="2"/>
        <v>15596050-3</v>
      </c>
      <c r="N176" s="6" t="str">
        <f t="shared" si="3"/>
        <v>Concepción - Concepción - Región del Biobío</v>
      </c>
      <c r="O176" s="4"/>
    </row>
    <row r="177">
      <c r="A177" s="1" t="s">
        <v>1541</v>
      </c>
      <c r="B177" s="1" t="s">
        <v>1542</v>
      </c>
      <c r="C177" s="1" t="s">
        <v>1543</v>
      </c>
      <c r="D177" s="1" t="s">
        <v>1544</v>
      </c>
      <c r="E177" s="1" t="s">
        <v>72</v>
      </c>
      <c r="F177" s="1" t="s">
        <v>62</v>
      </c>
      <c r="G177" s="1" t="s">
        <v>63</v>
      </c>
      <c r="H177" s="2">
        <v>1.941E7</v>
      </c>
      <c r="I177" s="1">
        <v>15.0</v>
      </c>
      <c r="J177" s="1" t="s">
        <v>73</v>
      </c>
      <c r="K177" s="5">
        <v>46086.0</v>
      </c>
      <c r="L177" s="4" t="str">
        <f t="shared" si="1"/>
        <v>Felipe Rodríguez Silva</v>
      </c>
      <c r="M177" s="6" t="str">
        <f t="shared" si="2"/>
        <v>16174998-K</v>
      </c>
      <c r="N177" s="6" t="str">
        <f t="shared" si="3"/>
        <v>Providencia - Santiago - Región Metropolitana</v>
      </c>
      <c r="O177" s="4"/>
    </row>
    <row r="178">
      <c r="A178" s="1" t="s">
        <v>632</v>
      </c>
      <c r="B178" s="1" t="s">
        <v>633</v>
      </c>
      <c r="C178" s="1" t="s">
        <v>634</v>
      </c>
      <c r="D178" s="1" t="s">
        <v>636</v>
      </c>
      <c r="E178" s="1" t="s">
        <v>39</v>
      </c>
      <c r="F178" s="1" t="s">
        <v>39</v>
      </c>
      <c r="G178" s="1" t="s">
        <v>40</v>
      </c>
      <c r="H178" s="2">
        <v>9310000.0</v>
      </c>
      <c r="I178" s="1">
        <v>30.0</v>
      </c>
      <c r="J178" s="1" t="s">
        <v>20</v>
      </c>
      <c r="K178" s="5">
        <v>46148.0</v>
      </c>
      <c r="L178" s="4" t="str">
        <f t="shared" si="1"/>
        <v>Andrea Espinoza Vergara</v>
      </c>
      <c r="M178" s="6" t="str">
        <f t="shared" si="2"/>
        <v>12.170.111-9</v>
      </c>
      <c r="N178" s="6" t="str">
        <f t="shared" si="3"/>
        <v>Concepción - Concepción - Región del Biobío</v>
      </c>
      <c r="O178" s="4"/>
    </row>
    <row r="179">
      <c r="A179" s="1" t="s">
        <v>1546</v>
      </c>
      <c r="B179" s="1" t="s">
        <v>1547</v>
      </c>
      <c r="C179" s="1" t="s">
        <v>1548</v>
      </c>
      <c r="D179" s="1" t="s">
        <v>1549</v>
      </c>
      <c r="E179" s="1" t="s">
        <v>26</v>
      </c>
      <c r="F179" s="1" t="s">
        <v>26</v>
      </c>
      <c r="G179" s="1" t="s">
        <v>27</v>
      </c>
      <c r="H179" s="2">
        <v>6060000.0</v>
      </c>
      <c r="I179" s="1">
        <v>120.0</v>
      </c>
      <c r="J179" s="1" t="s">
        <v>20</v>
      </c>
      <c r="K179" s="5">
        <v>46107.0</v>
      </c>
      <c r="L179" s="4" t="str">
        <f t="shared" si="1"/>
        <v>Diego Araya Vergara</v>
      </c>
      <c r="M179" s="6" t="str">
        <f t="shared" si="2"/>
        <v>21.940.732-9</v>
      </c>
      <c r="N179" s="6" t="str">
        <f t="shared" si="3"/>
        <v>Valparaíso - Valparaíso - Región de Valparaíso</v>
      </c>
      <c r="O179" s="4"/>
    </row>
    <row r="180">
      <c r="A180" s="1" t="s">
        <v>1555</v>
      </c>
      <c r="B180" s="1" t="s">
        <v>1556</v>
      </c>
      <c r="C180" s="1" t="s">
        <v>1557</v>
      </c>
      <c r="D180" s="1" t="s">
        <v>1558</v>
      </c>
      <c r="E180" s="1" t="s">
        <v>72</v>
      </c>
      <c r="F180" s="1" t="s">
        <v>62</v>
      </c>
      <c r="G180" s="1" t="s">
        <v>63</v>
      </c>
      <c r="H180" s="2">
        <v>760000.0</v>
      </c>
      <c r="I180" s="1">
        <v>90.0</v>
      </c>
      <c r="J180" s="1" t="s">
        <v>28</v>
      </c>
      <c r="K180" s="5">
        <v>46221.0</v>
      </c>
      <c r="L180" s="4" t="str">
        <f t="shared" si="1"/>
        <v>Constanza López Muñoz</v>
      </c>
      <c r="M180" s="6" t="str">
        <f t="shared" si="2"/>
        <v>11.144.885-4</v>
      </c>
      <c r="N180" s="6" t="str">
        <f t="shared" si="3"/>
        <v>Providencia - Santiago - Región Metropolitana</v>
      </c>
      <c r="O180" s="4"/>
    </row>
    <row r="181">
      <c r="A181" s="1" t="s">
        <v>1560</v>
      </c>
      <c r="B181" s="1" t="s">
        <v>1561</v>
      </c>
      <c r="C181" s="1" t="s">
        <v>1562</v>
      </c>
      <c r="D181" s="1" t="s">
        <v>1563</v>
      </c>
      <c r="E181" s="1" t="s">
        <v>26</v>
      </c>
      <c r="F181" s="1" t="s">
        <v>26</v>
      </c>
      <c r="G181" s="1" t="s">
        <v>27</v>
      </c>
      <c r="H181" s="2">
        <v>5120000.0</v>
      </c>
      <c r="I181" s="1">
        <v>120.0</v>
      </c>
      <c r="J181" s="1" t="s">
        <v>97</v>
      </c>
      <c r="K181" s="5">
        <v>46127.0</v>
      </c>
      <c r="L181" s="4" t="str">
        <f t="shared" si="1"/>
        <v>Mauricio Díaz Morales</v>
      </c>
      <c r="M181" s="6" t="str">
        <f t="shared" si="2"/>
        <v>15.214.856-0</v>
      </c>
      <c r="N181" s="6" t="str">
        <f t="shared" si="3"/>
        <v>Valparaíso - Valparaíso - Región de Valparaíso</v>
      </c>
      <c r="O181" s="4"/>
    </row>
    <row r="182">
      <c r="A182" s="1" t="s">
        <v>1565</v>
      </c>
      <c r="B182" s="1" t="s">
        <v>1566</v>
      </c>
      <c r="C182" s="1" t="s">
        <v>1567</v>
      </c>
      <c r="D182" s="1" t="s">
        <v>1568</v>
      </c>
      <c r="E182" s="1" t="s">
        <v>33</v>
      </c>
      <c r="F182" s="1" t="s">
        <v>33</v>
      </c>
      <c r="G182" s="1" t="s">
        <v>34</v>
      </c>
      <c r="H182" s="2">
        <v>1.375E7</v>
      </c>
      <c r="I182" s="1">
        <v>0.0</v>
      </c>
      <c r="J182" s="1" t="s">
        <v>97</v>
      </c>
      <c r="K182" s="5">
        <v>46212.0</v>
      </c>
      <c r="L182" s="4" t="str">
        <f t="shared" si="1"/>
        <v>Carolina Rodríguez Morales</v>
      </c>
      <c r="M182" s="6" t="str">
        <f t="shared" si="2"/>
        <v>13665216-3</v>
      </c>
      <c r="N182" s="6" t="str">
        <f t="shared" si="3"/>
        <v>Puerto Montt - Puerto Montt - Región de Los Lagos</v>
      </c>
      <c r="O182" s="4"/>
    </row>
    <row r="183">
      <c r="A183" s="1" t="s">
        <v>507</v>
      </c>
      <c r="B183" s="1" t="s">
        <v>508</v>
      </c>
      <c r="C183" s="1" t="s">
        <v>1570</v>
      </c>
      <c r="D183" s="1" t="s">
        <v>511</v>
      </c>
      <c r="E183" s="1" t="s">
        <v>39</v>
      </c>
      <c r="F183" s="1" t="s">
        <v>39</v>
      </c>
      <c r="G183" s="1" t="s">
        <v>40</v>
      </c>
      <c r="H183" s="2">
        <v>9580000.0</v>
      </c>
      <c r="I183" s="1">
        <v>0.0</v>
      </c>
      <c r="J183" s="1" t="s">
        <v>20</v>
      </c>
      <c r="K183" s="5">
        <v>46105.0</v>
      </c>
      <c r="L183" s="4" t="str">
        <f t="shared" si="1"/>
        <v>Álvaro Valenzuela Valenzuela</v>
      </c>
      <c r="M183" s="6" t="str">
        <f t="shared" si="2"/>
        <v>12.466.467-9</v>
      </c>
      <c r="N183" s="6" t="str">
        <f t="shared" si="3"/>
        <v>Concepción - Concepción - Región del Biobío</v>
      </c>
      <c r="O183" s="4"/>
    </row>
    <row r="184">
      <c r="A184" s="1" t="s">
        <v>1576</v>
      </c>
      <c r="B184" s="1" t="s">
        <v>1577</v>
      </c>
      <c r="C184" s="1" t="s">
        <v>1578</v>
      </c>
      <c r="D184" s="1" t="s">
        <v>1579</v>
      </c>
      <c r="E184" s="1" t="s">
        <v>39</v>
      </c>
      <c r="F184" s="1" t="s">
        <v>39</v>
      </c>
      <c r="G184" s="1" t="s">
        <v>40</v>
      </c>
      <c r="H184" s="2">
        <v>1.951E7</v>
      </c>
      <c r="I184" s="1">
        <v>90.0</v>
      </c>
      <c r="J184" s="1" t="s">
        <v>20</v>
      </c>
      <c r="K184" s="5">
        <v>46140.0</v>
      </c>
      <c r="L184" s="4" t="str">
        <f t="shared" si="1"/>
        <v>Fernanda Díaz Valenzuela</v>
      </c>
      <c r="M184" s="6" t="str">
        <f t="shared" si="2"/>
        <v>15.099.380-3</v>
      </c>
      <c r="N184" s="6" t="str">
        <f t="shared" si="3"/>
        <v>Concepción - Concepción - Región del Biobío</v>
      </c>
      <c r="O184" s="4"/>
    </row>
    <row r="185">
      <c r="A185" s="1" t="s">
        <v>1581</v>
      </c>
      <c r="B185" s="1" t="s">
        <v>1583</v>
      </c>
      <c r="C185" s="1" t="s">
        <v>1585</v>
      </c>
      <c r="D185" s="1" t="s">
        <v>1587</v>
      </c>
      <c r="E185" s="1" t="s">
        <v>39</v>
      </c>
      <c r="F185" s="1" t="s">
        <v>39</v>
      </c>
      <c r="G185" s="1" t="s">
        <v>40</v>
      </c>
      <c r="H185" s="2">
        <v>3040000.0</v>
      </c>
      <c r="I185" s="1">
        <v>30.0</v>
      </c>
      <c r="J185" s="1" t="s">
        <v>97</v>
      </c>
      <c r="K185" s="5">
        <v>46054.0</v>
      </c>
      <c r="L185" s="4" t="str">
        <f t="shared" si="1"/>
        <v>Rodrigo Pérez Rodríguez</v>
      </c>
      <c r="M185" s="6" t="str">
        <f t="shared" si="2"/>
        <v>22.249.982-5</v>
      </c>
      <c r="N185" s="6" t="str">
        <f t="shared" si="3"/>
        <v>Concepción - Concepción - Región del Biobío</v>
      </c>
      <c r="O185" s="4"/>
    </row>
    <row r="186">
      <c r="A186" s="1" t="s">
        <v>1590</v>
      </c>
      <c r="B186" s="1" t="s">
        <v>1591</v>
      </c>
      <c r="C186" s="1" t="s">
        <v>1592</v>
      </c>
      <c r="D186" s="1" t="s">
        <v>1593</v>
      </c>
      <c r="E186" s="1" t="s">
        <v>39</v>
      </c>
      <c r="F186" s="1" t="s">
        <v>39</v>
      </c>
      <c r="G186" s="1" t="s">
        <v>40</v>
      </c>
      <c r="H186" s="2">
        <v>1.6E7</v>
      </c>
      <c r="I186" s="1">
        <v>0.0</v>
      </c>
      <c r="J186" s="1" t="s">
        <v>73</v>
      </c>
      <c r="K186" s="5">
        <v>46078.0</v>
      </c>
      <c r="L186" s="4" t="str">
        <f t="shared" si="1"/>
        <v>Javiera Rojas Araya</v>
      </c>
      <c r="M186" s="6" t="str">
        <f t="shared" si="2"/>
        <v>15.877.258-3</v>
      </c>
      <c r="N186" s="6" t="str">
        <f t="shared" si="3"/>
        <v>Concepción - Concepción - Región del Biobío</v>
      </c>
      <c r="O186" s="4"/>
    </row>
    <row r="187">
      <c r="A187" s="1" t="s">
        <v>1595</v>
      </c>
      <c r="B187" s="1" t="s">
        <v>1596</v>
      </c>
      <c r="C187" s="1" t="s">
        <v>1597</v>
      </c>
      <c r="D187" s="1" t="s">
        <v>1598</v>
      </c>
      <c r="E187" s="1" t="s">
        <v>194</v>
      </c>
      <c r="F187" s="1" t="s">
        <v>62</v>
      </c>
      <c r="G187" s="1" t="s">
        <v>63</v>
      </c>
      <c r="H187" s="2">
        <v>1.971E7</v>
      </c>
      <c r="I187" s="1">
        <v>90.0</v>
      </c>
      <c r="J187" s="1" t="s">
        <v>20</v>
      </c>
      <c r="K187" s="5">
        <v>46050.0</v>
      </c>
      <c r="L187" s="4" t="str">
        <f t="shared" si="1"/>
        <v>Diego Araya López</v>
      </c>
      <c r="M187" s="6" t="str">
        <f t="shared" si="2"/>
        <v>15.480.982-0</v>
      </c>
      <c r="N187" s="6" t="str">
        <f t="shared" si="3"/>
        <v>Las Condes - Santiago - Región Metropolitana</v>
      </c>
      <c r="O187" s="4"/>
    </row>
    <row r="188">
      <c r="A188" s="1" t="s">
        <v>1601</v>
      </c>
      <c r="B188" s="1" t="s">
        <v>1603</v>
      </c>
      <c r="C188" s="1" t="s">
        <v>1606</v>
      </c>
      <c r="D188" s="1" t="s">
        <v>1608</v>
      </c>
      <c r="E188" s="1" t="s">
        <v>18</v>
      </c>
      <c r="F188" s="1" t="s">
        <v>18</v>
      </c>
      <c r="G188" s="1" t="s">
        <v>19</v>
      </c>
      <c r="H188" s="2">
        <v>1.595E7</v>
      </c>
      <c r="I188" s="1">
        <v>120.0</v>
      </c>
      <c r="J188" s="1" t="s">
        <v>73</v>
      </c>
      <c r="K188" s="5">
        <v>46080.0</v>
      </c>
      <c r="L188" s="4" t="str">
        <f t="shared" si="1"/>
        <v>Marcela Díaz Rodríguez</v>
      </c>
      <c r="M188" s="6" t="str">
        <f t="shared" si="2"/>
        <v>18.159.339-0</v>
      </c>
      <c r="N188" s="6" t="str">
        <f t="shared" si="3"/>
        <v>La Serena - La Serena - Región de Coquimbo</v>
      </c>
      <c r="O188" s="4"/>
    </row>
    <row r="189">
      <c r="A189" s="1" t="s">
        <v>1609</v>
      </c>
      <c r="B189" s="1" t="s">
        <v>1610</v>
      </c>
      <c r="C189" s="1" t="s">
        <v>1611</v>
      </c>
      <c r="D189" s="1" t="s">
        <v>1612</v>
      </c>
      <c r="E189" s="1" t="s">
        <v>56</v>
      </c>
      <c r="F189" s="1" t="s">
        <v>39</v>
      </c>
      <c r="G189" s="1" t="s">
        <v>40</v>
      </c>
      <c r="H189" s="2">
        <v>1.55E7</v>
      </c>
      <c r="I189" s="1">
        <v>0.0</v>
      </c>
      <c r="J189" s="1" t="s">
        <v>20</v>
      </c>
      <c r="K189" s="5">
        <v>46077.0</v>
      </c>
      <c r="L189" s="4" t="str">
        <f t="shared" si="1"/>
        <v>Diego Muñoz Vergara</v>
      </c>
      <c r="M189" s="6" t="str">
        <f t="shared" si="2"/>
        <v>17.728.851-3</v>
      </c>
      <c r="N189" s="6" t="str">
        <f t="shared" si="3"/>
        <v>Talcahuano - Concepción - Región del Biobío</v>
      </c>
      <c r="O189" s="4"/>
    </row>
    <row r="190">
      <c r="A190" s="1" t="s">
        <v>1618</v>
      </c>
      <c r="B190" s="1" t="s">
        <v>1619</v>
      </c>
      <c r="C190" s="1" t="s">
        <v>1620</v>
      </c>
      <c r="D190" s="1" t="s">
        <v>1621</v>
      </c>
      <c r="E190" s="1" t="s">
        <v>18</v>
      </c>
      <c r="F190" s="1" t="s">
        <v>18</v>
      </c>
      <c r="G190" s="1" t="s">
        <v>19</v>
      </c>
      <c r="H190" s="2">
        <v>4380000.0</v>
      </c>
      <c r="I190" s="1">
        <v>90.0</v>
      </c>
      <c r="J190" s="1" t="s">
        <v>47</v>
      </c>
      <c r="K190" s="5">
        <v>46038.0</v>
      </c>
      <c r="L190" s="4" t="str">
        <f t="shared" si="1"/>
        <v>Catalina Rojas Rojas</v>
      </c>
      <c r="M190" s="6" t="str">
        <f t="shared" si="2"/>
        <v>11644274-6</v>
      </c>
      <c r="N190" s="6" t="str">
        <f t="shared" si="3"/>
        <v>La Serena - La Serena - Región de Coquimbo</v>
      </c>
      <c r="O190" s="4"/>
    </row>
    <row r="191">
      <c r="A191" s="1" t="s">
        <v>1623</v>
      </c>
      <c r="B191" s="1" t="s">
        <v>1624</v>
      </c>
      <c r="C191" s="1" t="s">
        <v>1625</v>
      </c>
      <c r="D191" s="1" t="s">
        <v>1627</v>
      </c>
      <c r="E191" s="1" t="s">
        <v>56</v>
      </c>
      <c r="F191" s="1" t="s">
        <v>39</v>
      </c>
      <c r="G191" s="1" t="s">
        <v>40</v>
      </c>
      <c r="H191" s="2">
        <v>2.014E7</v>
      </c>
      <c r="I191" s="1">
        <v>0.0</v>
      </c>
      <c r="J191" s="1" t="s">
        <v>28</v>
      </c>
      <c r="K191" s="5">
        <v>46211.0</v>
      </c>
      <c r="L191" s="4" t="str">
        <f t="shared" si="1"/>
        <v>Sebastián Valenzuela Morales</v>
      </c>
      <c r="M191" s="6" t="str">
        <f t="shared" si="2"/>
        <v>14.913.083-K</v>
      </c>
      <c r="N191" s="6" t="str">
        <f t="shared" si="3"/>
        <v>Talcahuano - Concepción - Región del Biobío</v>
      </c>
      <c r="O191" s="4"/>
    </row>
    <row r="192">
      <c r="A192" s="1" t="s">
        <v>1631</v>
      </c>
      <c r="B192" s="1" t="s">
        <v>1632</v>
      </c>
      <c r="C192" s="1" t="s">
        <v>1633</v>
      </c>
      <c r="D192" s="1" t="s">
        <v>1634</v>
      </c>
      <c r="E192" s="1" t="s">
        <v>26</v>
      </c>
      <c r="F192" s="1" t="s">
        <v>26</v>
      </c>
      <c r="G192" s="1" t="s">
        <v>27</v>
      </c>
      <c r="H192" s="2">
        <v>1.902E7</v>
      </c>
      <c r="I192" s="1">
        <v>45.0</v>
      </c>
      <c r="J192" s="1" t="s">
        <v>28</v>
      </c>
      <c r="K192" s="5">
        <v>46098.0</v>
      </c>
      <c r="L192" s="4" t="str">
        <f t="shared" si="1"/>
        <v>Constanza Rodríguez Vergara</v>
      </c>
      <c r="M192" s="6" t="str">
        <f t="shared" si="2"/>
        <v>17.036.648-1</v>
      </c>
      <c r="N192" s="6" t="str">
        <f t="shared" si="3"/>
        <v>Valparaíso - Valparaíso - Región de Valparaíso</v>
      </c>
      <c r="O192" s="4"/>
    </row>
    <row r="193">
      <c r="A193" s="1" t="s">
        <v>1639</v>
      </c>
      <c r="B193" s="1" t="s">
        <v>1640</v>
      </c>
      <c r="C193" s="1" t="s">
        <v>1641</v>
      </c>
      <c r="D193" s="1" t="s">
        <v>1642</v>
      </c>
      <c r="E193" s="1" t="s">
        <v>39</v>
      </c>
      <c r="F193" s="1" t="s">
        <v>39</v>
      </c>
      <c r="G193" s="1" t="s">
        <v>40</v>
      </c>
      <c r="H193" s="2">
        <v>1.937E7</v>
      </c>
      <c r="I193" s="1">
        <v>120.0</v>
      </c>
      <c r="J193" s="1" t="s">
        <v>28</v>
      </c>
      <c r="K193" s="5">
        <v>46225.0</v>
      </c>
      <c r="L193" s="4" t="str">
        <f t="shared" si="1"/>
        <v>Ignacio Silva Espinoza</v>
      </c>
      <c r="M193" s="6" t="str">
        <f t="shared" si="2"/>
        <v>15.417.614-1</v>
      </c>
      <c r="N193" s="6" t="str">
        <f t="shared" si="3"/>
        <v>Concepción - Concepción - Región del Biobío</v>
      </c>
      <c r="O193" s="4"/>
    </row>
    <row r="194">
      <c r="A194" s="1" t="s">
        <v>1644</v>
      </c>
      <c r="B194" s="1" t="s">
        <v>1645</v>
      </c>
      <c r="C194" s="1" t="s">
        <v>1646</v>
      </c>
      <c r="D194" s="1" t="s">
        <v>1647</v>
      </c>
      <c r="E194" s="1" t="s">
        <v>118</v>
      </c>
      <c r="F194" s="1" t="s">
        <v>62</v>
      </c>
      <c r="G194" s="1" t="s">
        <v>63</v>
      </c>
      <c r="H194" s="2">
        <v>1.051E7</v>
      </c>
      <c r="I194" s="1">
        <v>45.0</v>
      </c>
      <c r="J194" s="1" t="s">
        <v>20</v>
      </c>
      <c r="K194" s="5">
        <v>46189.0</v>
      </c>
      <c r="L194" s="4" t="str">
        <f t="shared" si="1"/>
        <v>Valentina Silva Muñoz</v>
      </c>
      <c r="M194" s="6" t="str">
        <f t="shared" si="2"/>
        <v>20230848-3</v>
      </c>
      <c r="N194" s="6" t="str">
        <f t="shared" si="3"/>
        <v>Maipú - Santiago - Región Metropolitana</v>
      </c>
      <c r="O194" s="4"/>
    </row>
    <row r="195">
      <c r="A195" s="1" t="s">
        <v>1649</v>
      </c>
      <c r="B195" s="1" t="s">
        <v>1650</v>
      </c>
      <c r="C195" s="1" t="s">
        <v>1651</v>
      </c>
      <c r="D195" s="1" t="s">
        <v>1652</v>
      </c>
      <c r="E195" s="1" t="s">
        <v>72</v>
      </c>
      <c r="F195" s="1" t="s">
        <v>62</v>
      </c>
      <c r="G195" s="1" t="s">
        <v>63</v>
      </c>
      <c r="H195" s="2">
        <v>2.057E7</v>
      </c>
      <c r="I195" s="1">
        <v>90.0</v>
      </c>
      <c r="J195" s="1" t="s">
        <v>28</v>
      </c>
      <c r="K195" s="5">
        <v>46107.0</v>
      </c>
      <c r="L195" s="4" t="str">
        <f t="shared" si="1"/>
        <v>Sebastián Sepúlveda Silva</v>
      </c>
      <c r="M195" s="6" t="str">
        <f t="shared" si="2"/>
        <v>13.347.500-4</v>
      </c>
      <c r="N195" s="6" t="str">
        <f t="shared" si="3"/>
        <v>Providencia - Santiago - Región Metropolitana</v>
      </c>
      <c r="O195" s="4"/>
    </row>
    <row r="196">
      <c r="A196" s="1" t="s">
        <v>1654</v>
      </c>
      <c r="B196" s="1" t="s">
        <v>1655</v>
      </c>
      <c r="C196" s="1" t="s">
        <v>1657</v>
      </c>
      <c r="D196" s="1" t="s">
        <v>1659</v>
      </c>
      <c r="E196" s="1" t="s">
        <v>33</v>
      </c>
      <c r="F196" s="1" t="s">
        <v>33</v>
      </c>
      <c r="G196" s="1" t="s">
        <v>34</v>
      </c>
      <c r="H196" s="2">
        <v>640000.0</v>
      </c>
      <c r="I196" s="1">
        <v>60.0</v>
      </c>
      <c r="J196" s="1" t="s">
        <v>47</v>
      </c>
      <c r="K196" s="5">
        <v>46076.0</v>
      </c>
      <c r="L196" s="4" t="str">
        <f t="shared" si="1"/>
        <v>Francisca Silva Muñoz</v>
      </c>
      <c r="M196" s="6" t="str">
        <f t="shared" si="2"/>
        <v>21.977.460-4</v>
      </c>
      <c r="N196" s="6" t="str">
        <f t="shared" si="3"/>
        <v>Puerto Montt - Puerto Montt - Región de Los Lagos</v>
      </c>
      <c r="O196" s="4"/>
    </row>
    <row r="197">
      <c r="A197" s="1" t="s">
        <v>1663</v>
      </c>
      <c r="B197" s="1" t="s">
        <v>1664</v>
      </c>
      <c r="C197" s="1" t="s">
        <v>1665</v>
      </c>
      <c r="D197" s="1" t="s">
        <v>1666</v>
      </c>
      <c r="E197" s="1" t="s">
        <v>45</v>
      </c>
      <c r="F197" s="1" t="s">
        <v>45</v>
      </c>
      <c r="G197" s="1" t="s">
        <v>46</v>
      </c>
      <c r="H197" s="2">
        <v>4960000.0</v>
      </c>
      <c r="I197" s="1">
        <v>45.0</v>
      </c>
      <c r="J197" s="1" t="s">
        <v>73</v>
      </c>
      <c r="K197" s="5">
        <v>46099.0</v>
      </c>
      <c r="L197" s="4" t="str">
        <f t="shared" si="1"/>
        <v>Matías Muñoz González</v>
      </c>
      <c r="M197" s="6" t="str">
        <f t="shared" si="2"/>
        <v>22.258.129-1</v>
      </c>
      <c r="N197" s="6" t="str">
        <f t="shared" si="3"/>
        <v>Temuco - Temuco - Región de la Araucanía</v>
      </c>
      <c r="O197" s="4"/>
    </row>
    <row r="198">
      <c r="A198" s="1" t="s">
        <v>1668</v>
      </c>
      <c r="B198" s="1" t="s">
        <v>1670</v>
      </c>
      <c r="C198" s="1" t="s">
        <v>1671</v>
      </c>
      <c r="D198" s="1" t="s">
        <v>1672</v>
      </c>
      <c r="E198" s="1" t="s">
        <v>61</v>
      </c>
      <c r="F198" s="1" t="s">
        <v>62</v>
      </c>
      <c r="G198" s="1" t="s">
        <v>63</v>
      </c>
      <c r="H198" s="2">
        <v>4540000.0</v>
      </c>
      <c r="I198" s="1">
        <v>0.0</v>
      </c>
      <c r="J198" s="1" t="s">
        <v>47</v>
      </c>
      <c r="K198" s="5">
        <v>46049.0</v>
      </c>
      <c r="L198" s="4" t="str">
        <f t="shared" si="1"/>
        <v>Sofia Contreras Sepúlveda</v>
      </c>
      <c r="M198" s="6" t="str">
        <f t="shared" si="2"/>
        <v>16.632.116-2</v>
      </c>
      <c r="N198" s="6" t="str">
        <f t="shared" si="3"/>
        <v>Santiago Centro - Santiago - Región Metropolitana</v>
      </c>
      <c r="O198" s="4"/>
    </row>
    <row r="199">
      <c r="A199" s="1" t="s">
        <v>1673</v>
      </c>
      <c r="B199" s="1" t="s">
        <v>1674</v>
      </c>
      <c r="C199" s="1" t="s">
        <v>1675</v>
      </c>
      <c r="D199" s="1" t="s">
        <v>1677</v>
      </c>
      <c r="E199" s="1" t="s">
        <v>33</v>
      </c>
      <c r="F199" s="1" t="s">
        <v>33</v>
      </c>
      <c r="G199" s="1" t="s">
        <v>34</v>
      </c>
      <c r="H199" s="2">
        <v>1.986E7</v>
      </c>
      <c r="I199" s="1">
        <v>0.0</v>
      </c>
      <c r="J199" s="1" t="s">
        <v>73</v>
      </c>
      <c r="K199" s="5">
        <v>46174.0</v>
      </c>
      <c r="L199" s="4" t="str">
        <f t="shared" si="1"/>
        <v>Felipe Silva Valenzuela</v>
      </c>
      <c r="M199" s="6" t="str">
        <f t="shared" si="2"/>
        <v>18.781.729-8</v>
      </c>
      <c r="N199" s="6" t="str">
        <f t="shared" si="3"/>
        <v>Puerto Montt - Puerto Montt - Región de Los Lagos</v>
      </c>
      <c r="O199" s="4"/>
    </row>
    <row r="200">
      <c r="A200" s="1" t="s">
        <v>1679</v>
      </c>
      <c r="B200" s="1" t="s">
        <v>1680</v>
      </c>
      <c r="C200" s="1" t="s">
        <v>1681</v>
      </c>
      <c r="D200" s="1" t="s">
        <v>1682</v>
      </c>
      <c r="E200" s="1" t="s">
        <v>118</v>
      </c>
      <c r="F200" s="1" t="s">
        <v>62</v>
      </c>
      <c r="G200" s="1" t="s">
        <v>63</v>
      </c>
      <c r="H200" s="2">
        <v>4340000.0</v>
      </c>
      <c r="I200" s="1">
        <v>120.0</v>
      </c>
      <c r="J200" s="1" t="s">
        <v>20</v>
      </c>
      <c r="K200" s="5">
        <v>46216.0</v>
      </c>
      <c r="L200" s="4" t="str">
        <f t="shared" si="1"/>
        <v>Sofia Pérez González</v>
      </c>
      <c r="M200" s="6" t="str">
        <f t="shared" si="2"/>
        <v>21135963-2</v>
      </c>
      <c r="N200" s="6" t="str">
        <f t="shared" si="3"/>
        <v>Maipú - Santiago - Región Metropolitana</v>
      </c>
      <c r="O200" s="4"/>
    </row>
    <row r="201">
      <c r="A201" s="1" t="s">
        <v>1684</v>
      </c>
      <c r="B201" s="1" t="s">
        <v>1685</v>
      </c>
      <c r="C201" s="1" t="s">
        <v>1687</v>
      </c>
      <c r="D201" s="1" t="s">
        <v>1689</v>
      </c>
      <c r="E201" s="1" t="s">
        <v>25</v>
      </c>
      <c r="F201" s="1" t="s">
        <v>26</v>
      </c>
      <c r="G201" s="1" t="s">
        <v>27</v>
      </c>
      <c r="H201" s="2">
        <v>1.424E7</v>
      </c>
      <c r="I201" s="1">
        <v>120.0</v>
      </c>
      <c r="J201" s="1" t="s">
        <v>97</v>
      </c>
      <c r="K201" s="5">
        <v>46174.0</v>
      </c>
      <c r="L201" s="4" t="str">
        <f t="shared" si="1"/>
        <v>Rodrigo Díaz López</v>
      </c>
      <c r="M201" s="6" t="str">
        <f t="shared" si="2"/>
        <v>21.302.188-7</v>
      </c>
      <c r="N201" s="6" t="str">
        <f t="shared" si="3"/>
        <v>Viña del Mar - Valparaíso - Región de Valparaíso</v>
      </c>
      <c r="O201" s="4"/>
    </row>
    <row r="202">
      <c r="A202" s="1" t="s">
        <v>1694</v>
      </c>
      <c r="B202" s="1" t="s">
        <v>1696</v>
      </c>
      <c r="C202" s="1" t="s">
        <v>1698</v>
      </c>
      <c r="D202" s="1" t="s">
        <v>1699</v>
      </c>
      <c r="E202" s="1" t="s">
        <v>25</v>
      </c>
      <c r="F202" s="1" t="s">
        <v>26</v>
      </c>
      <c r="G202" s="1" t="s">
        <v>27</v>
      </c>
      <c r="H202" s="2">
        <v>1370000.0</v>
      </c>
      <c r="I202" s="1">
        <v>0.0</v>
      </c>
      <c r="J202" s="1" t="s">
        <v>47</v>
      </c>
      <c r="K202" s="5">
        <v>46188.0</v>
      </c>
      <c r="L202" s="4" t="str">
        <f t="shared" si="1"/>
        <v>Francisca Contreras González</v>
      </c>
      <c r="M202" s="6" t="str">
        <f t="shared" si="2"/>
        <v>20.402.060-0</v>
      </c>
      <c r="N202" s="6" t="str">
        <f t="shared" si="3"/>
        <v>Viña del Mar - Valparaíso - Región de Valparaíso</v>
      </c>
      <c r="O202" s="4"/>
    </row>
    <row r="203">
      <c r="A203" s="1" t="s">
        <v>1701</v>
      </c>
      <c r="B203" s="1" t="s">
        <v>1702</v>
      </c>
      <c r="C203" s="1" t="s">
        <v>1703</v>
      </c>
      <c r="D203" s="1" t="s">
        <v>1704</v>
      </c>
      <c r="E203" s="1" t="s">
        <v>194</v>
      </c>
      <c r="F203" s="1" t="s">
        <v>62</v>
      </c>
      <c r="G203" s="1" t="s">
        <v>63</v>
      </c>
      <c r="H203" s="2">
        <v>2160000.0</v>
      </c>
      <c r="I203" s="1">
        <v>0.0</v>
      </c>
      <c r="J203" s="1" t="s">
        <v>47</v>
      </c>
      <c r="K203" s="5">
        <v>46080.0</v>
      </c>
      <c r="L203" s="4" t="str">
        <f t="shared" si="1"/>
        <v>Javier Morales Fuentes</v>
      </c>
      <c r="M203" s="6" t="str">
        <f t="shared" si="2"/>
        <v>19244049-1</v>
      </c>
      <c r="N203" s="6" t="str">
        <f t="shared" si="3"/>
        <v>Las Condes - Santiago - Región Metropolitana</v>
      </c>
      <c r="O203" s="4"/>
    </row>
    <row r="204">
      <c r="A204" s="1" t="s">
        <v>1709</v>
      </c>
      <c r="B204" s="1" t="s">
        <v>1710</v>
      </c>
      <c r="C204" s="1" t="s">
        <v>1711</v>
      </c>
      <c r="D204" s="1" t="s">
        <v>1712</v>
      </c>
      <c r="E204" s="1" t="s">
        <v>18</v>
      </c>
      <c r="F204" s="1" t="s">
        <v>18</v>
      </c>
      <c r="G204" s="1" t="s">
        <v>19</v>
      </c>
      <c r="H204" s="2">
        <v>1.515E7</v>
      </c>
      <c r="I204" s="1">
        <v>0.0</v>
      </c>
      <c r="J204" s="1" t="s">
        <v>97</v>
      </c>
      <c r="K204" s="5">
        <v>46199.0</v>
      </c>
      <c r="L204" s="4" t="str">
        <f t="shared" si="1"/>
        <v>Sofia Silva Muñoz</v>
      </c>
      <c r="M204" s="6" t="str">
        <f t="shared" si="2"/>
        <v>19.448.862-6</v>
      </c>
      <c r="N204" s="6" t="str">
        <f t="shared" si="3"/>
        <v>La Serena - La Serena - Región de Coquimbo</v>
      </c>
      <c r="O204" s="4"/>
    </row>
    <row r="205">
      <c r="A205" s="1" t="s">
        <v>1713</v>
      </c>
      <c r="B205" s="1" t="s">
        <v>1714</v>
      </c>
      <c r="C205" s="1" t="s">
        <v>1716</v>
      </c>
      <c r="D205" s="1" t="s">
        <v>1717</v>
      </c>
      <c r="E205" s="1" t="s">
        <v>56</v>
      </c>
      <c r="F205" s="1" t="s">
        <v>39</v>
      </c>
      <c r="G205" s="1" t="s">
        <v>40</v>
      </c>
      <c r="H205" s="2">
        <v>1.469E7</v>
      </c>
      <c r="I205" s="1">
        <v>60.0</v>
      </c>
      <c r="J205" s="1" t="s">
        <v>97</v>
      </c>
      <c r="K205" s="5">
        <v>46214.0</v>
      </c>
      <c r="L205" s="4" t="str">
        <f t="shared" si="1"/>
        <v>Gonzalo López Muñoz</v>
      </c>
      <c r="M205" s="6" t="str">
        <f t="shared" si="2"/>
        <v>18.906.949-2</v>
      </c>
      <c r="N205" s="6" t="str">
        <f t="shared" si="3"/>
        <v>Talcahuano - Concepción - Región del Biobío</v>
      </c>
      <c r="O205" s="4"/>
    </row>
    <row r="206">
      <c r="A206" s="1" t="s">
        <v>1429</v>
      </c>
      <c r="B206" s="1" t="s">
        <v>1430</v>
      </c>
      <c r="C206" s="1" t="s">
        <v>1719</v>
      </c>
      <c r="D206" s="1" t="s">
        <v>761</v>
      </c>
      <c r="E206" s="1" t="s">
        <v>56</v>
      </c>
      <c r="F206" s="1" t="s">
        <v>39</v>
      </c>
      <c r="G206" s="1" t="s">
        <v>40</v>
      </c>
      <c r="H206" s="2">
        <v>8870000.0</v>
      </c>
      <c r="I206" s="1">
        <v>15.0</v>
      </c>
      <c r="J206" s="1" t="s">
        <v>47</v>
      </c>
      <c r="K206" s="5">
        <v>46195.0</v>
      </c>
      <c r="L206" s="4" t="str">
        <f t="shared" si="1"/>
        <v>Camila Contreras Silva</v>
      </c>
      <c r="M206" s="6" t="str">
        <f t="shared" si="2"/>
        <v>19.132.132-4</v>
      </c>
      <c r="N206" s="6" t="str">
        <f t="shared" si="3"/>
        <v>Talcahuano - Concepción - Región del Biobío</v>
      </c>
      <c r="O206" s="4"/>
    </row>
    <row r="207">
      <c r="A207" s="1" t="s">
        <v>1723</v>
      </c>
      <c r="B207" s="1" t="s">
        <v>1724</v>
      </c>
      <c r="C207" s="1" t="s">
        <v>1725</v>
      </c>
      <c r="D207" s="1" t="s">
        <v>1727</v>
      </c>
      <c r="E207" s="1" t="s">
        <v>39</v>
      </c>
      <c r="F207" s="1" t="s">
        <v>39</v>
      </c>
      <c r="G207" s="1" t="s">
        <v>40</v>
      </c>
      <c r="H207" s="2">
        <v>6640000.0</v>
      </c>
      <c r="I207" s="1">
        <v>0.0</v>
      </c>
      <c r="J207" s="1" t="s">
        <v>97</v>
      </c>
      <c r="K207" s="5">
        <v>46134.0</v>
      </c>
      <c r="L207" s="4" t="str">
        <f t="shared" si="1"/>
        <v>Ignacio Soto Espinoza</v>
      </c>
      <c r="M207" s="6" t="str">
        <f t="shared" si="2"/>
        <v>12.577.238-5</v>
      </c>
      <c r="N207" s="6" t="str">
        <f t="shared" si="3"/>
        <v>Concepción - Concepción - Región del Biobío</v>
      </c>
      <c r="O207" s="4"/>
    </row>
    <row r="208">
      <c r="A208" s="1" t="s">
        <v>1729</v>
      </c>
      <c r="B208" s="1" t="s">
        <v>1730</v>
      </c>
      <c r="C208" s="1" t="s">
        <v>1731</v>
      </c>
      <c r="D208" s="1" t="s">
        <v>1732</v>
      </c>
      <c r="E208" s="1" t="s">
        <v>33</v>
      </c>
      <c r="F208" s="1" t="s">
        <v>33</v>
      </c>
      <c r="G208" s="1" t="s">
        <v>34</v>
      </c>
      <c r="H208" s="2">
        <v>8010000.0</v>
      </c>
      <c r="I208" s="1">
        <v>45.0</v>
      </c>
      <c r="J208" s="1" t="s">
        <v>47</v>
      </c>
      <c r="K208" s="5">
        <v>46108.0</v>
      </c>
      <c r="L208" s="4" t="str">
        <f t="shared" si="1"/>
        <v>Daniela Díaz Araya</v>
      </c>
      <c r="M208" s="6" t="str">
        <f t="shared" si="2"/>
        <v>14.974.035-2</v>
      </c>
      <c r="N208" s="6" t="str">
        <f t="shared" si="3"/>
        <v>Puerto Montt - Puerto Montt - Región de Los Lagos</v>
      </c>
      <c r="O208" s="4"/>
    </row>
    <row r="209">
      <c r="A209" s="1" t="s">
        <v>1733</v>
      </c>
      <c r="B209" s="1" t="s">
        <v>1734</v>
      </c>
      <c r="C209" s="1" t="s">
        <v>1735</v>
      </c>
      <c r="D209" s="1" t="s">
        <v>1736</v>
      </c>
      <c r="E209" s="1" t="s">
        <v>56</v>
      </c>
      <c r="F209" s="1" t="s">
        <v>39</v>
      </c>
      <c r="G209" s="1" t="s">
        <v>40</v>
      </c>
      <c r="H209" s="2">
        <v>1.57E7</v>
      </c>
      <c r="I209" s="1">
        <v>0.0</v>
      </c>
      <c r="J209" s="1" t="s">
        <v>73</v>
      </c>
      <c r="K209" s="5">
        <v>46024.0</v>
      </c>
      <c r="L209" s="4" t="str">
        <f t="shared" si="1"/>
        <v>Mauricio Morales González</v>
      </c>
      <c r="M209" s="6" t="str">
        <f t="shared" si="2"/>
        <v>17.189.268-3</v>
      </c>
      <c r="N209" s="6" t="str">
        <f t="shared" si="3"/>
        <v>Talcahuano - Concepción - Región del Biobío</v>
      </c>
      <c r="O209" s="4"/>
    </row>
    <row r="210">
      <c r="A210" s="1" t="s">
        <v>1010</v>
      </c>
      <c r="B210" s="1" t="s">
        <v>1012</v>
      </c>
      <c r="C210" s="1" t="s">
        <v>1013</v>
      </c>
      <c r="D210" s="1" t="s">
        <v>1014</v>
      </c>
      <c r="E210" s="1" t="s">
        <v>72</v>
      </c>
      <c r="F210" s="1" t="s">
        <v>62</v>
      </c>
      <c r="G210" s="1" t="s">
        <v>63</v>
      </c>
      <c r="H210" s="2">
        <v>2.025E7</v>
      </c>
      <c r="I210" s="1">
        <v>45.0</v>
      </c>
      <c r="J210" s="1" t="s">
        <v>20</v>
      </c>
      <c r="K210" s="5">
        <v>46030.0</v>
      </c>
      <c r="L210" s="4" t="str">
        <f t="shared" si="1"/>
        <v>Beatriz Araya Fuentes</v>
      </c>
      <c r="M210" s="6" t="str">
        <f t="shared" si="2"/>
        <v>15.447.490-9</v>
      </c>
      <c r="N210" s="6" t="str">
        <f t="shared" si="3"/>
        <v>Providencia - Santiago - Región Metropolitana</v>
      </c>
      <c r="O210" s="4"/>
    </row>
    <row r="211">
      <c r="A211" s="1" t="s">
        <v>1738</v>
      </c>
      <c r="B211" s="1" t="s">
        <v>1739</v>
      </c>
      <c r="C211" s="1" t="s">
        <v>1740</v>
      </c>
      <c r="D211" s="1" t="s">
        <v>1741</v>
      </c>
      <c r="E211" s="1" t="s">
        <v>18</v>
      </c>
      <c r="F211" s="1" t="s">
        <v>18</v>
      </c>
      <c r="G211" s="1" t="s">
        <v>19</v>
      </c>
      <c r="H211" s="2">
        <v>2.062E7</v>
      </c>
      <c r="I211" s="1">
        <v>120.0</v>
      </c>
      <c r="J211" s="1" t="s">
        <v>28</v>
      </c>
      <c r="K211" s="5">
        <v>46040.0</v>
      </c>
      <c r="L211" s="4" t="str">
        <f t="shared" si="1"/>
        <v>Diego Sepúlveda Tapia</v>
      </c>
      <c r="M211" s="6" t="str">
        <f t="shared" si="2"/>
        <v>12504337-5</v>
      </c>
      <c r="N211" s="6" t="str">
        <f t="shared" si="3"/>
        <v>La Serena - La Serena - Región de Coquimbo</v>
      </c>
      <c r="O211" s="4"/>
    </row>
    <row r="212">
      <c r="A212" s="1" t="s">
        <v>1743</v>
      </c>
      <c r="B212" s="1" t="s">
        <v>1744</v>
      </c>
      <c r="C212" s="1" t="s">
        <v>1745</v>
      </c>
      <c r="D212" s="1" t="s">
        <v>1746</v>
      </c>
      <c r="E212" s="1" t="s">
        <v>25</v>
      </c>
      <c r="F212" s="1" t="s">
        <v>26</v>
      </c>
      <c r="G212" s="1" t="s">
        <v>27</v>
      </c>
      <c r="H212" s="2">
        <v>7080000.0</v>
      </c>
      <c r="I212" s="1">
        <v>60.0</v>
      </c>
      <c r="J212" s="1" t="s">
        <v>97</v>
      </c>
      <c r="K212" s="5">
        <v>46199.0</v>
      </c>
      <c r="L212" s="4" t="str">
        <f t="shared" si="1"/>
        <v>Macarena Rojas Espinoza</v>
      </c>
      <c r="M212" s="6" t="str">
        <f t="shared" si="2"/>
        <v>18.375.973-3</v>
      </c>
      <c r="N212" s="6" t="str">
        <f t="shared" si="3"/>
        <v>Viña del Mar - Valparaíso - Región de Valparaíso</v>
      </c>
      <c r="O212" s="4"/>
    </row>
    <row r="213">
      <c r="A213" s="1" t="s">
        <v>1748</v>
      </c>
      <c r="B213" s="1" t="s">
        <v>1749</v>
      </c>
      <c r="C213" s="1" t="s">
        <v>1750</v>
      </c>
      <c r="D213" s="1" t="s">
        <v>1751</v>
      </c>
      <c r="E213" s="1" t="s">
        <v>118</v>
      </c>
      <c r="F213" s="1" t="s">
        <v>62</v>
      </c>
      <c r="G213" s="1" t="s">
        <v>63</v>
      </c>
      <c r="H213" s="2">
        <v>1.873E7</v>
      </c>
      <c r="I213" s="1">
        <v>30.0</v>
      </c>
      <c r="J213" s="1" t="s">
        <v>73</v>
      </c>
      <c r="K213" s="5">
        <v>46219.0</v>
      </c>
      <c r="L213" s="4" t="str">
        <f t="shared" si="1"/>
        <v>Claudio Rojas Valenzuela</v>
      </c>
      <c r="M213" s="6" t="str">
        <f t="shared" si="2"/>
        <v>18.622.686-3</v>
      </c>
      <c r="N213" s="6" t="str">
        <f t="shared" si="3"/>
        <v>Maipú - Santiago - Región Metropolitana</v>
      </c>
      <c r="O213" s="4"/>
    </row>
    <row r="214">
      <c r="A214" s="1" t="s">
        <v>1753</v>
      </c>
      <c r="B214" s="1" t="s">
        <v>1754</v>
      </c>
      <c r="C214" s="1" t="s">
        <v>1755</v>
      </c>
      <c r="D214" s="1" t="s">
        <v>1756</v>
      </c>
      <c r="E214" s="1" t="s">
        <v>26</v>
      </c>
      <c r="F214" s="1" t="s">
        <v>26</v>
      </c>
      <c r="G214" s="1" t="s">
        <v>27</v>
      </c>
      <c r="H214" s="2">
        <v>760000.0</v>
      </c>
      <c r="I214" s="1">
        <v>45.0</v>
      </c>
      <c r="J214" s="1" t="s">
        <v>20</v>
      </c>
      <c r="K214" s="5">
        <v>46180.0</v>
      </c>
      <c r="L214" s="4" t="str">
        <f t="shared" si="1"/>
        <v>Paula Fuentes Araya</v>
      </c>
      <c r="M214" s="6" t="str">
        <f t="shared" si="2"/>
        <v>18.955.877-2</v>
      </c>
      <c r="N214" s="6" t="str">
        <f t="shared" si="3"/>
        <v>Valparaíso - Valparaíso - Región de Valparaíso</v>
      </c>
      <c r="O214" s="4"/>
    </row>
    <row r="215">
      <c r="A215" s="1" t="s">
        <v>1761</v>
      </c>
      <c r="B215" s="1" t="s">
        <v>1763</v>
      </c>
      <c r="C215" s="1" t="s">
        <v>1764</v>
      </c>
      <c r="D215" s="1" t="s">
        <v>1765</v>
      </c>
      <c r="E215" s="1" t="s">
        <v>61</v>
      </c>
      <c r="F215" s="1" t="s">
        <v>62</v>
      </c>
      <c r="G215" s="1" t="s">
        <v>63</v>
      </c>
      <c r="H215" s="2">
        <v>2.154E7</v>
      </c>
      <c r="I215" s="1">
        <v>15.0</v>
      </c>
      <c r="J215" s="1" t="s">
        <v>97</v>
      </c>
      <c r="K215" s="5">
        <v>46069.0</v>
      </c>
      <c r="L215" s="4" t="str">
        <f t="shared" si="1"/>
        <v>Tomas González Silva</v>
      </c>
      <c r="M215" s="6" t="str">
        <f t="shared" si="2"/>
        <v>13.544.045-8</v>
      </c>
      <c r="N215" s="6" t="str">
        <f t="shared" si="3"/>
        <v>Santiago Centro - Santiago - Región Metropolitana</v>
      </c>
      <c r="O215" s="4"/>
    </row>
    <row r="216">
      <c r="A216" s="1" t="s">
        <v>1767</v>
      </c>
      <c r="B216" s="1" t="s">
        <v>1768</v>
      </c>
      <c r="C216" s="1" t="s">
        <v>1769</v>
      </c>
      <c r="D216" s="1" t="s">
        <v>1770</v>
      </c>
      <c r="E216" s="1" t="s">
        <v>118</v>
      </c>
      <c r="F216" s="1" t="s">
        <v>62</v>
      </c>
      <c r="G216" s="1" t="s">
        <v>63</v>
      </c>
      <c r="H216" s="2">
        <v>9890000.0</v>
      </c>
      <c r="I216" s="1">
        <v>90.0</v>
      </c>
      <c r="J216" s="1" t="s">
        <v>47</v>
      </c>
      <c r="K216" s="5">
        <v>46231.0</v>
      </c>
      <c r="L216" s="4" t="str">
        <f t="shared" si="1"/>
        <v>Daniela Contreras Díaz</v>
      </c>
      <c r="M216" s="6" t="str">
        <f t="shared" si="2"/>
        <v>16288328-4</v>
      </c>
      <c r="N216" s="6" t="str">
        <f t="shared" si="3"/>
        <v>Maipú - Santiago - Región Metropolitana</v>
      </c>
      <c r="O216" s="4"/>
    </row>
    <row r="217">
      <c r="A217" s="1" t="s">
        <v>1776</v>
      </c>
      <c r="B217" s="1" t="s">
        <v>1777</v>
      </c>
      <c r="C217" s="1" t="s">
        <v>1778</v>
      </c>
      <c r="D217" s="1" t="s">
        <v>1113</v>
      </c>
      <c r="E217" s="1" t="s">
        <v>26</v>
      </c>
      <c r="F217" s="1" t="s">
        <v>26</v>
      </c>
      <c r="G217" s="1" t="s">
        <v>27</v>
      </c>
      <c r="H217" s="2">
        <v>2.001E7</v>
      </c>
      <c r="I217" s="1">
        <v>0.0</v>
      </c>
      <c r="J217" s="1" t="s">
        <v>73</v>
      </c>
      <c r="K217" s="5">
        <v>46185.0</v>
      </c>
      <c r="L217" s="4" t="str">
        <f t="shared" si="1"/>
        <v>Javier Muñoz Espinoza</v>
      </c>
      <c r="M217" s="6" t="str">
        <f t="shared" si="2"/>
        <v>12.573.722-5</v>
      </c>
      <c r="N217" s="6" t="str">
        <f t="shared" si="3"/>
        <v>Valparaíso - Valparaíso - Región de Valparaíso</v>
      </c>
      <c r="O217" s="4"/>
    </row>
    <row r="218">
      <c r="A218" s="1" t="s">
        <v>1780</v>
      </c>
      <c r="B218" s="1" t="s">
        <v>1781</v>
      </c>
      <c r="C218" s="1" t="s">
        <v>1782</v>
      </c>
      <c r="D218" s="1" t="s">
        <v>1783</v>
      </c>
      <c r="E218" s="1" t="s">
        <v>61</v>
      </c>
      <c r="F218" s="1" t="s">
        <v>62</v>
      </c>
      <c r="G218" s="1" t="s">
        <v>63</v>
      </c>
      <c r="H218" s="2">
        <v>1.038E7</v>
      </c>
      <c r="I218" s="1">
        <v>0.0</v>
      </c>
      <c r="J218" s="1" t="s">
        <v>28</v>
      </c>
      <c r="K218" s="5">
        <v>46213.0</v>
      </c>
      <c r="L218" s="4" t="str">
        <f t="shared" si="1"/>
        <v>Fernanda Muñoz López</v>
      </c>
      <c r="M218" s="6" t="str">
        <f t="shared" si="2"/>
        <v>15.357.005-K</v>
      </c>
      <c r="N218" s="6" t="str">
        <f t="shared" si="3"/>
        <v>Santiago Centro - Santiago - Región Metropolitana</v>
      </c>
      <c r="O218" s="4"/>
    </row>
    <row r="219">
      <c r="A219" s="1" t="s">
        <v>1789</v>
      </c>
      <c r="B219" s="1" t="s">
        <v>1790</v>
      </c>
      <c r="C219" s="1" t="s">
        <v>1791</v>
      </c>
      <c r="D219" s="1" t="s">
        <v>1792</v>
      </c>
      <c r="E219" s="1" t="s">
        <v>25</v>
      </c>
      <c r="F219" s="1" t="s">
        <v>26</v>
      </c>
      <c r="G219" s="1" t="s">
        <v>27</v>
      </c>
      <c r="H219" s="2">
        <v>2.118E7</v>
      </c>
      <c r="I219" s="1">
        <v>60.0</v>
      </c>
      <c r="J219" s="1" t="s">
        <v>28</v>
      </c>
      <c r="K219" s="5">
        <v>46029.0</v>
      </c>
      <c r="L219" s="4" t="str">
        <f t="shared" si="1"/>
        <v>Hernán Soto Muñoz</v>
      </c>
      <c r="M219" s="6" t="str">
        <f t="shared" si="2"/>
        <v>14.126.254-8</v>
      </c>
      <c r="N219" s="6" t="str">
        <f t="shared" si="3"/>
        <v>Viña del Mar - Valparaíso - Región de Valparaíso</v>
      </c>
      <c r="O219" s="4"/>
    </row>
    <row r="220">
      <c r="A220" s="1" t="s">
        <v>1793</v>
      </c>
      <c r="B220" s="1" t="s">
        <v>1794</v>
      </c>
      <c r="C220" s="1" t="s">
        <v>1795</v>
      </c>
      <c r="D220" s="1" t="s">
        <v>1712</v>
      </c>
      <c r="E220" s="1" t="s">
        <v>61</v>
      </c>
      <c r="F220" s="1" t="s">
        <v>62</v>
      </c>
      <c r="G220" s="1" t="s">
        <v>63</v>
      </c>
      <c r="H220" s="2">
        <v>8320000.0</v>
      </c>
      <c r="I220" s="1">
        <v>15.0</v>
      </c>
      <c r="J220" s="1" t="s">
        <v>28</v>
      </c>
      <c r="K220" s="5">
        <v>46035.0</v>
      </c>
      <c r="L220" s="4" t="str">
        <f t="shared" si="1"/>
        <v>Sofia Silva Morales</v>
      </c>
      <c r="M220" s="6" t="str">
        <f t="shared" si="2"/>
        <v>17610948-8</v>
      </c>
      <c r="N220" s="6" t="str">
        <f t="shared" si="3"/>
        <v>Santiago Centro - Santiago - Región Metropolitana</v>
      </c>
      <c r="O220" s="4"/>
    </row>
    <row r="221">
      <c r="A221" s="1" t="s">
        <v>1799</v>
      </c>
      <c r="B221" s="1" t="s">
        <v>1800</v>
      </c>
      <c r="C221" s="1" t="s">
        <v>1802</v>
      </c>
      <c r="D221" s="1" t="s">
        <v>1803</v>
      </c>
      <c r="E221" s="1" t="s">
        <v>56</v>
      </c>
      <c r="F221" s="1" t="s">
        <v>39</v>
      </c>
      <c r="G221" s="1" t="s">
        <v>40</v>
      </c>
      <c r="H221" s="2">
        <v>1.291E7</v>
      </c>
      <c r="I221" s="1">
        <v>15.0</v>
      </c>
      <c r="J221" s="1" t="s">
        <v>47</v>
      </c>
      <c r="K221" s="5">
        <v>46121.0</v>
      </c>
      <c r="L221" s="4" t="str">
        <f t="shared" si="1"/>
        <v>Rodrigo Tapia González</v>
      </c>
      <c r="M221" s="6" t="str">
        <f t="shared" si="2"/>
        <v>16129204-0</v>
      </c>
      <c r="N221" s="6" t="str">
        <f t="shared" si="3"/>
        <v>Talcahuano - Concepción - Región del Biobío</v>
      </c>
      <c r="O221" s="4"/>
    </row>
    <row r="222">
      <c r="A222" s="1" t="s">
        <v>1805</v>
      </c>
      <c r="B222" s="1" t="s">
        <v>1806</v>
      </c>
      <c r="C222" s="1" t="s">
        <v>1807</v>
      </c>
      <c r="D222" s="1" t="s">
        <v>1808</v>
      </c>
      <c r="E222" s="1" t="s">
        <v>56</v>
      </c>
      <c r="F222" s="1" t="s">
        <v>39</v>
      </c>
      <c r="G222" s="1" t="s">
        <v>40</v>
      </c>
      <c r="H222" s="2">
        <v>1.503E7</v>
      </c>
      <c r="I222" s="1">
        <v>15.0</v>
      </c>
      <c r="J222" s="1" t="s">
        <v>47</v>
      </c>
      <c r="K222" s="5">
        <v>46205.0</v>
      </c>
      <c r="L222" s="4" t="str">
        <f t="shared" si="1"/>
        <v>Marcela Fuentes Araya</v>
      </c>
      <c r="M222" s="6" t="str">
        <f t="shared" si="2"/>
        <v>14409785-2</v>
      </c>
      <c r="N222" s="6" t="str">
        <f t="shared" si="3"/>
        <v>Talcahuano - Concepción - Región del Biobío</v>
      </c>
      <c r="O222" s="4"/>
    </row>
    <row r="223">
      <c r="A223" s="1" t="s">
        <v>1814</v>
      </c>
      <c r="B223" s="1" t="s">
        <v>1815</v>
      </c>
      <c r="C223" s="1" t="s">
        <v>1816</v>
      </c>
      <c r="D223" s="1" t="s">
        <v>1817</v>
      </c>
      <c r="E223" s="1" t="s">
        <v>18</v>
      </c>
      <c r="F223" s="1" t="s">
        <v>18</v>
      </c>
      <c r="G223" s="1" t="s">
        <v>19</v>
      </c>
      <c r="H223" s="2">
        <v>8390000.0</v>
      </c>
      <c r="I223" s="1">
        <v>120.0</v>
      </c>
      <c r="J223" s="1" t="s">
        <v>47</v>
      </c>
      <c r="K223" s="5">
        <v>46230.0</v>
      </c>
      <c r="L223" s="4" t="str">
        <f t="shared" si="1"/>
        <v>Felipe Pérez Fuentes</v>
      </c>
      <c r="M223" s="6" t="str">
        <f t="shared" si="2"/>
        <v>13.831.723-5</v>
      </c>
      <c r="N223" s="6" t="str">
        <f t="shared" si="3"/>
        <v>La Serena - La Serena - Región de Coquimbo</v>
      </c>
      <c r="O223" s="4"/>
    </row>
    <row r="224">
      <c r="A224" s="1" t="s">
        <v>1819</v>
      </c>
      <c r="B224" s="1" t="s">
        <v>1820</v>
      </c>
      <c r="C224" s="1" t="s">
        <v>1821</v>
      </c>
      <c r="D224" s="1" t="s">
        <v>1822</v>
      </c>
      <c r="E224" s="1" t="s">
        <v>45</v>
      </c>
      <c r="F224" s="1" t="s">
        <v>45</v>
      </c>
      <c r="G224" s="1" t="s">
        <v>46</v>
      </c>
      <c r="H224" s="2">
        <v>2.068E7</v>
      </c>
      <c r="I224" s="1">
        <v>120.0</v>
      </c>
      <c r="J224" s="1" t="s">
        <v>28</v>
      </c>
      <c r="K224" s="5">
        <v>46091.0</v>
      </c>
      <c r="L224" s="4" t="str">
        <f t="shared" si="1"/>
        <v>Carolina González Valenzuela</v>
      </c>
      <c r="M224" s="6" t="str">
        <f t="shared" si="2"/>
        <v>20.135.847-2</v>
      </c>
      <c r="N224" s="6" t="str">
        <f t="shared" si="3"/>
        <v>Temuco - Temuco - Región de la Araucanía</v>
      </c>
      <c r="O224" s="4"/>
    </row>
    <row r="225">
      <c r="A225" s="1" t="s">
        <v>1828</v>
      </c>
      <c r="B225" s="1" t="s">
        <v>1829</v>
      </c>
      <c r="C225" s="1" t="s">
        <v>1830</v>
      </c>
      <c r="D225" s="1" t="s">
        <v>1831</v>
      </c>
      <c r="E225" s="1" t="s">
        <v>26</v>
      </c>
      <c r="F225" s="1" t="s">
        <v>26</v>
      </c>
      <c r="G225" s="1" t="s">
        <v>27</v>
      </c>
      <c r="H225" s="2">
        <v>1.554E7</v>
      </c>
      <c r="I225" s="1">
        <v>30.0</v>
      </c>
      <c r="J225" s="1" t="s">
        <v>97</v>
      </c>
      <c r="K225" s="5">
        <v>46190.0</v>
      </c>
      <c r="L225" s="4" t="str">
        <f t="shared" si="1"/>
        <v>Hernán González Pérez</v>
      </c>
      <c r="M225" s="6" t="str">
        <f t="shared" si="2"/>
        <v>13.602.416-2</v>
      </c>
      <c r="N225" s="6" t="str">
        <f t="shared" si="3"/>
        <v>Valparaíso - Valparaíso - Región de Valparaíso</v>
      </c>
      <c r="O225" s="4"/>
    </row>
    <row r="226">
      <c r="A226" s="1" t="s">
        <v>1833</v>
      </c>
      <c r="B226" s="1" t="s">
        <v>1834</v>
      </c>
      <c r="C226" s="1" t="s">
        <v>1835</v>
      </c>
      <c r="D226" s="1" t="s">
        <v>1837</v>
      </c>
      <c r="E226" s="1" t="s">
        <v>56</v>
      </c>
      <c r="F226" s="1" t="s">
        <v>39</v>
      </c>
      <c r="G226" s="1" t="s">
        <v>40</v>
      </c>
      <c r="H226" s="2">
        <v>1.984E7</v>
      </c>
      <c r="I226" s="1">
        <v>120.0</v>
      </c>
      <c r="J226" s="1" t="s">
        <v>73</v>
      </c>
      <c r="K226" s="5">
        <v>46139.0</v>
      </c>
      <c r="L226" s="4" t="str">
        <f t="shared" si="1"/>
        <v>Macarena Valenzuela Soto</v>
      </c>
      <c r="M226" s="6" t="str">
        <f t="shared" si="2"/>
        <v>17391541-7</v>
      </c>
      <c r="N226" s="6" t="str">
        <f t="shared" si="3"/>
        <v>Talcahuano - Concepción - Región del Biobío</v>
      </c>
      <c r="O226" s="4"/>
    </row>
    <row r="227">
      <c r="A227" s="1" t="s">
        <v>1839</v>
      </c>
      <c r="B227" s="1" t="s">
        <v>1840</v>
      </c>
      <c r="C227" s="1" t="s">
        <v>1841</v>
      </c>
      <c r="D227" s="1" t="s">
        <v>1842</v>
      </c>
      <c r="E227" s="1" t="s">
        <v>56</v>
      </c>
      <c r="F227" s="1" t="s">
        <v>39</v>
      </c>
      <c r="G227" s="1" t="s">
        <v>40</v>
      </c>
      <c r="H227" s="2">
        <v>1290000.0</v>
      </c>
      <c r="I227" s="1">
        <v>60.0</v>
      </c>
      <c r="J227" s="1" t="s">
        <v>97</v>
      </c>
      <c r="K227" s="5">
        <v>46122.0</v>
      </c>
      <c r="L227" s="4" t="str">
        <f t="shared" si="1"/>
        <v>Hernán Rojas Vergara</v>
      </c>
      <c r="M227" s="6" t="str">
        <f t="shared" si="2"/>
        <v>21710510-7</v>
      </c>
      <c r="N227" s="6" t="str">
        <f t="shared" si="3"/>
        <v>Talcahuano - Concepción - Región del Biobío</v>
      </c>
      <c r="O227" s="4"/>
    </row>
    <row r="228">
      <c r="A228" s="1" t="s">
        <v>1847</v>
      </c>
      <c r="B228" s="1" t="s">
        <v>1849</v>
      </c>
      <c r="C228" s="1" t="s">
        <v>1850</v>
      </c>
      <c r="D228" s="1" t="s">
        <v>1851</v>
      </c>
      <c r="E228" s="1" t="s">
        <v>18</v>
      </c>
      <c r="F228" s="1" t="s">
        <v>18</v>
      </c>
      <c r="G228" s="1" t="s">
        <v>19</v>
      </c>
      <c r="H228" s="2">
        <v>1.328E7</v>
      </c>
      <c r="I228" s="1">
        <v>120.0</v>
      </c>
      <c r="J228" s="1" t="s">
        <v>73</v>
      </c>
      <c r="K228" s="5">
        <v>46229.0</v>
      </c>
      <c r="L228" s="4" t="str">
        <f t="shared" si="1"/>
        <v>Valentina Rodríguez Díaz</v>
      </c>
      <c r="M228" s="6" t="str">
        <f t="shared" si="2"/>
        <v>11.817.756-3</v>
      </c>
      <c r="N228" s="6" t="str">
        <f t="shared" si="3"/>
        <v>La Serena - La Serena - Región de Coquimbo</v>
      </c>
      <c r="O228" s="4"/>
    </row>
    <row r="229">
      <c r="A229" s="1" t="s">
        <v>1852</v>
      </c>
      <c r="B229" s="1" t="s">
        <v>1853</v>
      </c>
      <c r="C229" s="1" t="s">
        <v>1854</v>
      </c>
      <c r="D229" s="1" t="s">
        <v>1855</v>
      </c>
      <c r="E229" s="1" t="s">
        <v>61</v>
      </c>
      <c r="F229" s="1" t="s">
        <v>62</v>
      </c>
      <c r="G229" s="1" t="s">
        <v>63</v>
      </c>
      <c r="H229" s="2">
        <v>9610000.0</v>
      </c>
      <c r="I229" s="1">
        <v>15.0</v>
      </c>
      <c r="J229" s="1" t="s">
        <v>97</v>
      </c>
      <c r="K229" s="5">
        <v>46092.0</v>
      </c>
      <c r="L229" s="4" t="str">
        <f t="shared" si="1"/>
        <v>Javier Silva Vergara</v>
      </c>
      <c r="M229" s="6" t="str">
        <f t="shared" si="2"/>
        <v>15.297.059-5</v>
      </c>
      <c r="N229" s="6" t="str">
        <f t="shared" si="3"/>
        <v>Santiago Centro - Santiago - Región Metropolitana</v>
      </c>
      <c r="O229" s="4"/>
    </row>
    <row r="230">
      <c r="A230" s="1" t="s">
        <v>1860</v>
      </c>
      <c r="B230" s="1" t="s">
        <v>1861</v>
      </c>
      <c r="C230" s="1" t="s">
        <v>1862</v>
      </c>
      <c r="D230" s="1" t="s">
        <v>1863</v>
      </c>
      <c r="E230" s="1" t="s">
        <v>56</v>
      </c>
      <c r="F230" s="1" t="s">
        <v>39</v>
      </c>
      <c r="G230" s="1" t="s">
        <v>40</v>
      </c>
      <c r="H230" s="2">
        <v>9000000.0</v>
      </c>
      <c r="I230" s="1">
        <v>45.0</v>
      </c>
      <c r="J230" s="1" t="s">
        <v>28</v>
      </c>
      <c r="K230" s="5">
        <v>46103.0</v>
      </c>
      <c r="L230" s="4" t="str">
        <f t="shared" si="1"/>
        <v>Fernanda Vergara Fuentes</v>
      </c>
      <c r="M230" s="6" t="str">
        <f t="shared" si="2"/>
        <v>14.274.417-9</v>
      </c>
      <c r="N230" s="6" t="str">
        <f t="shared" si="3"/>
        <v>Talcahuano - Concepción - Región del Biobío</v>
      </c>
      <c r="O230" s="4"/>
    </row>
    <row r="231">
      <c r="A231" s="1" t="s">
        <v>395</v>
      </c>
      <c r="B231" s="1" t="s">
        <v>397</v>
      </c>
      <c r="C231" s="1" t="s">
        <v>398</v>
      </c>
      <c r="D231" s="1" t="s">
        <v>399</v>
      </c>
      <c r="E231" s="1" t="s">
        <v>61</v>
      </c>
      <c r="F231" s="1" t="s">
        <v>62</v>
      </c>
      <c r="G231" s="1" t="s">
        <v>63</v>
      </c>
      <c r="H231" s="2">
        <v>1.63E7</v>
      </c>
      <c r="I231" s="1">
        <v>60.0</v>
      </c>
      <c r="J231" s="1" t="s">
        <v>73</v>
      </c>
      <c r="K231" s="5">
        <v>46155.0</v>
      </c>
      <c r="L231" s="4" t="str">
        <f t="shared" si="1"/>
        <v>Álvaro Soto Vergara</v>
      </c>
      <c r="M231" s="6" t="str">
        <f t="shared" si="2"/>
        <v>16.752.592-9</v>
      </c>
      <c r="N231" s="6" t="str">
        <f t="shared" si="3"/>
        <v>Santiago Centro - Santiago - Región Metropolitana</v>
      </c>
      <c r="O231" s="4"/>
    </row>
    <row r="232">
      <c r="A232" s="1" t="s">
        <v>1869</v>
      </c>
      <c r="B232" s="1" t="s">
        <v>1870</v>
      </c>
      <c r="C232" s="1" t="s">
        <v>1871</v>
      </c>
      <c r="D232" s="1" t="s">
        <v>1872</v>
      </c>
      <c r="E232" s="1" t="s">
        <v>56</v>
      </c>
      <c r="F232" s="1" t="s">
        <v>39</v>
      </c>
      <c r="G232" s="1" t="s">
        <v>40</v>
      </c>
      <c r="H232" s="2">
        <v>6630000.0</v>
      </c>
      <c r="I232" s="1">
        <v>30.0</v>
      </c>
      <c r="J232" s="1" t="s">
        <v>73</v>
      </c>
      <c r="K232" s="5">
        <v>46133.0</v>
      </c>
      <c r="L232" s="4" t="str">
        <f t="shared" si="1"/>
        <v>Paula Díaz Silva</v>
      </c>
      <c r="M232" s="6" t="str">
        <f t="shared" si="2"/>
        <v>17.924.887-7</v>
      </c>
      <c r="N232" s="6" t="str">
        <f t="shared" si="3"/>
        <v>Talcahuano - Concepción - Región del Biobío</v>
      </c>
      <c r="O232" s="4"/>
    </row>
    <row r="233">
      <c r="A233" s="1" t="s">
        <v>1878</v>
      </c>
      <c r="B233" s="1" t="s">
        <v>1879</v>
      </c>
      <c r="C233" s="1" t="s">
        <v>1880</v>
      </c>
      <c r="D233" s="1" t="s">
        <v>1881</v>
      </c>
      <c r="E233" s="1" t="s">
        <v>18</v>
      </c>
      <c r="F233" s="1" t="s">
        <v>18</v>
      </c>
      <c r="G233" s="1" t="s">
        <v>19</v>
      </c>
      <c r="H233" s="2">
        <v>1.203E7</v>
      </c>
      <c r="I233" s="1">
        <v>90.0</v>
      </c>
      <c r="J233" s="1" t="s">
        <v>20</v>
      </c>
      <c r="K233" s="5">
        <v>46188.0</v>
      </c>
      <c r="L233" s="4" t="str">
        <f t="shared" si="1"/>
        <v>Tomas Silva Fuentes</v>
      </c>
      <c r="M233" s="6" t="str">
        <f t="shared" si="2"/>
        <v>18271689-0</v>
      </c>
      <c r="N233" s="6" t="str">
        <f t="shared" si="3"/>
        <v>La Serena - La Serena - Región de Coquimbo</v>
      </c>
      <c r="O233" s="4"/>
    </row>
    <row r="234">
      <c r="A234" s="1" t="s">
        <v>1886</v>
      </c>
      <c r="B234" s="1" t="s">
        <v>1887</v>
      </c>
      <c r="C234" s="1" t="s">
        <v>1888</v>
      </c>
      <c r="D234" s="1" t="s">
        <v>1889</v>
      </c>
      <c r="E234" s="1" t="s">
        <v>45</v>
      </c>
      <c r="F234" s="1" t="s">
        <v>45</v>
      </c>
      <c r="G234" s="1" t="s">
        <v>46</v>
      </c>
      <c r="H234" s="2">
        <v>2.045E7</v>
      </c>
      <c r="I234" s="1">
        <v>0.0</v>
      </c>
      <c r="J234" s="1" t="s">
        <v>20</v>
      </c>
      <c r="K234" s="5">
        <v>46040.0</v>
      </c>
      <c r="L234" s="4" t="str">
        <f t="shared" si="1"/>
        <v>Loreto Valenzuela Pérez</v>
      </c>
      <c r="M234" s="6" t="str">
        <f t="shared" si="2"/>
        <v>19.431.904-7</v>
      </c>
      <c r="N234" s="6" t="str">
        <f t="shared" si="3"/>
        <v>Temuco - Temuco - Región de la Araucanía</v>
      </c>
      <c r="O234" s="4"/>
    </row>
    <row r="235">
      <c r="A235" s="1" t="s">
        <v>1894</v>
      </c>
      <c r="B235" s="1" t="s">
        <v>1895</v>
      </c>
      <c r="C235" s="1" t="s">
        <v>1896</v>
      </c>
      <c r="D235" s="1" t="s">
        <v>1897</v>
      </c>
      <c r="E235" s="1" t="s">
        <v>25</v>
      </c>
      <c r="F235" s="1" t="s">
        <v>26</v>
      </c>
      <c r="G235" s="1" t="s">
        <v>27</v>
      </c>
      <c r="H235" s="2">
        <v>1.187E7</v>
      </c>
      <c r="I235" s="1">
        <v>45.0</v>
      </c>
      <c r="J235" s="1" t="s">
        <v>28</v>
      </c>
      <c r="K235" s="5">
        <v>46183.0</v>
      </c>
      <c r="L235" s="4" t="str">
        <f t="shared" si="1"/>
        <v>Rodrigo Espinoza Contreras</v>
      </c>
      <c r="M235" s="6" t="str">
        <f t="shared" si="2"/>
        <v>17918884-4</v>
      </c>
      <c r="N235" s="6" t="str">
        <f t="shared" si="3"/>
        <v>Viña del Mar - Valparaíso - Región de Valparaíso</v>
      </c>
      <c r="O235" s="4"/>
    </row>
    <row r="236">
      <c r="A236" s="1" t="s">
        <v>1899</v>
      </c>
      <c r="B236" s="1" t="s">
        <v>1900</v>
      </c>
      <c r="C236" s="1" t="s">
        <v>1901</v>
      </c>
      <c r="D236" s="1" t="s">
        <v>1902</v>
      </c>
      <c r="E236" s="1" t="s">
        <v>33</v>
      </c>
      <c r="F236" s="1" t="s">
        <v>33</v>
      </c>
      <c r="G236" s="1" t="s">
        <v>34</v>
      </c>
      <c r="H236" s="2">
        <v>1.442E7</v>
      </c>
      <c r="I236" s="1">
        <v>120.0</v>
      </c>
      <c r="J236" s="1" t="s">
        <v>73</v>
      </c>
      <c r="K236" s="5">
        <v>46049.0</v>
      </c>
      <c r="L236" s="4" t="str">
        <f t="shared" si="1"/>
        <v>Daniela Silva Tapia</v>
      </c>
      <c r="M236" s="6" t="str">
        <f t="shared" si="2"/>
        <v>13536070-0</v>
      </c>
      <c r="N236" s="6" t="str">
        <f t="shared" si="3"/>
        <v>Puerto Montt - Puerto Montt - Región de Los Lagos</v>
      </c>
      <c r="O236" s="4"/>
    </row>
    <row r="237">
      <c r="A237" s="1" t="s">
        <v>1905</v>
      </c>
      <c r="B237" s="1" t="s">
        <v>1907</v>
      </c>
      <c r="C237" s="1" t="s">
        <v>1908</v>
      </c>
      <c r="D237" s="1" t="s">
        <v>1909</v>
      </c>
      <c r="E237" s="1" t="s">
        <v>18</v>
      </c>
      <c r="F237" s="1" t="s">
        <v>18</v>
      </c>
      <c r="G237" s="1" t="s">
        <v>19</v>
      </c>
      <c r="H237" s="2">
        <v>1.728E7</v>
      </c>
      <c r="I237" s="1">
        <v>0.0</v>
      </c>
      <c r="J237" s="1" t="s">
        <v>47</v>
      </c>
      <c r="K237" s="5">
        <v>46109.0</v>
      </c>
      <c r="L237" s="4" t="str">
        <f t="shared" si="1"/>
        <v>Gabriel Valenzuela Tapia</v>
      </c>
      <c r="M237" s="6" t="str">
        <f t="shared" si="2"/>
        <v>18.671.315-3</v>
      </c>
      <c r="N237" s="6" t="str">
        <f t="shared" si="3"/>
        <v>La Serena - La Serena - Región de Coquimbo</v>
      </c>
      <c r="O237" s="4"/>
    </row>
    <row r="238">
      <c r="A238" s="1" t="s">
        <v>826</v>
      </c>
      <c r="B238" s="1" t="s">
        <v>828</v>
      </c>
      <c r="C238" s="1" t="s">
        <v>1912</v>
      </c>
      <c r="D238" s="1" t="s">
        <v>831</v>
      </c>
      <c r="E238" s="1" t="s">
        <v>158</v>
      </c>
      <c r="F238" s="1" t="s">
        <v>158</v>
      </c>
      <c r="G238" s="1" t="s">
        <v>159</v>
      </c>
      <c r="H238" s="2">
        <v>1.747E7</v>
      </c>
      <c r="I238" s="1">
        <v>0.0</v>
      </c>
      <c r="J238" s="1" t="s">
        <v>73</v>
      </c>
      <c r="K238" s="5">
        <v>46197.0</v>
      </c>
      <c r="L238" s="4" t="str">
        <f t="shared" si="1"/>
        <v>Andrea Rojas Fuentes</v>
      </c>
      <c r="M238" s="6" t="str">
        <f t="shared" si="2"/>
        <v>13019670-2</v>
      </c>
      <c r="N238" s="6" t="str">
        <f t="shared" si="3"/>
        <v>Antofagasta - Antofagasta - Región de Antofagasta</v>
      </c>
      <c r="O238" s="4"/>
    </row>
    <row r="239">
      <c r="A239" s="1" t="s">
        <v>1918</v>
      </c>
      <c r="B239" s="1" t="s">
        <v>1919</v>
      </c>
      <c r="C239" s="1" t="s">
        <v>1920</v>
      </c>
      <c r="D239" s="1" t="s">
        <v>1921</v>
      </c>
      <c r="E239" s="1" t="s">
        <v>56</v>
      </c>
      <c r="F239" s="1" t="s">
        <v>39</v>
      </c>
      <c r="G239" s="1" t="s">
        <v>40</v>
      </c>
      <c r="H239" s="2">
        <v>4790000.0</v>
      </c>
      <c r="I239" s="1">
        <v>0.0</v>
      </c>
      <c r="J239" s="1" t="s">
        <v>47</v>
      </c>
      <c r="K239" s="5">
        <v>46162.0</v>
      </c>
      <c r="L239" s="4" t="str">
        <f t="shared" si="1"/>
        <v>Mauricio Valenzuela Soto</v>
      </c>
      <c r="M239" s="6" t="str">
        <f t="shared" si="2"/>
        <v>18.670.989-K</v>
      </c>
      <c r="N239" s="6" t="str">
        <f t="shared" si="3"/>
        <v>Talcahuano - Concepción - Región del Biobío</v>
      </c>
      <c r="O239" s="4"/>
    </row>
    <row r="240">
      <c r="A240" s="1" t="s">
        <v>1613</v>
      </c>
      <c r="B240" s="1" t="s">
        <v>1615</v>
      </c>
      <c r="C240" s="1" t="s">
        <v>1616</v>
      </c>
      <c r="D240" s="1" t="s">
        <v>1617</v>
      </c>
      <c r="E240" s="1" t="s">
        <v>72</v>
      </c>
      <c r="F240" s="1" t="s">
        <v>62</v>
      </c>
      <c r="G240" s="1" t="s">
        <v>63</v>
      </c>
      <c r="H240" s="2">
        <v>1.604E7</v>
      </c>
      <c r="I240" s="1">
        <v>60.0</v>
      </c>
      <c r="J240" s="1" t="s">
        <v>73</v>
      </c>
      <c r="K240" s="5">
        <v>46037.0</v>
      </c>
      <c r="L240" s="4" t="str">
        <f t="shared" si="1"/>
        <v>Camila Valenzuela Contreras</v>
      </c>
      <c r="M240" s="6" t="str">
        <f t="shared" si="2"/>
        <v>17.175.124-K</v>
      </c>
      <c r="N240" s="6" t="str">
        <f t="shared" si="3"/>
        <v>Providencia - Santiago - Región Metropolitana</v>
      </c>
      <c r="O240" s="4"/>
    </row>
    <row r="241">
      <c r="A241" s="1" t="s">
        <v>1927</v>
      </c>
      <c r="B241" s="1" t="s">
        <v>1928</v>
      </c>
      <c r="C241" s="1" t="s">
        <v>1929</v>
      </c>
      <c r="D241" s="1" t="s">
        <v>1930</v>
      </c>
      <c r="E241" s="1" t="s">
        <v>18</v>
      </c>
      <c r="F241" s="1" t="s">
        <v>18</v>
      </c>
      <c r="G241" s="1" t="s">
        <v>19</v>
      </c>
      <c r="H241" s="2">
        <v>2.142E7</v>
      </c>
      <c r="I241" s="1">
        <v>0.0</v>
      </c>
      <c r="J241" s="1" t="s">
        <v>47</v>
      </c>
      <c r="K241" s="5">
        <v>46180.0</v>
      </c>
      <c r="L241" s="4" t="str">
        <f t="shared" si="1"/>
        <v>Esteban López Soto</v>
      </c>
      <c r="M241" s="6" t="str">
        <f t="shared" si="2"/>
        <v>17.751.844-0</v>
      </c>
      <c r="N241" s="6" t="str">
        <f t="shared" si="3"/>
        <v>La Serena - La Serena - Región de Coquimbo</v>
      </c>
      <c r="O241" s="4"/>
    </row>
    <row r="242">
      <c r="A242" s="1" t="s">
        <v>1810</v>
      </c>
      <c r="B242" s="1" t="s">
        <v>1811</v>
      </c>
      <c r="C242" s="1" t="s">
        <v>1812</v>
      </c>
      <c r="D242" s="1" t="s">
        <v>1813</v>
      </c>
      <c r="E242" s="1" t="s">
        <v>158</v>
      </c>
      <c r="F242" s="1" t="s">
        <v>158</v>
      </c>
      <c r="G242" s="1" t="s">
        <v>159</v>
      </c>
      <c r="H242" s="2">
        <v>1.288E7</v>
      </c>
      <c r="I242" s="1">
        <v>0.0</v>
      </c>
      <c r="J242" s="1" t="s">
        <v>97</v>
      </c>
      <c r="K242" s="5">
        <v>46044.0</v>
      </c>
      <c r="L242" s="4" t="str">
        <f t="shared" si="1"/>
        <v>Carolina González Pérez</v>
      </c>
      <c r="M242" s="6" t="str">
        <f t="shared" si="2"/>
        <v>19.237.425-6</v>
      </c>
      <c r="N242" s="6" t="str">
        <f t="shared" si="3"/>
        <v>Antofagasta - Antofagasta - Región de Antofagasta</v>
      </c>
      <c r="O242" s="4"/>
    </row>
    <row r="243">
      <c r="A243" s="1" t="s">
        <v>1941</v>
      </c>
      <c r="B243" s="1" t="s">
        <v>1942</v>
      </c>
      <c r="C243" s="1" t="s">
        <v>1943</v>
      </c>
      <c r="D243" s="1" t="s">
        <v>1944</v>
      </c>
      <c r="E243" s="1" t="s">
        <v>26</v>
      </c>
      <c r="F243" s="1" t="s">
        <v>26</v>
      </c>
      <c r="G243" s="1" t="s">
        <v>27</v>
      </c>
      <c r="H243" s="2">
        <v>1.568E7</v>
      </c>
      <c r="I243" s="1">
        <v>0.0</v>
      </c>
      <c r="J243" s="1" t="s">
        <v>97</v>
      </c>
      <c r="K243" s="5">
        <v>46056.0</v>
      </c>
      <c r="L243" s="4" t="str">
        <f t="shared" si="1"/>
        <v>Ignacio Araya Soto</v>
      </c>
      <c r="M243" s="6" t="str">
        <f t="shared" si="2"/>
        <v>21015512-3</v>
      </c>
      <c r="N243" s="6" t="str">
        <f t="shared" si="3"/>
        <v>Valparaíso - Valparaíso - Región de Valparaíso</v>
      </c>
      <c r="O243" s="4"/>
    </row>
    <row r="244">
      <c r="A244" s="1" t="s">
        <v>1951</v>
      </c>
      <c r="B244" s="1" t="s">
        <v>1952</v>
      </c>
      <c r="C244" s="1" t="s">
        <v>1954</v>
      </c>
      <c r="D244" s="1" t="s">
        <v>1956</v>
      </c>
      <c r="E244" s="1" t="s">
        <v>45</v>
      </c>
      <c r="F244" s="1" t="s">
        <v>45</v>
      </c>
      <c r="G244" s="1" t="s">
        <v>46</v>
      </c>
      <c r="H244" s="2">
        <v>1.599E7</v>
      </c>
      <c r="I244" s="1">
        <v>60.0</v>
      </c>
      <c r="J244" s="1" t="s">
        <v>73</v>
      </c>
      <c r="K244" s="5">
        <v>46157.0</v>
      </c>
      <c r="L244" s="4" t="str">
        <f t="shared" si="1"/>
        <v>Francisca Díaz Díaz</v>
      </c>
      <c r="M244" s="6" t="str">
        <f t="shared" si="2"/>
        <v>13018615-9</v>
      </c>
      <c r="N244" s="6" t="str">
        <f t="shared" si="3"/>
        <v>Temuco - Temuco - Región de la Araucanía</v>
      </c>
      <c r="O244" s="4"/>
    </row>
    <row r="245">
      <c r="A245" s="1" t="s">
        <v>1964</v>
      </c>
      <c r="B245" s="1" t="s">
        <v>1965</v>
      </c>
      <c r="C245" s="1" t="s">
        <v>1966</v>
      </c>
      <c r="D245" s="1" t="s">
        <v>1967</v>
      </c>
      <c r="E245" s="1" t="s">
        <v>45</v>
      </c>
      <c r="F245" s="1" t="s">
        <v>45</v>
      </c>
      <c r="G245" s="1" t="s">
        <v>46</v>
      </c>
      <c r="H245" s="2">
        <v>1.773E7</v>
      </c>
      <c r="I245" s="1">
        <v>60.0</v>
      </c>
      <c r="J245" s="1" t="s">
        <v>20</v>
      </c>
      <c r="K245" s="5">
        <v>46155.0</v>
      </c>
      <c r="L245" s="4" t="str">
        <f t="shared" si="1"/>
        <v>Javier Valenzuela López</v>
      </c>
      <c r="M245" s="6" t="str">
        <f t="shared" si="2"/>
        <v>17.879.542-4</v>
      </c>
      <c r="N245" s="6" t="str">
        <f t="shared" si="3"/>
        <v>Temuco - Temuco - Región de la Araucanía</v>
      </c>
      <c r="O245" s="4"/>
    </row>
    <row r="246">
      <c r="A246" s="1" t="s">
        <v>1582</v>
      </c>
      <c r="B246" s="1" t="s">
        <v>1584</v>
      </c>
      <c r="C246" s="1" t="s">
        <v>1980</v>
      </c>
      <c r="D246" s="1" t="s">
        <v>1588</v>
      </c>
      <c r="E246" s="1" t="s">
        <v>158</v>
      </c>
      <c r="F246" s="1" t="s">
        <v>158</v>
      </c>
      <c r="G246" s="1" t="s">
        <v>159</v>
      </c>
      <c r="H246" s="2">
        <v>3140000.0</v>
      </c>
      <c r="I246" s="1">
        <v>0.0</v>
      </c>
      <c r="J246" s="1" t="s">
        <v>20</v>
      </c>
      <c r="K246" s="5">
        <v>46191.0</v>
      </c>
      <c r="L246" s="4" t="str">
        <f t="shared" si="1"/>
        <v>Camila Silva Vergara</v>
      </c>
      <c r="M246" s="6" t="str">
        <f t="shared" si="2"/>
        <v>17.948.040-3</v>
      </c>
      <c r="N246" s="6" t="str">
        <f t="shared" si="3"/>
        <v>Antofagasta - Antofagasta - Región de Antofagasta</v>
      </c>
      <c r="O246" s="4"/>
    </row>
    <row r="247">
      <c r="A247" s="1" t="s">
        <v>1990</v>
      </c>
      <c r="B247" s="1" t="s">
        <v>1991</v>
      </c>
      <c r="C247" s="1" t="s">
        <v>1992</v>
      </c>
      <c r="D247" s="1" t="s">
        <v>1727</v>
      </c>
      <c r="E247" s="1" t="s">
        <v>18</v>
      </c>
      <c r="F247" s="1" t="s">
        <v>18</v>
      </c>
      <c r="G247" s="1" t="s">
        <v>19</v>
      </c>
      <c r="H247" s="2">
        <v>8840000.0</v>
      </c>
      <c r="I247" s="1">
        <v>15.0</v>
      </c>
      <c r="J247" s="1" t="s">
        <v>20</v>
      </c>
      <c r="K247" s="5">
        <v>46136.0</v>
      </c>
      <c r="L247" s="4" t="str">
        <f t="shared" si="1"/>
        <v>Ignacio Soto Morales</v>
      </c>
      <c r="M247" s="6" t="str">
        <f t="shared" si="2"/>
        <v>17.723.690-1</v>
      </c>
      <c r="N247" s="6" t="str">
        <f t="shared" si="3"/>
        <v>La Serena - La Serena - Región de Coquimbo</v>
      </c>
      <c r="O247" s="4"/>
    </row>
    <row r="248">
      <c r="A248" s="1" t="s">
        <v>1998</v>
      </c>
      <c r="B248" s="1" t="s">
        <v>1999</v>
      </c>
      <c r="C248" s="1" t="s">
        <v>2000</v>
      </c>
      <c r="D248" s="1" t="s">
        <v>2002</v>
      </c>
      <c r="E248" s="1" t="s">
        <v>61</v>
      </c>
      <c r="F248" s="1" t="s">
        <v>62</v>
      </c>
      <c r="G248" s="1" t="s">
        <v>63</v>
      </c>
      <c r="H248" s="2">
        <v>1.753E7</v>
      </c>
      <c r="I248" s="1">
        <v>0.0</v>
      </c>
      <c r="J248" s="1" t="s">
        <v>20</v>
      </c>
      <c r="K248" s="5">
        <v>46107.0</v>
      </c>
      <c r="L248" s="4" t="str">
        <f t="shared" si="1"/>
        <v>Valentina González Tapia</v>
      </c>
      <c r="M248" s="6" t="str">
        <f t="shared" si="2"/>
        <v>20.227.751-1</v>
      </c>
      <c r="N248" s="6" t="str">
        <f t="shared" si="3"/>
        <v>Santiago Centro - Santiago - Región Metropolitana</v>
      </c>
      <c r="O248" s="4"/>
    </row>
    <row r="249">
      <c r="A249" s="1" t="s">
        <v>2009</v>
      </c>
      <c r="B249" s="1" t="s">
        <v>2011</v>
      </c>
      <c r="C249" s="1" t="s">
        <v>2012</v>
      </c>
      <c r="D249" s="1" t="s">
        <v>2013</v>
      </c>
      <c r="E249" s="1" t="s">
        <v>56</v>
      </c>
      <c r="F249" s="1" t="s">
        <v>39</v>
      </c>
      <c r="G249" s="1" t="s">
        <v>40</v>
      </c>
      <c r="H249" s="2">
        <v>1.707E7</v>
      </c>
      <c r="I249" s="1">
        <v>0.0</v>
      </c>
      <c r="J249" s="1" t="s">
        <v>20</v>
      </c>
      <c r="K249" s="5">
        <v>46115.0</v>
      </c>
      <c r="L249" s="4" t="str">
        <f t="shared" si="1"/>
        <v>Gabriel Morales Contreras</v>
      </c>
      <c r="M249" s="6" t="str">
        <f t="shared" si="2"/>
        <v>19.331.716-2</v>
      </c>
      <c r="N249" s="6" t="str">
        <f t="shared" si="3"/>
        <v>Talcahuano - Concepción - Región del Biobío</v>
      </c>
      <c r="O249" s="4"/>
    </row>
    <row r="250">
      <c r="A250" s="1" t="s">
        <v>2024</v>
      </c>
      <c r="B250" s="1" t="s">
        <v>2025</v>
      </c>
      <c r="C250" s="1" t="s">
        <v>2026</v>
      </c>
      <c r="D250" s="1" t="s">
        <v>2028</v>
      </c>
      <c r="E250" s="1" t="s">
        <v>45</v>
      </c>
      <c r="F250" s="1" t="s">
        <v>45</v>
      </c>
      <c r="G250" s="1" t="s">
        <v>46</v>
      </c>
      <c r="H250" s="2">
        <v>9330000.0</v>
      </c>
      <c r="I250" s="1">
        <v>120.0</v>
      </c>
      <c r="J250" s="1" t="s">
        <v>97</v>
      </c>
      <c r="K250" s="5">
        <v>46178.0</v>
      </c>
      <c r="L250" s="4" t="str">
        <f t="shared" si="1"/>
        <v>Marcela Valenzuela Espinoza</v>
      </c>
      <c r="M250" s="6" t="str">
        <f t="shared" si="2"/>
        <v>17.165.614-7</v>
      </c>
      <c r="N250" s="6" t="str">
        <f t="shared" si="3"/>
        <v>Temuco - Temuco - Región de la Araucanía</v>
      </c>
      <c r="O250" s="4"/>
    </row>
    <row r="251">
      <c r="A251" s="1" t="s">
        <v>2037</v>
      </c>
      <c r="B251" s="1" t="s">
        <v>2038</v>
      </c>
      <c r="C251" s="1" t="s">
        <v>2039</v>
      </c>
      <c r="D251" s="1" t="s">
        <v>2040</v>
      </c>
      <c r="E251" s="1" t="s">
        <v>194</v>
      </c>
      <c r="F251" s="1" t="s">
        <v>62</v>
      </c>
      <c r="G251" s="1" t="s">
        <v>63</v>
      </c>
      <c r="H251" s="2">
        <v>3140000.0</v>
      </c>
      <c r="I251" s="1">
        <v>120.0</v>
      </c>
      <c r="J251" s="1" t="s">
        <v>20</v>
      </c>
      <c r="K251" s="5">
        <v>46216.0</v>
      </c>
      <c r="L251" s="4" t="str">
        <f t="shared" si="1"/>
        <v>Rodrigo Fuentes Araya</v>
      </c>
      <c r="M251" s="6" t="str">
        <f t="shared" si="2"/>
        <v>21.074.922-3</v>
      </c>
      <c r="N251" s="6" t="str">
        <f t="shared" si="3"/>
        <v>Las Condes - Santiago - Región Metropolitana</v>
      </c>
      <c r="O251" s="4"/>
    </row>
    <row r="252">
      <c r="A252" s="1" t="s">
        <v>2046</v>
      </c>
      <c r="B252" s="1" t="s">
        <v>2047</v>
      </c>
      <c r="C252" s="1" t="s">
        <v>2048</v>
      </c>
      <c r="D252" s="1" t="s">
        <v>2050</v>
      </c>
      <c r="E252" s="1" t="s">
        <v>72</v>
      </c>
      <c r="F252" s="1" t="s">
        <v>62</v>
      </c>
      <c r="G252" s="1" t="s">
        <v>63</v>
      </c>
      <c r="H252" s="2">
        <v>5220000.0</v>
      </c>
      <c r="I252" s="1">
        <v>120.0</v>
      </c>
      <c r="J252" s="1" t="s">
        <v>20</v>
      </c>
      <c r="K252" s="5">
        <v>46221.0</v>
      </c>
      <c r="L252" s="4" t="str">
        <f t="shared" si="1"/>
        <v>Daniela Rodríguez Muñoz</v>
      </c>
      <c r="M252" s="6" t="str">
        <f t="shared" si="2"/>
        <v>18.690.873-3</v>
      </c>
      <c r="N252" s="6" t="str">
        <f t="shared" si="3"/>
        <v>Providencia - Santiago - Región Metropolitana</v>
      </c>
      <c r="O252" s="4"/>
    </row>
    <row r="253">
      <c r="A253" s="1" t="s">
        <v>2056</v>
      </c>
      <c r="B253" s="1" t="s">
        <v>2058</v>
      </c>
      <c r="C253" s="1" t="s">
        <v>2059</v>
      </c>
      <c r="D253" s="1" t="s">
        <v>2060</v>
      </c>
      <c r="E253" s="1" t="s">
        <v>194</v>
      </c>
      <c r="F253" s="1" t="s">
        <v>62</v>
      </c>
      <c r="G253" s="1" t="s">
        <v>63</v>
      </c>
      <c r="H253" s="2">
        <v>9630000.0</v>
      </c>
      <c r="I253" s="1">
        <v>0.0</v>
      </c>
      <c r="J253" s="1" t="s">
        <v>73</v>
      </c>
      <c r="K253" s="5">
        <v>46076.0</v>
      </c>
      <c r="L253" s="4" t="str">
        <f t="shared" si="1"/>
        <v>Gonzalo Fuentes Tapia</v>
      </c>
      <c r="M253" s="6" t="str">
        <f t="shared" si="2"/>
        <v>15.944.823-1</v>
      </c>
      <c r="N253" s="6" t="str">
        <f t="shared" si="3"/>
        <v>Las Condes - Santiago - Región Metropolitana</v>
      </c>
      <c r="O253" s="4"/>
    </row>
    <row r="254">
      <c r="A254" s="1" t="s">
        <v>2069</v>
      </c>
      <c r="B254" s="1" t="s">
        <v>2071</v>
      </c>
      <c r="C254" s="1" t="s">
        <v>2072</v>
      </c>
      <c r="D254" s="1" t="s">
        <v>2073</v>
      </c>
      <c r="E254" s="1" t="s">
        <v>33</v>
      </c>
      <c r="F254" s="1" t="s">
        <v>33</v>
      </c>
      <c r="G254" s="1" t="s">
        <v>34</v>
      </c>
      <c r="H254" s="2">
        <v>1.845E7</v>
      </c>
      <c r="I254" s="1">
        <v>60.0</v>
      </c>
      <c r="J254" s="1" t="s">
        <v>97</v>
      </c>
      <c r="K254" s="5">
        <v>46154.0</v>
      </c>
      <c r="L254" s="4" t="str">
        <f t="shared" si="1"/>
        <v>Javiera Espinoza Valenzuela</v>
      </c>
      <c r="M254" s="6" t="str">
        <f t="shared" si="2"/>
        <v>18958546-6</v>
      </c>
      <c r="N254" s="6" t="str">
        <f t="shared" si="3"/>
        <v>Puerto Montt - Puerto Montt - Región de Los Lagos</v>
      </c>
      <c r="O254" s="4"/>
    </row>
    <row r="255">
      <c r="A255" s="1" t="s">
        <v>2078</v>
      </c>
      <c r="B255" s="1" t="s">
        <v>2080</v>
      </c>
      <c r="C255" s="1" t="s">
        <v>2081</v>
      </c>
      <c r="D255" s="1" t="s">
        <v>2082</v>
      </c>
      <c r="E255" s="1" t="s">
        <v>61</v>
      </c>
      <c r="F255" s="1" t="s">
        <v>62</v>
      </c>
      <c r="G255" s="1" t="s">
        <v>63</v>
      </c>
      <c r="H255" s="2">
        <v>8140000.0</v>
      </c>
      <c r="I255" s="1">
        <v>90.0</v>
      </c>
      <c r="J255" s="1" t="s">
        <v>97</v>
      </c>
      <c r="K255" s="5">
        <v>46198.0</v>
      </c>
      <c r="L255" s="4" t="str">
        <f t="shared" si="1"/>
        <v>Cristián Tapia Vergara</v>
      </c>
      <c r="M255" s="6" t="str">
        <f t="shared" si="2"/>
        <v>13.329.525-0</v>
      </c>
      <c r="N255" s="6" t="str">
        <f t="shared" si="3"/>
        <v>Santiago Centro - Santiago - Región Metropolitana</v>
      </c>
      <c r="O255" s="4"/>
    </row>
    <row r="256">
      <c r="A256" s="1" t="s">
        <v>2088</v>
      </c>
      <c r="B256" s="1" t="s">
        <v>2089</v>
      </c>
      <c r="C256" s="1" t="s">
        <v>2090</v>
      </c>
      <c r="D256" s="1" t="s">
        <v>1504</v>
      </c>
      <c r="E256" s="1" t="s">
        <v>109</v>
      </c>
      <c r="F256" s="1" t="s">
        <v>62</v>
      </c>
      <c r="G256" s="1" t="s">
        <v>63</v>
      </c>
      <c r="H256" s="2">
        <v>9520000.0</v>
      </c>
      <c r="I256" s="1">
        <v>0.0</v>
      </c>
      <c r="J256" s="1" t="s">
        <v>73</v>
      </c>
      <c r="K256" s="5">
        <v>46100.0</v>
      </c>
      <c r="L256" s="4" t="str">
        <f t="shared" si="1"/>
        <v>Constanza Vergara Valenzuela</v>
      </c>
      <c r="M256" s="6" t="str">
        <f t="shared" si="2"/>
        <v>19.148.073-2</v>
      </c>
      <c r="N256" s="6" t="str">
        <f t="shared" si="3"/>
        <v>Ñuñoa - Santiago - Región Metropolitana</v>
      </c>
      <c r="O256" s="4"/>
    </row>
    <row r="257">
      <c r="A257" s="1" t="s">
        <v>2099</v>
      </c>
      <c r="B257" s="1" t="s">
        <v>2101</v>
      </c>
      <c r="C257" s="1" t="s">
        <v>2103</v>
      </c>
      <c r="D257" s="1" t="s">
        <v>2105</v>
      </c>
      <c r="E257" s="1" t="s">
        <v>33</v>
      </c>
      <c r="F257" s="1" t="s">
        <v>33</v>
      </c>
      <c r="G257" s="1" t="s">
        <v>34</v>
      </c>
      <c r="H257" s="2">
        <v>2.107E7</v>
      </c>
      <c r="I257" s="1">
        <v>60.0</v>
      </c>
      <c r="J257" s="1" t="s">
        <v>20</v>
      </c>
      <c r="K257" s="5">
        <v>46103.0</v>
      </c>
      <c r="L257" s="4" t="str">
        <f t="shared" si="1"/>
        <v>Felipe González González</v>
      </c>
      <c r="M257" s="6" t="str">
        <f t="shared" si="2"/>
        <v>16.287.875-4</v>
      </c>
      <c r="N257" s="6" t="str">
        <f t="shared" si="3"/>
        <v>Puerto Montt - Puerto Montt - Región de Los Lagos</v>
      </c>
      <c r="O257" s="4"/>
    </row>
    <row r="258">
      <c r="A258" s="1" t="s">
        <v>2114</v>
      </c>
      <c r="B258" s="1" t="s">
        <v>2115</v>
      </c>
      <c r="C258" s="1" t="s">
        <v>2116</v>
      </c>
      <c r="D258" s="1" t="s">
        <v>130</v>
      </c>
      <c r="E258" s="1" t="s">
        <v>33</v>
      </c>
      <c r="F258" s="1" t="s">
        <v>33</v>
      </c>
      <c r="G258" s="1" t="s">
        <v>34</v>
      </c>
      <c r="H258" s="2">
        <v>2.189E7</v>
      </c>
      <c r="I258" s="1">
        <v>30.0</v>
      </c>
      <c r="J258" s="1" t="s">
        <v>47</v>
      </c>
      <c r="K258" s="5">
        <v>46071.0</v>
      </c>
      <c r="L258" s="4" t="str">
        <f t="shared" si="1"/>
        <v>Marcela Espinoza López</v>
      </c>
      <c r="M258" s="6" t="str">
        <f t="shared" si="2"/>
        <v>12886659-4</v>
      </c>
      <c r="N258" s="6" t="str">
        <f t="shared" si="3"/>
        <v>Puerto Montt - Puerto Montt - Región de Los Lagos</v>
      </c>
      <c r="O258" s="4"/>
    </row>
    <row r="259">
      <c r="A259" s="1" t="s">
        <v>385</v>
      </c>
      <c r="B259" s="1" t="s">
        <v>387</v>
      </c>
      <c r="C259" s="1" t="s">
        <v>389</v>
      </c>
      <c r="D259" s="1" t="s">
        <v>391</v>
      </c>
      <c r="E259" s="1" t="s">
        <v>158</v>
      </c>
      <c r="F259" s="1" t="s">
        <v>158</v>
      </c>
      <c r="G259" s="1" t="s">
        <v>159</v>
      </c>
      <c r="H259" s="2">
        <v>6190000.0</v>
      </c>
      <c r="I259" s="1">
        <v>120.0</v>
      </c>
      <c r="J259" s="1" t="s">
        <v>47</v>
      </c>
      <c r="K259" s="5">
        <v>46101.0</v>
      </c>
      <c r="L259" s="4" t="str">
        <f t="shared" si="1"/>
        <v>Álvaro Soto Silva</v>
      </c>
      <c r="M259" s="6" t="str">
        <f t="shared" si="2"/>
        <v>15042157-3</v>
      </c>
      <c r="N259" s="6" t="str">
        <f t="shared" si="3"/>
        <v>Antofagasta - Antofagasta - Región de Antofagasta</v>
      </c>
      <c r="O259" s="4"/>
    </row>
    <row r="260">
      <c r="A260" s="1" t="s">
        <v>2139</v>
      </c>
      <c r="B260" s="1" t="s">
        <v>2140</v>
      </c>
      <c r="C260" s="1" t="s">
        <v>2141</v>
      </c>
      <c r="D260" s="1" t="s">
        <v>2142</v>
      </c>
      <c r="E260" s="1" t="s">
        <v>33</v>
      </c>
      <c r="F260" s="1" t="s">
        <v>33</v>
      </c>
      <c r="G260" s="1" t="s">
        <v>34</v>
      </c>
      <c r="H260" s="2">
        <v>7270000.0</v>
      </c>
      <c r="I260" s="1">
        <v>0.0</v>
      </c>
      <c r="J260" s="1" t="s">
        <v>28</v>
      </c>
      <c r="K260" s="5">
        <v>46179.0</v>
      </c>
      <c r="L260" s="4" t="str">
        <f t="shared" si="1"/>
        <v>Marcela Rodríguez Araya</v>
      </c>
      <c r="M260" s="6" t="str">
        <f t="shared" si="2"/>
        <v>20616469-6</v>
      </c>
      <c r="N260" s="6" t="str">
        <f t="shared" si="3"/>
        <v>Puerto Montt - Puerto Montt - Región de Los Lagos</v>
      </c>
      <c r="O260" s="4"/>
    </row>
    <row r="261">
      <c r="A261" s="1" t="s">
        <v>2147</v>
      </c>
      <c r="B261" s="1" t="s">
        <v>2148</v>
      </c>
      <c r="C261" s="1" t="s">
        <v>2150</v>
      </c>
      <c r="D261" s="1" t="s">
        <v>2152</v>
      </c>
      <c r="E261" s="1" t="s">
        <v>45</v>
      </c>
      <c r="F261" s="1" t="s">
        <v>45</v>
      </c>
      <c r="G261" s="1" t="s">
        <v>46</v>
      </c>
      <c r="H261" s="2">
        <v>1.332E7</v>
      </c>
      <c r="I261" s="1">
        <v>15.0</v>
      </c>
      <c r="J261" s="1" t="s">
        <v>97</v>
      </c>
      <c r="K261" s="5">
        <v>46162.0</v>
      </c>
      <c r="L261" s="4" t="str">
        <f t="shared" si="1"/>
        <v>Javier Sepúlveda Contreras</v>
      </c>
      <c r="M261" s="6" t="str">
        <f t="shared" si="2"/>
        <v>21.323.918-1</v>
      </c>
      <c r="N261" s="6" t="str">
        <f t="shared" si="3"/>
        <v>Temuco - Temuco - Región de la Araucanía</v>
      </c>
      <c r="O261" s="4"/>
    </row>
    <row r="262">
      <c r="A262" s="1" t="s">
        <v>1882</v>
      </c>
      <c r="B262" s="1" t="s">
        <v>1883</v>
      </c>
      <c r="C262" s="1" t="s">
        <v>2158</v>
      </c>
      <c r="D262" s="1" t="s">
        <v>1568</v>
      </c>
      <c r="E262" s="1" t="s">
        <v>26</v>
      </c>
      <c r="F262" s="1" t="s">
        <v>26</v>
      </c>
      <c r="G262" s="1" t="s">
        <v>27</v>
      </c>
      <c r="H262" s="2">
        <v>1.275E7</v>
      </c>
      <c r="I262" s="1">
        <v>0.0</v>
      </c>
      <c r="J262" s="1" t="s">
        <v>97</v>
      </c>
      <c r="K262" s="5">
        <v>46189.0</v>
      </c>
      <c r="L262" s="4" t="str">
        <f t="shared" si="1"/>
        <v>Carolina Rodríguez Araya</v>
      </c>
      <c r="M262" s="6" t="str">
        <f t="shared" si="2"/>
        <v>16.003.120-8</v>
      </c>
      <c r="N262" s="6" t="str">
        <f t="shared" si="3"/>
        <v>Valparaíso - Valparaíso - Región de Valparaíso</v>
      </c>
      <c r="O262" s="4"/>
    </row>
    <row r="263">
      <c r="A263" s="1" t="s">
        <v>2164</v>
      </c>
      <c r="B263" s="1" t="s">
        <v>2168</v>
      </c>
      <c r="C263" s="1" t="s">
        <v>2171</v>
      </c>
      <c r="D263" s="1" t="s">
        <v>2172</v>
      </c>
      <c r="E263" s="1" t="s">
        <v>45</v>
      </c>
      <c r="F263" s="1" t="s">
        <v>45</v>
      </c>
      <c r="G263" s="1" t="s">
        <v>46</v>
      </c>
      <c r="H263" s="2">
        <v>2.019E7</v>
      </c>
      <c r="I263" s="1">
        <v>45.0</v>
      </c>
      <c r="J263" s="1" t="s">
        <v>20</v>
      </c>
      <c r="K263" s="5">
        <v>46059.0</v>
      </c>
      <c r="L263" s="4" t="str">
        <f t="shared" si="1"/>
        <v>Sebastián Morales Fuentes</v>
      </c>
      <c r="M263" s="6" t="str">
        <f t="shared" si="2"/>
        <v>15.610.715-5</v>
      </c>
      <c r="N263" s="6" t="str">
        <f t="shared" si="3"/>
        <v>Temuco - Temuco - Región de la Araucanía</v>
      </c>
      <c r="O263" s="4"/>
    </row>
    <row r="264">
      <c r="A264" s="1" t="s">
        <v>2177</v>
      </c>
      <c r="B264" s="1" t="s">
        <v>2178</v>
      </c>
      <c r="C264" s="1" t="s">
        <v>2179</v>
      </c>
      <c r="D264" s="1" t="s">
        <v>2180</v>
      </c>
      <c r="E264" s="1" t="s">
        <v>194</v>
      </c>
      <c r="F264" s="1" t="s">
        <v>62</v>
      </c>
      <c r="G264" s="1" t="s">
        <v>63</v>
      </c>
      <c r="H264" s="2">
        <v>900000.0</v>
      </c>
      <c r="I264" s="1">
        <v>0.0</v>
      </c>
      <c r="J264" s="1" t="s">
        <v>73</v>
      </c>
      <c r="K264" s="5">
        <v>46221.0</v>
      </c>
      <c r="L264" s="4" t="str">
        <f t="shared" si="1"/>
        <v>Valentina Araya Rodríguez</v>
      </c>
      <c r="M264" s="6" t="str">
        <f t="shared" si="2"/>
        <v>11.000.930-9</v>
      </c>
      <c r="N264" s="6" t="str">
        <f t="shared" si="3"/>
        <v>Las Condes - Santiago - Región Metropolitana</v>
      </c>
      <c r="O264" s="4"/>
    </row>
    <row r="265">
      <c r="A265" s="1" t="s">
        <v>2187</v>
      </c>
      <c r="B265" s="1" t="s">
        <v>2188</v>
      </c>
      <c r="C265" s="1" t="s">
        <v>2189</v>
      </c>
      <c r="D265" s="1" t="s">
        <v>2191</v>
      </c>
      <c r="E265" s="1" t="s">
        <v>33</v>
      </c>
      <c r="F265" s="1" t="s">
        <v>33</v>
      </c>
      <c r="G265" s="1" t="s">
        <v>34</v>
      </c>
      <c r="H265" s="2">
        <v>5030000.0</v>
      </c>
      <c r="I265" s="1">
        <v>60.0</v>
      </c>
      <c r="J265" s="1" t="s">
        <v>73</v>
      </c>
      <c r="K265" s="5">
        <v>46217.0</v>
      </c>
      <c r="L265" s="4" t="str">
        <f t="shared" si="1"/>
        <v>Cristián Espinoza Vergara</v>
      </c>
      <c r="M265" s="6" t="str">
        <f t="shared" si="2"/>
        <v>11.314.663-7</v>
      </c>
      <c r="N265" s="6" t="str">
        <f t="shared" si="3"/>
        <v>Puerto Montt - Puerto Montt - Región de Los Lagos</v>
      </c>
      <c r="O265" s="4"/>
    </row>
    <row r="266">
      <c r="A266" s="1" t="s">
        <v>2201</v>
      </c>
      <c r="B266" s="1" t="s">
        <v>2202</v>
      </c>
      <c r="C266" s="1" t="s">
        <v>2203</v>
      </c>
      <c r="D266" s="1" t="s">
        <v>2205</v>
      </c>
      <c r="E266" s="1" t="s">
        <v>194</v>
      </c>
      <c r="F266" s="1" t="s">
        <v>62</v>
      </c>
      <c r="G266" s="1" t="s">
        <v>63</v>
      </c>
      <c r="H266" s="2">
        <v>9160000.0</v>
      </c>
      <c r="I266" s="1">
        <v>0.0</v>
      </c>
      <c r="J266" s="1" t="s">
        <v>28</v>
      </c>
      <c r="K266" s="5">
        <v>46026.0</v>
      </c>
      <c r="L266" s="4" t="str">
        <f t="shared" si="1"/>
        <v>Macarena Espinoza López</v>
      </c>
      <c r="M266" s="6" t="str">
        <f t="shared" si="2"/>
        <v>12.928.449-8</v>
      </c>
      <c r="N266" s="6" t="str">
        <f t="shared" si="3"/>
        <v>Las Condes - Santiago - Región Metropolitana</v>
      </c>
      <c r="O266" s="4"/>
    </row>
    <row r="267">
      <c r="A267" s="1" t="s">
        <v>2211</v>
      </c>
      <c r="B267" s="1" t="s">
        <v>2212</v>
      </c>
      <c r="C267" s="1" t="s">
        <v>2213</v>
      </c>
      <c r="D267" s="1" t="s">
        <v>2214</v>
      </c>
      <c r="E267" s="1" t="s">
        <v>72</v>
      </c>
      <c r="F267" s="1" t="s">
        <v>62</v>
      </c>
      <c r="G267" s="1" t="s">
        <v>63</v>
      </c>
      <c r="H267" s="2">
        <v>4370000.0</v>
      </c>
      <c r="I267" s="1">
        <v>0.0</v>
      </c>
      <c r="J267" s="1" t="s">
        <v>97</v>
      </c>
      <c r="K267" s="5">
        <v>46200.0</v>
      </c>
      <c r="L267" s="4" t="str">
        <f t="shared" si="1"/>
        <v>Ignacio Valenzuela Morales</v>
      </c>
      <c r="M267" s="6" t="str">
        <f t="shared" si="2"/>
        <v>15.152.724-3</v>
      </c>
      <c r="N267" s="6" t="str">
        <f t="shared" si="3"/>
        <v>Providencia - Santiago - Región Metropolitana</v>
      </c>
      <c r="O267" s="4"/>
    </row>
    <row r="268">
      <c r="A268" s="1" t="s">
        <v>2093</v>
      </c>
      <c r="B268" s="1" t="s">
        <v>2094</v>
      </c>
      <c r="C268" s="1" t="s">
        <v>2095</v>
      </c>
      <c r="D268" s="1" t="s">
        <v>2096</v>
      </c>
      <c r="E268" s="1" t="s">
        <v>56</v>
      </c>
      <c r="F268" s="1" t="s">
        <v>39</v>
      </c>
      <c r="G268" s="1" t="s">
        <v>40</v>
      </c>
      <c r="H268" s="2">
        <v>7770000.0</v>
      </c>
      <c r="I268" s="1">
        <v>60.0</v>
      </c>
      <c r="J268" s="1" t="s">
        <v>73</v>
      </c>
      <c r="K268" s="5">
        <v>46178.0</v>
      </c>
      <c r="L268" s="4" t="str">
        <f t="shared" si="1"/>
        <v>Catalina Díaz Araya</v>
      </c>
      <c r="M268" s="6" t="str">
        <f t="shared" si="2"/>
        <v>18.597.293-3</v>
      </c>
      <c r="N268" s="6" t="str">
        <f t="shared" si="3"/>
        <v>Talcahuano - Concepción - Región del Biobío</v>
      </c>
      <c r="O268" s="4"/>
    </row>
    <row r="269">
      <c r="A269" s="1" t="s">
        <v>2227</v>
      </c>
      <c r="B269" s="1" t="s">
        <v>2228</v>
      </c>
      <c r="C269" s="1" t="s">
        <v>2229</v>
      </c>
      <c r="D269" s="1" t="s">
        <v>2230</v>
      </c>
      <c r="E269" s="1" t="s">
        <v>61</v>
      </c>
      <c r="F269" s="1" t="s">
        <v>62</v>
      </c>
      <c r="G269" s="1" t="s">
        <v>63</v>
      </c>
      <c r="H269" s="2">
        <v>1.645E7</v>
      </c>
      <c r="I269" s="1">
        <v>0.0</v>
      </c>
      <c r="J269" s="1" t="s">
        <v>47</v>
      </c>
      <c r="K269" s="5">
        <v>46224.0</v>
      </c>
      <c r="L269" s="4" t="str">
        <f t="shared" si="1"/>
        <v>Javier Tapia Contreras</v>
      </c>
      <c r="M269" s="6" t="str">
        <f t="shared" si="2"/>
        <v>13.273.886-0</v>
      </c>
      <c r="N269" s="6" t="str">
        <f t="shared" si="3"/>
        <v>Santiago Centro - Santiago - Región Metropolitana</v>
      </c>
      <c r="O269" s="4"/>
    </row>
    <row r="270">
      <c r="A270" s="1" t="s">
        <v>2240</v>
      </c>
      <c r="B270" s="1" t="s">
        <v>2242</v>
      </c>
      <c r="C270" s="1" t="s">
        <v>2243</v>
      </c>
      <c r="D270" s="1" t="s">
        <v>2244</v>
      </c>
      <c r="E270" s="1" t="s">
        <v>33</v>
      </c>
      <c r="F270" s="1" t="s">
        <v>33</v>
      </c>
      <c r="G270" s="1" t="s">
        <v>34</v>
      </c>
      <c r="H270" s="2">
        <v>1.672E7</v>
      </c>
      <c r="I270" s="1">
        <v>120.0</v>
      </c>
      <c r="J270" s="1" t="s">
        <v>73</v>
      </c>
      <c r="K270" s="5">
        <v>46176.0</v>
      </c>
      <c r="L270" s="4" t="str">
        <f t="shared" si="1"/>
        <v>Javiera Pérez López</v>
      </c>
      <c r="M270" s="6" t="str">
        <f t="shared" si="2"/>
        <v>12.019.596-4</v>
      </c>
      <c r="N270" s="6" t="str">
        <f t="shared" si="3"/>
        <v>Puerto Montt - Puerto Montt - Región de Los Lagos</v>
      </c>
      <c r="O270" s="4"/>
    </row>
    <row r="271">
      <c r="A271" s="1" t="s">
        <v>2251</v>
      </c>
      <c r="B271" s="1" t="s">
        <v>2253</v>
      </c>
      <c r="C271" s="1" t="s">
        <v>2254</v>
      </c>
      <c r="D271" s="1" t="s">
        <v>2255</v>
      </c>
      <c r="E271" s="1" t="s">
        <v>109</v>
      </c>
      <c r="F271" s="1" t="s">
        <v>62</v>
      </c>
      <c r="G271" s="1" t="s">
        <v>63</v>
      </c>
      <c r="H271" s="2">
        <v>1.828E7</v>
      </c>
      <c r="I271" s="1">
        <v>0.0</v>
      </c>
      <c r="J271" s="1" t="s">
        <v>73</v>
      </c>
      <c r="K271" s="5">
        <v>46205.0</v>
      </c>
      <c r="L271" s="4" t="str">
        <f t="shared" si="1"/>
        <v>Cristián González Sepúlveda</v>
      </c>
      <c r="M271" s="6" t="str">
        <f t="shared" si="2"/>
        <v>22.046.704-5</v>
      </c>
      <c r="N271" s="6" t="str">
        <f t="shared" si="3"/>
        <v>Ñuñoa - Santiago - Región Metropolitana</v>
      </c>
      <c r="O271" s="4"/>
    </row>
    <row r="272">
      <c r="A272" s="1" t="s">
        <v>2264</v>
      </c>
      <c r="B272" s="1" t="s">
        <v>2265</v>
      </c>
      <c r="C272" s="1" t="s">
        <v>2266</v>
      </c>
      <c r="D272" s="1" t="s">
        <v>2267</v>
      </c>
      <c r="E272" s="1" t="s">
        <v>33</v>
      </c>
      <c r="F272" s="1" t="s">
        <v>33</v>
      </c>
      <c r="G272" s="1" t="s">
        <v>34</v>
      </c>
      <c r="H272" s="2">
        <v>8020000.0</v>
      </c>
      <c r="I272" s="1">
        <v>0.0</v>
      </c>
      <c r="J272" s="1" t="s">
        <v>73</v>
      </c>
      <c r="K272" s="5">
        <v>46116.0</v>
      </c>
      <c r="L272" s="4" t="str">
        <f t="shared" si="1"/>
        <v>Catalina Soto Silva</v>
      </c>
      <c r="M272" s="6" t="str">
        <f t="shared" si="2"/>
        <v>15.803.213-7</v>
      </c>
      <c r="N272" s="6" t="str">
        <f t="shared" si="3"/>
        <v>Puerto Montt - Puerto Montt - Región de Los Lagos</v>
      </c>
      <c r="O272" s="4"/>
    </row>
    <row r="273">
      <c r="A273" s="1" t="s">
        <v>2276</v>
      </c>
      <c r="B273" s="1" t="s">
        <v>2278</v>
      </c>
      <c r="C273" s="1" t="s">
        <v>2279</v>
      </c>
      <c r="D273" s="1" t="s">
        <v>2281</v>
      </c>
      <c r="E273" s="1" t="s">
        <v>109</v>
      </c>
      <c r="F273" s="1" t="s">
        <v>62</v>
      </c>
      <c r="G273" s="1" t="s">
        <v>63</v>
      </c>
      <c r="H273" s="2">
        <v>4310000.0</v>
      </c>
      <c r="I273" s="1">
        <v>0.0</v>
      </c>
      <c r="J273" s="1" t="s">
        <v>47</v>
      </c>
      <c r="K273" s="5">
        <v>46085.0</v>
      </c>
      <c r="L273" s="4" t="str">
        <f t="shared" si="1"/>
        <v>Cristián Pérez Araya</v>
      </c>
      <c r="M273" s="6" t="str">
        <f t="shared" si="2"/>
        <v>20522529-8</v>
      </c>
      <c r="N273" s="6" t="str">
        <f t="shared" si="3"/>
        <v>Ñuñoa - Santiago - Región Metropolitana</v>
      </c>
      <c r="O273" s="4"/>
    </row>
    <row r="274">
      <c r="A274" s="1" t="s">
        <v>1074</v>
      </c>
      <c r="B274" s="1" t="s">
        <v>1075</v>
      </c>
      <c r="C274" s="1" t="s">
        <v>2289</v>
      </c>
      <c r="D274" s="1" t="s">
        <v>1078</v>
      </c>
      <c r="E274" s="1" t="s">
        <v>61</v>
      </c>
      <c r="F274" s="1" t="s">
        <v>62</v>
      </c>
      <c r="G274" s="1" t="s">
        <v>63</v>
      </c>
      <c r="H274" s="2">
        <v>1.461E7</v>
      </c>
      <c r="I274" s="1">
        <v>90.0</v>
      </c>
      <c r="J274" s="1" t="s">
        <v>20</v>
      </c>
      <c r="K274" s="5">
        <v>46056.0</v>
      </c>
      <c r="L274" s="4" t="str">
        <f t="shared" si="1"/>
        <v>Beatriz Espinoza Pérez</v>
      </c>
      <c r="M274" s="6" t="str">
        <f t="shared" si="2"/>
        <v>17549161-0</v>
      </c>
      <c r="N274" s="6" t="str">
        <f t="shared" si="3"/>
        <v>Santiago Centro - Santiago - Región Metropolitana</v>
      </c>
      <c r="O274" s="4"/>
    </row>
    <row r="275">
      <c r="A275" s="1" t="s">
        <v>2298</v>
      </c>
      <c r="B275" s="1" t="s">
        <v>2299</v>
      </c>
      <c r="C275" s="1" t="s">
        <v>2300</v>
      </c>
      <c r="D275" s="1" t="s">
        <v>2301</v>
      </c>
      <c r="E275" s="1" t="s">
        <v>158</v>
      </c>
      <c r="F275" s="1" t="s">
        <v>158</v>
      </c>
      <c r="G275" s="1" t="s">
        <v>159</v>
      </c>
      <c r="H275" s="2">
        <v>2.181E7</v>
      </c>
      <c r="I275" s="1">
        <v>90.0</v>
      </c>
      <c r="J275" s="1" t="s">
        <v>28</v>
      </c>
      <c r="K275" s="5">
        <v>46170.0</v>
      </c>
      <c r="L275" s="4" t="str">
        <f t="shared" si="1"/>
        <v>Rodrigo Araya Contreras</v>
      </c>
      <c r="M275" s="6" t="str">
        <f t="shared" si="2"/>
        <v>13.024.456-3</v>
      </c>
      <c r="N275" s="6" t="str">
        <f t="shared" si="3"/>
        <v>Antofagasta - Antofagasta - Región de Antofagasta</v>
      </c>
      <c r="O275" s="4"/>
    </row>
    <row r="276">
      <c r="A276" s="1" t="s">
        <v>2310</v>
      </c>
      <c r="B276" s="1" t="s">
        <v>2311</v>
      </c>
      <c r="C276" s="1" t="s">
        <v>2313</v>
      </c>
      <c r="D276" s="1" t="s">
        <v>2314</v>
      </c>
      <c r="E276" s="1" t="s">
        <v>158</v>
      </c>
      <c r="F276" s="1" t="s">
        <v>158</v>
      </c>
      <c r="G276" s="1" t="s">
        <v>159</v>
      </c>
      <c r="H276" s="2">
        <v>8280000.0</v>
      </c>
      <c r="I276" s="1">
        <v>15.0</v>
      </c>
      <c r="J276" s="1" t="s">
        <v>20</v>
      </c>
      <c r="K276" s="5">
        <v>46208.0</v>
      </c>
      <c r="L276" s="4" t="str">
        <f t="shared" si="1"/>
        <v>Catalina Tapia Fuentes</v>
      </c>
      <c r="M276" s="6" t="str">
        <f t="shared" si="2"/>
        <v>19.686.743-6</v>
      </c>
      <c r="N276" s="6" t="str">
        <f t="shared" si="3"/>
        <v>Antofagasta - Antofagasta - Región de Antofagasta</v>
      </c>
      <c r="O276" s="4"/>
    </row>
    <row r="277">
      <c r="A277" s="1" t="s">
        <v>2323</v>
      </c>
      <c r="B277" s="1" t="s">
        <v>2325</v>
      </c>
      <c r="C277" s="1" t="s">
        <v>2326</v>
      </c>
      <c r="D277" s="1" t="s">
        <v>2327</v>
      </c>
      <c r="E277" s="1" t="s">
        <v>25</v>
      </c>
      <c r="F277" s="1" t="s">
        <v>26</v>
      </c>
      <c r="G277" s="1" t="s">
        <v>27</v>
      </c>
      <c r="H277" s="2">
        <v>2.088E7</v>
      </c>
      <c r="I277" s="1">
        <v>0.0</v>
      </c>
      <c r="J277" s="1" t="s">
        <v>47</v>
      </c>
      <c r="K277" s="5">
        <v>46130.0</v>
      </c>
      <c r="L277" s="4" t="str">
        <f t="shared" si="1"/>
        <v>Matías Rojas Díaz</v>
      </c>
      <c r="M277" s="6" t="str">
        <f t="shared" si="2"/>
        <v>21.045.510-0</v>
      </c>
      <c r="N277" s="6" t="str">
        <f t="shared" si="3"/>
        <v>Viña del Mar - Valparaíso - Región de Valparaíso</v>
      </c>
      <c r="O277" s="4"/>
    </row>
    <row r="278">
      <c r="A278" s="1" t="s">
        <v>670</v>
      </c>
      <c r="B278" s="1" t="s">
        <v>672</v>
      </c>
      <c r="C278" s="1" t="s">
        <v>674</v>
      </c>
      <c r="D278" s="1" t="s">
        <v>675</v>
      </c>
      <c r="E278" s="1" t="s">
        <v>158</v>
      </c>
      <c r="F278" s="1" t="s">
        <v>158</v>
      </c>
      <c r="G278" s="1" t="s">
        <v>159</v>
      </c>
      <c r="H278" s="2">
        <v>1420000.0</v>
      </c>
      <c r="I278" s="1">
        <v>0.0</v>
      </c>
      <c r="J278" s="1" t="s">
        <v>20</v>
      </c>
      <c r="K278" s="5">
        <v>46126.0</v>
      </c>
      <c r="L278" s="4" t="str">
        <f t="shared" si="1"/>
        <v>Andrea González Sepúlveda</v>
      </c>
      <c r="M278" s="6" t="str">
        <f t="shared" si="2"/>
        <v>13.451.347-2</v>
      </c>
      <c r="N278" s="6" t="str">
        <f t="shared" si="3"/>
        <v>Antofagasta - Antofagasta - Región de Antofagasta</v>
      </c>
      <c r="O278" s="4"/>
    </row>
    <row r="279">
      <c r="A279" s="1" t="s">
        <v>2337</v>
      </c>
      <c r="B279" s="1" t="s">
        <v>2339</v>
      </c>
      <c r="C279" s="1" t="s">
        <v>2340</v>
      </c>
      <c r="D279" s="1" t="s">
        <v>2341</v>
      </c>
      <c r="E279" s="1" t="s">
        <v>39</v>
      </c>
      <c r="F279" s="1" t="s">
        <v>39</v>
      </c>
      <c r="G279" s="1" t="s">
        <v>40</v>
      </c>
      <c r="H279" s="2">
        <v>6650000.0</v>
      </c>
      <c r="I279" s="1">
        <v>45.0</v>
      </c>
      <c r="J279" s="1" t="s">
        <v>73</v>
      </c>
      <c r="K279" s="5">
        <v>46061.0</v>
      </c>
      <c r="L279" s="4" t="str">
        <f t="shared" si="1"/>
        <v>Tomas Araya Tapia</v>
      </c>
      <c r="M279" s="6" t="str">
        <f t="shared" si="2"/>
        <v>12.643.286-2</v>
      </c>
      <c r="N279" s="6" t="str">
        <f t="shared" si="3"/>
        <v>Concepción - Concepción - Región del Biobío</v>
      </c>
      <c r="O279" s="4"/>
    </row>
    <row r="280">
      <c r="A280" s="1" t="s">
        <v>2344</v>
      </c>
      <c r="B280" s="1" t="s">
        <v>2345</v>
      </c>
      <c r="C280" s="1" t="s">
        <v>2182</v>
      </c>
      <c r="D280" s="1" t="s">
        <v>2348</v>
      </c>
      <c r="E280" s="1" t="s">
        <v>158</v>
      </c>
      <c r="F280" s="1" t="s">
        <v>158</v>
      </c>
      <c r="G280" s="1" t="s">
        <v>159</v>
      </c>
      <c r="H280" s="2">
        <v>1.548E7</v>
      </c>
      <c r="I280" s="1">
        <v>30.0</v>
      </c>
      <c r="J280" s="1" t="s">
        <v>20</v>
      </c>
      <c r="K280" s="5">
        <v>46206.0</v>
      </c>
      <c r="L280" s="4" t="str">
        <f t="shared" si="1"/>
        <v>Loreto Silva Pérez</v>
      </c>
      <c r="M280" s="6" t="str">
        <f t="shared" si="2"/>
        <v>18.223.820-2</v>
      </c>
      <c r="N280" s="6" t="str">
        <f t="shared" si="3"/>
        <v>Antofagasta - Antofagasta - Región de Antofagasta</v>
      </c>
      <c r="O280" s="4"/>
    </row>
    <row r="281">
      <c r="A281" s="1" t="s">
        <v>2356</v>
      </c>
      <c r="B281" s="1" t="s">
        <v>2358</v>
      </c>
      <c r="C281" s="1" t="s">
        <v>2359</v>
      </c>
      <c r="D281" s="1" t="s">
        <v>2360</v>
      </c>
      <c r="E281" s="1" t="s">
        <v>194</v>
      </c>
      <c r="F281" s="1" t="s">
        <v>62</v>
      </c>
      <c r="G281" s="1" t="s">
        <v>63</v>
      </c>
      <c r="H281" s="2">
        <v>6900000.0</v>
      </c>
      <c r="I281" s="1">
        <v>0.0</v>
      </c>
      <c r="J281" s="1" t="s">
        <v>28</v>
      </c>
      <c r="K281" s="5">
        <v>46170.0</v>
      </c>
      <c r="L281" s="4" t="str">
        <f t="shared" si="1"/>
        <v>Diego Silva Espinoza</v>
      </c>
      <c r="M281" s="6" t="str">
        <f t="shared" si="2"/>
        <v>16396429-1</v>
      </c>
      <c r="N281" s="6" t="str">
        <f t="shared" si="3"/>
        <v>Las Condes - Santiago - Región Metropolitana</v>
      </c>
      <c r="O281" s="4"/>
    </row>
    <row r="282">
      <c r="A282" s="1" t="s">
        <v>971</v>
      </c>
      <c r="B282" s="1" t="s">
        <v>972</v>
      </c>
      <c r="C282" s="1" t="s">
        <v>974</v>
      </c>
      <c r="D282" s="1" t="s">
        <v>975</v>
      </c>
      <c r="E282" s="1" t="s">
        <v>33</v>
      </c>
      <c r="F282" s="1" t="s">
        <v>33</v>
      </c>
      <c r="G282" s="1" t="s">
        <v>34</v>
      </c>
      <c r="H282" s="2">
        <v>1.248E7</v>
      </c>
      <c r="I282" s="1">
        <v>0.0</v>
      </c>
      <c r="J282" s="1" t="s">
        <v>73</v>
      </c>
      <c r="K282" s="5">
        <v>46029.0</v>
      </c>
      <c r="L282" s="4" t="str">
        <f t="shared" si="1"/>
        <v>Andrea Tapia Pérez</v>
      </c>
      <c r="M282" s="6" t="str">
        <f t="shared" si="2"/>
        <v>13.913.938-0</v>
      </c>
      <c r="N282" s="6" t="str">
        <f t="shared" si="3"/>
        <v>Puerto Montt - Puerto Montt - Región de Los Lagos</v>
      </c>
      <c r="O282" s="4"/>
    </row>
    <row r="283">
      <c r="A283" s="1" t="s">
        <v>2375</v>
      </c>
      <c r="B283" s="1" t="s">
        <v>2377</v>
      </c>
      <c r="C283" s="1" t="s">
        <v>2378</v>
      </c>
      <c r="D283" s="1" t="s">
        <v>2379</v>
      </c>
      <c r="E283" s="1" t="s">
        <v>109</v>
      </c>
      <c r="F283" s="1" t="s">
        <v>62</v>
      </c>
      <c r="G283" s="1" t="s">
        <v>63</v>
      </c>
      <c r="H283" s="2">
        <v>2.174E7</v>
      </c>
      <c r="I283" s="1">
        <v>90.0</v>
      </c>
      <c r="J283" s="1" t="s">
        <v>28</v>
      </c>
      <c r="K283" s="5">
        <v>46114.0</v>
      </c>
      <c r="L283" s="4" t="str">
        <f t="shared" si="1"/>
        <v>Rodrigo López Soto</v>
      </c>
      <c r="M283" s="6" t="str">
        <f t="shared" si="2"/>
        <v>17.108.951-7</v>
      </c>
      <c r="N283" s="6" t="str">
        <f t="shared" si="3"/>
        <v>Ñuñoa - Santiago - Región Metropolitana</v>
      </c>
      <c r="O283" s="4"/>
    </row>
    <row r="284">
      <c r="A284" s="1" t="s">
        <v>2388</v>
      </c>
      <c r="B284" s="1" t="s">
        <v>2389</v>
      </c>
      <c r="C284" s="1" t="s">
        <v>2390</v>
      </c>
      <c r="D284" s="1" t="s">
        <v>2391</v>
      </c>
      <c r="E284" s="1" t="s">
        <v>18</v>
      </c>
      <c r="F284" s="1" t="s">
        <v>18</v>
      </c>
      <c r="G284" s="1" t="s">
        <v>19</v>
      </c>
      <c r="H284" s="2">
        <v>2.047E7</v>
      </c>
      <c r="I284" s="1">
        <v>15.0</v>
      </c>
      <c r="J284" s="1" t="s">
        <v>28</v>
      </c>
      <c r="K284" s="5">
        <v>46205.0</v>
      </c>
      <c r="L284" s="4" t="str">
        <f t="shared" si="1"/>
        <v>Constanza Araya Fuentes</v>
      </c>
      <c r="M284" s="6" t="str">
        <f t="shared" si="2"/>
        <v>13.869.290-4</v>
      </c>
      <c r="N284" s="6" t="str">
        <f t="shared" si="3"/>
        <v>La Serena - La Serena - Región de Coquimbo</v>
      </c>
      <c r="O284" s="4"/>
    </row>
    <row r="285">
      <c r="A285" s="1" t="s">
        <v>2399</v>
      </c>
      <c r="B285" s="1" t="s">
        <v>2401</v>
      </c>
      <c r="C285" s="1" t="s">
        <v>2402</v>
      </c>
      <c r="D285" s="1" t="s">
        <v>2403</v>
      </c>
      <c r="E285" s="1" t="s">
        <v>39</v>
      </c>
      <c r="F285" s="1" t="s">
        <v>39</v>
      </c>
      <c r="G285" s="1" t="s">
        <v>40</v>
      </c>
      <c r="H285" s="2">
        <v>2.082E7</v>
      </c>
      <c r="I285" s="1">
        <v>45.0</v>
      </c>
      <c r="J285" s="1" t="s">
        <v>73</v>
      </c>
      <c r="K285" s="5">
        <v>46143.0</v>
      </c>
      <c r="L285" s="4" t="str">
        <f t="shared" si="1"/>
        <v>Gabriel Soto Rojas</v>
      </c>
      <c r="M285" s="6" t="str">
        <f t="shared" si="2"/>
        <v>20.974.505-1</v>
      </c>
      <c r="N285" s="6" t="str">
        <f t="shared" si="3"/>
        <v>Concepción - Concepción - Región del Biobío</v>
      </c>
      <c r="O285" s="4"/>
    </row>
    <row r="286">
      <c r="A286" s="1" t="s">
        <v>2404</v>
      </c>
      <c r="B286" s="1" t="s">
        <v>2405</v>
      </c>
      <c r="C286" s="1" t="s">
        <v>2407</v>
      </c>
      <c r="D286" s="1" t="s">
        <v>2409</v>
      </c>
      <c r="E286" s="1" t="s">
        <v>72</v>
      </c>
      <c r="F286" s="1" t="s">
        <v>62</v>
      </c>
      <c r="G286" s="1" t="s">
        <v>63</v>
      </c>
      <c r="H286" s="2">
        <v>1.92E7</v>
      </c>
      <c r="I286" s="1">
        <v>15.0</v>
      </c>
      <c r="J286" s="1" t="s">
        <v>20</v>
      </c>
      <c r="K286" s="5">
        <v>46063.0</v>
      </c>
      <c r="L286" s="4" t="str">
        <f t="shared" si="1"/>
        <v>Javiera Silva Araya</v>
      </c>
      <c r="M286" s="6" t="str">
        <f t="shared" si="2"/>
        <v>12.564.358-1</v>
      </c>
      <c r="N286" s="6" t="str">
        <f t="shared" si="3"/>
        <v>Providencia - Santiago - Región Metropolitana</v>
      </c>
      <c r="O286" s="4"/>
    </row>
    <row r="287">
      <c r="A287" s="1" t="s">
        <v>2412</v>
      </c>
      <c r="B287" s="1" t="s">
        <v>2413</v>
      </c>
      <c r="C287" s="1" t="s">
        <v>2414</v>
      </c>
      <c r="D287" s="1" t="s">
        <v>2415</v>
      </c>
      <c r="E287" s="1" t="s">
        <v>18</v>
      </c>
      <c r="F287" s="1" t="s">
        <v>18</v>
      </c>
      <c r="G287" s="1" t="s">
        <v>19</v>
      </c>
      <c r="H287" s="2">
        <v>1.812E7</v>
      </c>
      <c r="I287" s="1">
        <v>45.0</v>
      </c>
      <c r="J287" s="1" t="s">
        <v>20</v>
      </c>
      <c r="K287" s="5">
        <v>46187.0</v>
      </c>
      <c r="L287" s="4" t="str">
        <f t="shared" si="1"/>
        <v>Rodrigo Rodríguez Soto</v>
      </c>
      <c r="M287" s="6" t="str">
        <f t="shared" si="2"/>
        <v>15.753.418-K</v>
      </c>
      <c r="N287" s="6" t="str">
        <f t="shared" si="3"/>
        <v>La Serena - La Serena - Región de Coquimbo</v>
      </c>
      <c r="O287" s="4"/>
    </row>
    <row r="288">
      <c r="A288" s="1" t="s">
        <v>2420</v>
      </c>
      <c r="B288" s="1" t="s">
        <v>2421</v>
      </c>
      <c r="C288" s="1" t="s">
        <v>2422</v>
      </c>
      <c r="D288" s="1" t="s">
        <v>2423</v>
      </c>
      <c r="E288" s="1" t="s">
        <v>194</v>
      </c>
      <c r="F288" s="1" t="s">
        <v>62</v>
      </c>
      <c r="G288" s="1" t="s">
        <v>63</v>
      </c>
      <c r="H288" s="2">
        <v>1.667E7</v>
      </c>
      <c r="I288" s="1">
        <v>120.0</v>
      </c>
      <c r="J288" s="1" t="s">
        <v>97</v>
      </c>
      <c r="K288" s="5">
        <v>46212.0</v>
      </c>
      <c r="L288" s="4" t="str">
        <f t="shared" si="1"/>
        <v>Valentina Vergara Vergara</v>
      </c>
      <c r="M288" s="6" t="str">
        <f t="shared" si="2"/>
        <v>18814628-6</v>
      </c>
      <c r="N288" s="6" t="str">
        <f t="shared" si="3"/>
        <v>Las Condes - Santiago - Región Metropolitana</v>
      </c>
      <c r="O288" s="4"/>
    </row>
    <row r="289">
      <c r="A289" s="1" t="s">
        <v>2424</v>
      </c>
      <c r="B289" s="1" t="s">
        <v>2425</v>
      </c>
      <c r="C289" s="1" t="s">
        <v>2426</v>
      </c>
      <c r="D289" s="1" t="s">
        <v>2427</v>
      </c>
      <c r="E289" s="1" t="s">
        <v>118</v>
      </c>
      <c r="F289" s="1" t="s">
        <v>62</v>
      </c>
      <c r="G289" s="1" t="s">
        <v>63</v>
      </c>
      <c r="H289" s="2">
        <v>4870000.0</v>
      </c>
      <c r="I289" s="1">
        <v>15.0</v>
      </c>
      <c r="J289" s="1" t="s">
        <v>47</v>
      </c>
      <c r="K289" s="5">
        <v>46210.0</v>
      </c>
      <c r="L289" s="4" t="str">
        <f t="shared" si="1"/>
        <v>Tomas Sepúlveda Vergara</v>
      </c>
      <c r="M289" s="6" t="str">
        <f t="shared" si="2"/>
        <v>17874958-4</v>
      </c>
      <c r="N289" s="6" t="str">
        <f t="shared" si="3"/>
        <v>Maipú - Santiago - Región Metropolitana</v>
      </c>
      <c r="O289" s="4"/>
    </row>
    <row r="290">
      <c r="A290" s="1" t="s">
        <v>2428</v>
      </c>
      <c r="B290" s="1" t="s">
        <v>2429</v>
      </c>
      <c r="C290" s="1" t="s">
        <v>2430</v>
      </c>
      <c r="D290" s="1" t="s">
        <v>2431</v>
      </c>
      <c r="E290" s="1" t="s">
        <v>33</v>
      </c>
      <c r="F290" s="1" t="s">
        <v>33</v>
      </c>
      <c r="G290" s="1" t="s">
        <v>34</v>
      </c>
      <c r="H290" s="2">
        <v>910000.0</v>
      </c>
      <c r="I290" s="1">
        <v>60.0</v>
      </c>
      <c r="J290" s="1" t="s">
        <v>47</v>
      </c>
      <c r="K290" s="5">
        <v>46039.0</v>
      </c>
      <c r="L290" s="4" t="str">
        <f t="shared" si="1"/>
        <v>Valentina Contreras Rojas</v>
      </c>
      <c r="M290" s="6" t="str">
        <f t="shared" si="2"/>
        <v>16.965.529-2</v>
      </c>
      <c r="N290" s="6" t="str">
        <f t="shared" si="3"/>
        <v>Puerto Montt - Puerto Montt - Región de Los Lagos</v>
      </c>
      <c r="O290" s="4"/>
    </row>
    <row r="291">
      <c r="A291" s="1" t="s">
        <v>2432</v>
      </c>
      <c r="B291" s="1" t="s">
        <v>2433</v>
      </c>
      <c r="C291" s="1" t="s">
        <v>2434</v>
      </c>
      <c r="D291" s="1" t="s">
        <v>2435</v>
      </c>
      <c r="E291" s="1" t="s">
        <v>61</v>
      </c>
      <c r="F291" s="1" t="s">
        <v>62</v>
      </c>
      <c r="G291" s="1" t="s">
        <v>63</v>
      </c>
      <c r="H291" s="2">
        <v>1.941E7</v>
      </c>
      <c r="I291" s="1">
        <v>0.0</v>
      </c>
      <c r="J291" s="1" t="s">
        <v>97</v>
      </c>
      <c r="K291" s="5">
        <v>46143.0</v>
      </c>
      <c r="L291" s="4" t="str">
        <f t="shared" si="1"/>
        <v>Esteban Araya Pérez</v>
      </c>
      <c r="M291" s="6" t="str">
        <f t="shared" si="2"/>
        <v>13391356-5</v>
      </c>
      <c r="N291" s="6" t="str">
        <f t="shared" si="3"/>
        <v>Santiago Centro - Santiago - Región Metropolitana</v>
      </c>
      <c r="O291" s="4"/>
    </row>
    <row r="292">
      <c r="A292" s="1" t="s">
        <v>2436</v>
      </c>
      <c r="B292" s="1" t="s">
        <v>2438</v>
      </c>
      <c r="C292" s="1" t="s">
        <v>2439</v>
      </c>
      <c r="D292" s="1" t="s">
        <v>2440</v>
      </c>
      <c r="E292" s="1" t="s">
        <v>72</v>
      </c>
      <c r="F292" s="1" t="s">
        <v>62</v>
      </c>
      <c r="G292" s="1" t="s">
        <v>63</v>
      </c>
      <c r="H292" s="2">
        <v>1130000.0</v>
      </c>
      <c r="I292" s="1">
        <v>30.0</v>
      </c>
      <c r="J292" s="1" t="s">
        <v>20</v>
      </c>
      <c r="K292" s="5">
        <v>46206.0</v>
      </c>
      <c r="L292" s="4" t="str">
        <f t="shared" si="1"/>
        <v>Marcela Vergara Valenzuela</v>
      </c>
      <c r="M292" s="6" t="str">
        <f t="shared" si="2"/>
        <v>20772777-8</v>
      </c>
      <c r="N292" s="6" t="str">
        <f t="shared" si="3"/>
        <v>Providencia - Santiago - Región Metropolitana</v>
      </c>
      <c r="O292" s="4"/>
    </row>
    <row r="293">
      <c r="A293" s="1" t="s">
        <v>2441</v>
      </c>
      <c r="B293" s="1" t="s">
        <v>2442</v>
      </c>
      <c r="C293" s="1" t="s">
        <v>2443</v>
      </c>
      <c r="D293" s="1" t="s">
        <v>2444</v>
      </c>
      <c r="E293" s="1" t="s">
        <v>25</v>
      </c>
      <c r="F293" s="1" t="s">
        <v>26</v>
      </c>
      <c r="G293" s="1" t="s">
        <v>27</v>
      </c>
      <c r="H293" s="2">
        <v>5310000.0</v>
      </c>
      <c r="I293" s="1">
        <v>15.0</v>
      </c>
      <c r="J293" s="1" t="s">
        <v>47</v>
      </c>
      <c r="K293" s="5">
        <v>46085.0</v>
      </c>
      <c r="L293" s="4" t="str">
        <f t="shared" si="1"/>
        <v>Javier Díaz Espinoza</v>
      </c>
      <c r="M293" s="6" t="str">
        <f t="shared" si="2"/>
        <v>11.401.900-2</v>
      </c>
      <c r="N293" s="6" t="str">
        <f t="shared" si="3"/>
        <v>Viña del Mar - Valparaíso - Región de Valparaíso</v>
      </c>
      <c r="O293" s="4"/>
    </row>
    <row r="294">
      <c r="A294" s="1" t="s">
        <v>2449</v>
      </c>
      <c r="B294" s="1" t="s">
        <v>2450</v>
      </c>
      <c r="C294" s="1" t="s">
        <v>2451</v>
      </c>
      <c r="D294" s="1" t="s">
        <v>2452</v>
      </c>
      <c r="E294" s="1" t="s">
        <v>72</v>
      </c>
      <c r="F294" s="1" t="s">
        <v>62</v>
      </c>
      <c r="G294" s="1" t="s">
        <v>63</v>
      </c>
      <c r="H294" s="2">
        <v>1.157E7</v>
      </c>
      <c r="I294" s="1">
        <v>30.0</v>
      </c>
      <c r="J294" s="1" t="s">
        <v>28</v>
      </c>
      <c r="K294" s="5">
        <v>46147.0</v>
      </c>
      <c r="L294" s="4" t="str">
        <f t="shared" si="1"/>
        <v>Sofia Muñoz Muñoz</v>
      </c>
      <c r="M294" s="6" t="str">
        <f t="shared" si="2"/>
        <v>11702055-6</v>
      </c>
      <c r="N294" s="6" t="str">
        <f t="shared" si="3"/>
        <v>Providencia - Santiago - Región Metropolitana</v>
      </c>
      <c r="O294" s="4"/>
    </row>
    <row r="295">
      <c r="A295" s="1" t="s">
        <v>2455</v>
      </c>
      <c r="B295" s="1" t="s">
        <v>2457</v>
      </c>
      <c r="C295" s="1" t="s">
        <v>2459</v>
      </c>
      <c r="D295" s="1" t="s">
        <v>2460</v>
      </c>
      <c r="E295" s="1" t="s">
        <v>118</v>
      </c>
      <c r="F295" s="1" t="s">
        <v>62</v>
      </c>
      <c r="G295" s="1" t="s">
        <v>63</v>
      </c>
      <c r="H295" s="2">
        <v>1.05E7</v>
      </c>
      <c r="I295" s="1">
        <v>30.0</v>
      </c>
      <c r="J295" s="1" t="s">
        <v>97</v>
      </c>
      <c r="K295" s="5">
        <v>46108.0</v>
      </c>
      <c r="L295" s="4" t="str">
        <f t="shared" si="1"/>
        <v>Cristián Silva Araya</v>
      </c>
      <c r="M295" s="6" t="str">
        <f t="shared" si="2"/>
        <v>20.890.986-K</v>
      </c>
      <c r="N295" s="6" t="str">
        <f t="shared" si="3"/>
        <v>Maipú - Santiago - Región Metropolitana</v>
      </c>
      <c r="O295" s="4"/>
    </row>
    <row r="296">
      <c r="A296" s="1" t="s">
        <v>2461</v>
      </c>
      <c r="B296" s="1" t="s">
        <v>2462</v>
      </c>
      <c r="C296" s="1" t="s">
        <v>2463</v>
      </c>
      <c r="D296" s="1" t="s">
        <v>2464</v>
      </c>
      <c r="E296" s="1" t="s">
        <v>118</v>
      </c>
      <c r="F296" s="1" t="s">
        <v>62</v>
      </c>
      <c r="G296" s="1" t="s">
        <v>63</v>
      </c>
      <c r="H296" s="2">
        <v>9560000.0</v>
      </c>
      <c r="I296" s="1">
        <v>45.0</v>
      </c>
      <c r="J296" s="1" t="s">
        <v>97</v>
      </c>
      <c r="K296" s="5">
        <v>46182.0</v>
      </c>
      <c r="L296" s="4" t="str">
        <f t="shared" si="1"/>
        <v>Constanza Contreras González</v>
      </c>
      <c r="M296" s="6" t="str">
        <f t="shared" si="2"/>
        <v>18658986-5</v>
      </c>
      <c r="N296" s="6" t="str">
        <f t="shared" si="3"/>
        <v>Maipú - Santiago - Región Metropolitana</v>
      </c>
      <c r="O296" s="4"/>
    </row>
    <row r="297">
      <c r="A297" s="1" t="s">
        <v>2469</v>
      </c>
      <c r="B297" s="1" t="s">
        <v>2470</v>
      </c>
      <c r="C297" s="1" t="s">
        <v>2471</v>
      </c>
      <c r="D297" s="1" t="s">
        <v>2472</v>
      </c>
      <c r="E297" s="1" t="s">
        <v>39</v>
      </c>
      <c r="F297" s="1" t="s">
        <v>39</v>
      </c>
      <c r="G297" s="1" t="s">
        <v>40</v>
      </c>
      <c r="H297" s="2">
        <v>1.908E7</v>
      </c>
      <c r="I297" s="1">
        <v>90.0</v>
      </c>
      <c r="J297" s="1" t="s">
        <v>20</v>
      </c>
      <c r="K297" s="5">
        <v>46034.0</v>
      </c>
      <c r="L297" s="4" t="str">
        <f t="shared" si="1"/>
        <v>Claudio Espinoza Vergara</v>
      </c>
      <c r="M297" s="6" t="str">
        <f t="shared" si="2"/>
        <v>14744482-7</v>
      </c>
      <c r="N297" s="6" t="str">
        <f t="shared" si="3"/>
        <v>Concepción - Concepción - Región del Biobío</v>
      </c>
      <c r="O297" s="4"/>
    </row>
    <row r="298">
      <c r="A298" s="1" t="s">
        <v>1459</v>
      </c>
      <c r="B298" s="1" t="s">
        <v>1461</v>
      </c>
      <c r="C298" s="1" t="s">
        <v>1463</v>
      </c>
      <c r="D298" s="1" t="s">
        <v>1465</v>
      </c>
      <c r="E298" s="1" t="s">
        <v>158</v>
      </c>
      <c r="F298" s="1" t="s">
        <v>158</v>
      </c>
      <c r="G298" s="1" t="s">
        <v>159</v>
      </c>
      <c r="H298" s="2">
        <v>4090000.0</v>
      </c>
      <c r="I298" s="1">
        <v>15.0</v>
      </c>
      <c r="J298" s="1" t="s">
        <v>73</v>
      </c>
      <c r="K298" s="5">
        <v>46208.0</v>
      </c>
      <c r="L298" s="4" t="str">
        <f t="shared" si="1"/>
        <v>Camila Fuentes González</v>
      </c>
      <c r="M298" s="6" t="str">
        <f t="shared" si="2"/>
        <v>13.567.526-1</v>
      </c>
      <c r="N298" s="6" t="str">
        <f t="shared" si="3"/>
        <v>Antofagasta - Antofagasta - Región de Antofagasta</v>
      </c>
      <c r="O298" s="4"/>
    </row>
    <row r="299">
      <c r="A299" s="1" t="s">
        <v>2477</v>
      </c>
      <c r="B299" s="1" t="s">
        <v>2478</v>
      </c>
      <c r="C299" s="1" t="s">
        <v>2479</v>
      </c>
      <c r="D299" s="1" t="s">
        <v>2480</v>
      </c>
      <c r="E299" s="1" t="s">
        <v>72</v>
      </c>
      <c r="F299" s="1" t="s">
        <v>62</v>
      </c>
      <c r="G299" s="1" t="s">
        <v>63</v>
      </c>
      <c r="H299" s="2">
        <v>1.462E7</v>
      </c>
      <c r="I299" s="1">
        <v>0.0</v>
      </c>
      <c r="J299" s="1" t="s">
        <v>47</v>
      </c>
      <c r="K299" s="5">
        <v>46190.0</v>
      </c>
      <c r="L299" s="4" t="str">
        <f t="shared" si="1"/>
        <v>Sebastián Contreras Tapia</v>
      </c>
      <c r="M299" s="6" t="str">
        <f t="shared" si="2"/>
        <v>14046123-2</v>
      </c>
      <c r="N299" s="6" t="str">
        <f t="shared" si="3"/>
        <v>Providencia - Santiago - Región Metropolitana</v>
      </c>
      <c r="O299" s="4"/>
    </row>
    <row r="300">
      <c r="A300" s="1" t="s">
        <v>2207</v>
      </c>
      <c r="B300" s="1" t="s">
        <v>2208</v>
      </c>
      <c r="C300" s="1" t="s">
        <v>2485</v>
      </c>
      <c r="D300" s="1" t="s">
        <v>2210</v>
      </c>
      <c r="E300" s="1" t="s">
        <v>18</v>
      </c>
      <c r="F300" s="1" t="s">
        <v>18</v>
      </c>
      <c r="G300" s="1" t="s">
        <v>19</v>
      </c>
      <c r="H300" s="2">
        <v>1.983E7</v>
      </c>
      <c r="I300" s="1">
        <v>45.0</v>
      </c>
      <c r="J300" s="1" t="s">
        <v>97</v>
      </c>
      <c r="K300" s="5">
        <v>46159.0</v>
      </c>
      <c r="L300" s="4" t="str">
        <f t="shared" si="1"/>
        <v>Catalina Morales Sepúlveda</v>
      </c>
      <c r="M300" s="6" t="str">
        <f t="shared" si="2"/>
        <v>11337710-K</v>
      </c>
      <c r="N300" s="6" t="str">
        <f t="shared" si="3"/>
        <v>La Serena - La Serena - Región de Coquimbo</v>
      </c>
      <c r="O300" s="4"/>
    </row>
    <row r="301">
      <c r="A301" s="1" t="s">
        <v>2489</v>
      </c>
      <c r="B301" s="1" t="s">
        <v>2491</v>
      </c>
      <c r="C301" s="1" t="s">
        <v>2492</v>
      </c>
      <c r="D301" s="1" t="s">
        <v>2493</v>
      </c>
      <c r="E301" s="1" t="s">
        <v>61</v>
      </c>
      <c r="F301" s="1" t="s">
        <v>62</v>
      </c>
      <c r="G301" s="1" t="s">
        <v>63</v>
      </c>
      <c r="H301" s="2">
        <v>1.028E7</v>
      </c>
      <c r="I301" s="1">
        <v>30.0</v>
      </c>
      <c r="J301" s="1" t="s">
        <v>73</v>
      </c>
      <c r="K301" s="5">
        <v>46068.0</v>
      </c>
      <c r="L301" s="4" t="str">
        <f t="shared" si="1"/>
        <v>Sebastián Soto Rojas</v>
      </c>
      <c r="M301" s="6" t="str">
        <f t="shared" si="2"/>
        <v>11.750.826-1</v>
      </c>
      <c r="N301" s="6" t="str">
        <f t="shared" si="3"/>
        <v>Santiago Centro - Santiago - Región Metropolitana</v>
      </c>
      <c r="O301" s="4"/>
    </row>
    <row r="302">
      <c r="A302" s="1" t="s">
        <v>2494</v>
      </c>
      <c r="B302" s="1" t="s">
        <v>2495</v>
      </c>
      <c r="C302" s="1" t="s">
        <v>2496</v>
      </c>
      <c r="D302" s="1" t="s">
        <v>2497</v>
      </c>
      <c r="E302" s="1" t="s">
        <v>109</v>
      </c>
      <c r="F302" s="1" t="s">
        <v>62</v>
      </c>
      <c r="G302" s="1" t="s">
        <v>63</v>
      </c>
      <c r="H302" s="2">
        <v>1.744E7</v>
      </c>
      <c r="I302" s="1">
        <v>15.0</v>
      </c>
      <c r="J302" s="1" t="s">
        <v>73</v>
      </c>
      <c r="K302" s="5">
        <v>46059.0</v>
      </c>
      <c r="L302" s="4" t="str">
        <f t="shared" si="1"/>
        <v>Javiera Soto Soto</v>
      </c>
      <c r="M302" s="6" t="str">
        <f t="shared" si="2"/>
        <v>13.137.745-7</v>
      </c>
      <c r="N302" s="6" t="str">
        <f t="shared" si="3"/>
        <v>Ñuñoa - Santiago - Región Metropolitana</v>
      </c>
      <c r="O302" s="4"/>
    </row>
    <row r="303">
      <c r="A303" s="1" t="s">
        <v>2498</v>
      </c>
      <c r="B303" s="1" t="s">
        <v>2499</v>
      </c>
      <c r="C303" s="1" t="s">
        <v>2500</v>
      </c>
      <c r="D303" s="1" t="s">
        <v>2501</v>
      </c>
      <c r="E303" s="1" t="s">
        <v>25</v>
      </c>
      <c r="F303" s="1" t="s">
        <v>26</v>
      </c>
      <c r="G303" s="1" t="s">
        <v>27</v>
      </c>
      <c r="H303" s="2">
        <v>9750000.0</v>
      </c>
      <c r="I303" s="1">
        <v>0.0</v>
      </c>
      <c r="J303" s="1" t="s">
        <v>47</v>
      </c>
      <c r="K303" s="5">
        <v>46028.0</v>
      </c>
      <c r="L303" s="4" t="str">
        <f t="shared" si="1"/>
        <v>Gonzalo Valenzuela Rodríguez</v>
      </c>
      <c r="M303" s="6" t="str">
        <f t="shared" si="2"/>
        <v>13.496.683-7</v>
      </c>
      <c r="N303" s="6" t="str">
        <f t="shared" si="3"/>
        <v>Viña del Mar - Valparaíso - Región de Valparaíso</v>
      </c>
      <c r="O303" s="4"/>
    </row>
    <row r="304">
      <c r="A304" s="1" t="s">
        <v>2163</v>
      </c>
      <c r="B304" s="1" t="s">
        <v>2165</v>
      </c>
      <c r="C304" s="1" t="s">
        <v>2167</v>
      </c>
      <c r="D304" s="1" t="s">
        <v>2170</v>
      </c>
      <c r="E304" s="1" t="s">
        <v>56</v>
      </c>
      <c r="F304" s="1" t="s">
        <v>39</v>
      </c>
      <c r="G304" s="1" t="s">
        <v>40</v>
      </c>
      <c r="H304" s="2">
        <v>4930000.0</v>
      </c>
      <c r="I304" s="1">
        <v>60.0</v>
      </c>
      <c r="J304" s="1" t="s">
        <v>20</v>
      </c>
      <c r="K304" s="5">
        <v>46127.0</v>
      </c>
      <c r="L304" s="4" t="str">
        <f t="shared" si="1"/>
        <v>Catalina González Contreras</v>
      </c>
      <c r="M304" s="6" t="str">
        <f t="shared" si="2"/>
        <v>15154631-6</v>
      </c>
      <c r="N304" s="6" t="str">
        <f t="shared" si="3"/>
        <v>Talcahuano - Concepción - Región del Biobío</v>
      </c>
      <c r="O304" s="4"/>
    </row>
    <row r="305">
      <c r="A305" s="1" t="s">
        <v>2506</v>
      </c>
      <c r="B305" s="1" t="s">
        <v>2507</v>
      </c>
      <c r="C305" s="1" t="s">
        <v>2508</v>
      </c>
      <c r="D305" s="1" t="s">
        <v>2105</v>
      </c>
      <c r="E305" s="1" t="s">
        <v>56</v>
      </c>
      <c r="F305" s="1" t="s">
        <v>39</v>
      </c>
      <c r="G305" s="1" t="s">
        <v>40</v>
      </c>
      <c r="H305" s="2">
        <v>1.694E7</v>
      </c>
      <c r="I305" s="1">
        <v>120.0</v>
      </c>
      <c r="J305" s="1" t="s">
        <v>28</v>
      </c>
      <c r="K305" s="5">
        <v>46123.0</v>
      </c>
      <c r="L305" s="4" t="str">
        <f t="shared" si="1"/>
        <v>Felipe González Rojas</v>
      </c>
      <c r="M305" s="6" t="str">
        <f t="shared" si="2"/>
        <v>22.429.727-0</v>
      </c>
      <c r="N305" s="6" t="str">
        <f t="shared" si="3"/>
        <v>Talcahuano - Concepción - Región del Biobío</v>
      </c>
      <c r="O305" s="4"/>
    </row>
    <row r="306">
      <c r="A306" s="1" t="s">
        <v>2509</v>
      </c>
      <c r="B306" s="1" t="s">
        <v>2510</v>
      </c>
      <c r="C306" s="1" t="s">
        <v>2511</v>
      </c>
      <c r="D306" s="1" t="s">
        <v>2512</v>
      </c>
      <c r="E306" s="1" t="s">
        <v>61</v>
      </c>
      <c r="F306" s="1" t="s">
        <v>62</v>
      </c>
      <c r="G306" s="1" t="s">
        <v>63</v>
      </c>
      <c r="H306" s="2">
        <v>1.428E7</v>
      </c>
      <c r="I306" s="1">
        <v>120.0</v>
      </c>
      <c r="J306" s="1" t="s">
        <v>20</v>
      </c>
      <c r="K306" s="5">
        <v>46154.0</v>
      </c>
      <c r="L306" s="4" t="str">
        <f t="shared" si="1"/>
        <v>Constanza Sepúlveda Fuentes</v>
      </c>
      <c r="M306" s="6" t="str">
        <f t="shared" si="2"/>
        <v>19.561.465-8</v>
      </c>
      <c r="N306" s="6" t="str">
        <f t="shared" si="3"/>
        <v>Santiago Centro - Santiago - Región Metropolitana</v>
      </c>
      <c r="O306" s="4"/>
    </row>
    <row r="307">
      <c r="A307" s="1" t="s">
        <v>2517</v>
      </c>
      <c r="B307" s="1" t="s">
        <v>2518</v>
      </c>
      <c r="C307" s="1" t="s">
        <v>2519</v>
      </c>
      <c r="D307" s="1" t="s">
        <v>2520</v>
      </c>
      <c r="E307" s="1" t="s">
        <v>61</v>
      </c>
      <c r="F307" s="1" t="s">
        <v>62</v>
      </c>
      <c r="G307" s="1" t="s">
        <v>63</v>
      </c>
      <c r="H307" s="2">
        <v>7240000.0</v>
      </c>
      <c r="I307" s="1">
        <v>45.0</v>
      </c>
      <c r="J307" s="1" t="s">
        <v>73</v>
      </c>
      <c r="K307" s="5">
        <v>46038.0</v>
      </c>
      <c r="L307" s="4" t="str">
        <f t="shared" si="1"/>
        <v>Gonzalo Rojas Soto</v>
      </c>
      <c r="M307" s="6" t="str">
        <f t="shared" si="2"/>
        <v>11.565.633-2</v>
      </c>
      <c r="N307" s="6" t="str">
        <f t="shared" si="3"/>
        <v>Santiago Centro - Santiago - Región Metropolitana</v>
      </c>
      <c r="O307" s="4"/>
    </row>
    <row r="308">
      <c r="A308" s="1" t="s">
        <v>1520</v>
      </c>
      <c r="B308" s="1" t="s">
        <v>1521</v>
      </c>
      <c r="C308" s="1" t="s">
        <v>1524</v>
      </c>
      <c r="D308" s="1" t="s">
        <v>1527</v>
      </c>
      <c r="E308" s="1" t="s">
        <v>56</v>
      </c>
      <c r="F308" s="1" t="s">
        <v>39</v>
      </c>
      <c r="G308" s="1" t="s">
        <v>40</v>
      </c>
      <c r="H308" s="2">
        <v>2.149E7</v>
      </c>
      <c r="I308" s="1">
        <v>45.0</v>
      </c>
      <c r="J308" s="1" t="s">
        <v>97</v>
      </c>
      <c r="K308" s="5">
        <v>46136.0</v>
      </c>
      <c r="L308" s="4" t="str">
        <f t="shared" si="1"/>
        <v>Camila Rojas González</v>
      </c>
      <c r="M308" s="6" t="str">
        <f t="shared" si="2"/>
        <v>14.570.317-2</v>
      </c>
      <c r="N308" s="6" t="str">
        <f t="shared" si="3"/>
        <v>Talcahuano - Concepción - Región del Biobío</v>
      </c>
      <c r="O308" s="4"/>
    </row>
    <row r="309">
      <c r="A309" s="1" t="s">
        <v>2525</v>
      </c>
      <c r="B309" s="1" t="s">
        <v>2526</v>
      </c>
      <c r="C309" s="1" t="s">
        <v>2527</v>
      </c>
      <c r="D309" s="1" t="s">
        <v>2528</v>
      </c>
      <c r="E309" s="1" t="s">
        <v>194</v>
      </c>
      <c r="F309" s="1" t="s">
        <v>62</v>
      </c>
      <c r="G309" s="1" t="s">
        <v>63</v>
      </c>
      <c r="H309" s="2">
        <v>2870000.0</v>
      </c>
      <c r="I309" s="1">
        <v>45.0</v>
      </c>
      <c r="J309" s="1" t="s">
        <v>28</v>
      </c>
      <c r="K309" s="5">
        <v>46204.0</v>
      </c>
      <c r="L309" s="4" t="str">
        <f t="shared" si="1"/>
        <v>Hernán Pérez López</v>
      </c>
      <c r="M309" s="6" t="str">
        <f t="shared" si="2"/>
        <v>20.807.597-0</v>
      </c>
      <c r="N309" s="6" t="str">
        <f t="shared" si="3"/>
        <v>Las Condes - Santiago - Región Metropolitana</v>
      </c>
      <c r="O309" s="4"/>
    </row>
    <row r="310">
      <c r="A310" s="1" t="s">
        <v>2533</v>
      </c>
      <c r="B310" s="1" t="s">
        <v>2534</v>
      </c>
      <c r="C310" s="1" t="s">
        <v>2535</v>
      </c>
      <c r="D310" s="1" t="s">
        <v>2002</v>
      </c>
      <c r="E310" s="1" t="s">
        <v>158</v>
      </c>
      <c r="F310" s="1" t="s">
        <v>158</v>
      </c>
      <c r="G310" s="1" t="s">
        <v>159</v>
      </c>
      <c r="H310" s="2">
        <v>6550000.0</v>
      </c>
      <c r="I310" s="1">
        <v>45.0</v>
      </c>
      <c r="J310" s="1" t="s">
        <v>20</v>
      </c>
      <c r="K310" s="5">
        <v>46079.0</v>
      </c>
      <c r="L310" s="4" t="str">
        <f t="shared" si="1"/>
        <v>Valentina González Contreras</v>
      </c>
      <c r="M310" s="6" t="str">
        <f t="shared" si="2"/>
        <v>20818268-6</v>
      </c>
      <c r="N310" s="6" t="str">
        <f t="shared" si="3"/>
        <v>Antofagasta - Antofagasta - Región de Antofagasta</v>
      </c>
      <c r="O310" s="4"/>
    </row>
    <row r="311">
      <c r="A311" s="1" t="s">
        <v>2540</v>
      </c>
      <c r="B311" s="1" t="s">
        <v>2541</v>
      </c>
      <c r="C311" s="1" t="s">
        <v>2542</v>
      </c>
      <c r="D311" s="1" t="s">
        <v>2543</v>
      </c>
      <c r="E311" s="1" t="s">
        <v>61</v>
      </c>
      <c r="F311" s="1" t="s">
        <v>62</v>
      </c>
      <c r="G311" s="1" t="s">
        <v>63</v>
      </c>
      <c r="H311" s="2">
        <v>9310000.0</v>
      </c>
      <c r="I311" s="1">
        <v>45.0</v>
      </c>
      <c r="J311" s="1" t="s">
        <v>47</v>
      </c>
      <c r="K311" s="5">
        <v>46196.0</v>
      </c>
      <c r="L311" s="4" t="str">
        <f t="shared" si="1"/>
        <v>Ignacio Contreras Pérez</v>
      </c>
      <c r="M311" s="6" t="str">
        <f t="shared" si="2"/>
        <v>11.920.183-K</v>
      </c>
      <c r="N311" s="6" t="str">
        <f t="shared" si="3"/>
        <v>Santiago Centro - Santiago - Región Metropolitana</v>
      </c>
      <c r="O311" s="4"/>
    </row>
    <row r="312">
      <c r="A312" s="1" t="s">
        <v>2544</v>
      </c>
      <c r="B312" s="1" t="s">
        <v>2545</v>
      </c>
      <c r="C312" s="1" t="s">
        <v>2546</v>
      </c>
      <c r="D312" s="1" t="s">
        <v>122</v>
      </c>
      <c r="E312" s="1" t="s">
        <v>26</v>
      </c>
      <c r="F312" s="1" t="s">
        <v>26</v>
      </c>
      <c r="G312" s="1" t="s">
        <v>27</v>
      </c>
      <c r="H312" s="2">
        <v>1.759E7</v>
      </c>
      <c r="I312" s="1">
        <v>0.0</v>
      </c>
      <c r="J312" s="1" t="s">
        <v>28</v>
      </c>
      <c r="K312" s="5">
        <v>46083.0</v>
      </c>
      <c r="L312" s="4" t="str">
        <f t="shared" si="1"/>
        <v>Sofia Espinoza Fuentes</v>
      </c>
      <c r="M312" s="6" t="str">
        <f t="shared" si="2"/>
        <v>22174016-3</v>
      </c>
      <c r="N312" s="6" t="str">
        <f t="shared" si="3"/>
        <v>Valparaíso - Valparaíso - Región de Valparaíso</v>
      </c>
      <c r="O312" s="4"/>
    </row>
    <row r="313">
      <c r="A313" s="1" t="s">
        <v>2547</v>
      </c>
      <c r="B313" s="1" t="s">
        <v>2548</v>
      </c>
      <c r="C313" s="1" t="s">
        <v>2549</v>
      </c>
      <c r="D313" s="1" t="s">
        <v>2550</v>
      </c>
      <c r="E313" s="1" t="s">
        <v>45</v>
      </c>
      <c r="F313" s="1" t="s">
        <v>45</v>
      </c>
      <c r="G313" s="1" t="s">
        <v>46</v>
      </c>
      <c r="H313" s="2">
        <v>1.934E7</v>
      </c>
      <c r="I313" s="1">
        <v>0.0</v>
      </c>
      <c r="J313" s="1" t="s">
        <v>47</v>
      </c>
      <c r="K313" s="5">
        <v>46042.0</v>
      </c>
      <c r="L313" s="4" t="str">
        <f t="shared" si="1"/>
        <v>Sebastián Araya Pérez</v>
      </c>
      <c r="M313" s="6" t="str">
        <f t="shared" si="2"/>
        <v>20.502.004-6</v>
      </c>
      <c r="N313" s="6" t="str">
        <f t="shared" si="3"/>
        <v>Temuco - Temuco - Región de la Araucanía</v>
      </c>
      <c r="O313" s="4"/>
    </row>
    <row r="314">
      <c r="A314" s="1" t="s">
        <v>2555</v>
      </c>
      <c r="B314" s="1" t="s">
        <v>2556</v>
      </c>
      <c r="C314" s="1" t="s">
        <v>2557</v>
      </c>
      <c r="D314" s="1" t="s">
        <v>2558</v>
      </c>
      <c r="E314" s="1" t="s">
        <v>26</v>
      </c>
      <c r="F314" s="1" t="s">
        <v>26</v>
      </c>
      <c r="G314" s="1" t="s">
        <v>27</v>
      </c>
      <c r="H314" s="2">
        <v>5440000.0</v>
      </c>
      <c r="I314" s="1">
        <v>120.0</v>
      </c>
      <c r="J314" s="1" t="s">
        <v>20</v>
      </c>
      <c r="K314" s="5">
        <v>46189.0</v>
      </c>
      <c r="L314" s="4" t="str">
        <f t="shared" si="1"/>
        <v>Loreto Pérez Pérez</v>
      </c>
      <c r="M314" s="6" t="str">
        <f t="shared" si="2"/>
        <v>14.750.266-K</v>
      </c>
      <c r="N314" s="6" t="str">
        <f t="shared" si="3"/>
        <v>Valparaíso - Valparaíso - Región de Valparaíso</v>
      </c>
      <c r="O314" s="4"/>
    </row>
    <row r="315">
      <c r="A315" s="1" t="s">
        <v>2566</v>
      </c>
      <c r="B315" s="1" t="s">
        <v>2568</v>
      </c>
      <c r="C315" s="1" t="s">
        <v>2570</v>
      </c>
      <c r="D315" s="1" t="s">
        <v>1382</v>
      </c>
      <c r="E315" s="1" t="s">
        <v>72</v>
      </c>
      <c r="F315" s="1" t="s">
        <v>62</v>
      </c>
      <c r="G315" s="1" t="s">
        <v>63</v>
      </c>
      <c r="H315" s="2">
        <v>1.217E7</v>
      </c>
      <c r="I315" s="1">
        <v>0.0</v>
      </c>
      <c r="J315" s="1" t="s">
        <v>47</v>
      </c>
      <c r="K315" s="5">
        <v>46118.0</v>
      </c>
      <c r="L315" s="4" t="str">
        <f t="shared" si="1"/>
        <v>Matías Fuentes Espinoza</v>
      </c>
      <c r="M315" s="6" t="str">
        <f t="shared" si="2"/>
        <v>14.754.313-4</v>
      </c>
      <c r="N315" s="6" t="str">
        <f t="shared" si="3"/>
        <v>Providencia - Santiago - Región Metropolitana</v>
      </c>
      <c r="O315" s="4"/>
    </row>
    <row r="316">
      <c r="A316" s="1" t="s">
        <v>2578</v>
      </c>
      <c r="B316" s="1" t="s">
        <v>2579</v>
      </c>
      <c r="C316" s="1" t="s">
        <v>2580</v>
      </c>
      <c r="D316" s="1" t="s">
        <v>2582</v>
      </c>
      <c r="E316" s="1" t="s">
        <v>61</v>
      </c>
      <c r="F316" s="1" t="s">
        <v>62</v>
      </c>
      <c r="G316" s="1" t="s">
        <v>63</v>
      </c>
      <c r="H316" s="2">
        <v>1.768E7</v>
      </c>
      <c r="I316" s="1">
        <v>0.0</v>
      </c>
      <c r="J316" s="1" t="s">
        <v>20</v>
      </c>
      <c r="K316" s="5">
        <v>46188.0</v>
      </c>
      <c r="L316" s="4" t="str">
        <f t="shared" si="1"/>
        <v>Macarena Muñoz Araya</v>
      </c>
      <c r="M316" s="6" t="str">
        <f t="shared" si="2"/>
        <v>16.228.639-5</v>
      </c>
      <c r="N316" s="6" t="str">
        <f t="shared" si="3"/>
        <v>Santiago Centro - Santiago - Región Metropolitana</v>
      </c>
      <c r="O316" s="4"/>
    </row>
    <row r="317">
      <c r="A317" s="1" t="s">
        <v>2590</v>
      </c>
      <c r="B317" s="1" t="s">
        <v>2591</v>
      </c>
      <c r="C317" s="1" t="s">
        <v>2592</v>
      </c>
      <c r="D317" s="1" t="s">
        <v>2593</v>
      </c>
      <c r="E317" s="1" t="s">
        <v>45</v>
      </c>
      <c r="F317" s="1" t="s">
        <v>45</v>
      </c>
      <c r="G317" s="1" t="s">
        <v>46</v>
      </c>
      <c r="H317" s="2">
        <v>5690000.0</v>
      </c>
      <c r="I317" s="1">
        <v>90.0</v>
      </c>
      <c r="J317" s="1" t="s">
        <v>47</v>
      </c>
      <c r="K317" s="5">
        <v>46040.0</v>
      </c>
      <c r="L317" s="4" t="str">
        <f t="shared" si="1"/>
        <v>Javier Araya Pérez</v>
      </c>
      <c r="M317" s="6" t="str">
        <f t="shared" si="2"/>
        <v>21.781.456-4</v>
      </c>
      <c r="N317" s="6" t="str">
        <f t="shared" si="3"/>
        <v>Temuco - Temuco - Región de la Araucanía</v>
      </c>
      <c r="O317" s="4"/>
    </row>
    <row r="318">
      <c r="A318" s="1" t="s">
        <v>2600</v>
      </c>
      <c r="B318" s="1" t="s">
        <v>2602</v>
      </c>
      <c r="C318" s="1" t="s">
        <v>2604</v>
      </c>
      <c r="D318" s="1" t="s">
        <v>2606</v>
      </c>
      <c r="E318" s="1" t="s">
        <v>45</v>
      </c>
      <c r="F318" s="1" t="s">
        <v>45</v>
      </c>
      <c r="G318" s="1" t="s">
        <v>46</v>
      </c>
      <c r="H318" s="2">
        <v>2.015E7</v>
      </c>
      <c r="I318" s="1">
        <v>30.0</v>
      </c>
      <c r="J318" s="1" t="s">
        <v>20</v>
      </c>
      <c r="K318" s="5">
        <v>46065.0</v>
      </c>
      <c r="L318" s="4" t="str">
        <f t="shared" si="1"/>
        <v>Sofia Soto Pérez</v>
      </c>
      <c r="M318" s="6" t="str">
        <f t="shared" si="2"/>
        <v>21.140.047-5</v>
      </c>
      <c r="N318" s="6" t="str">
        <f t="shared" si="3"/>
        <v>Temuco - Temuco - Región de la Araucanía</v>
      </c>
      <c r="O318" s="4"/>
    </row>
    <row r="319">
      <c r="A319" s="1" t="s">
        <v>2609</v>
      </c>
      <c r="B319" s="1" t="s">
        <v>2610</v>
      </c>
      <c r="C319" s="1" t="s">
        <v>2611</v>
      </c>
      <c r="D319" s="1" t="s">
        <v>2613</v>
      </c>
      <c r="E319" s="1" t="s">
        <v>26</v>
      </c>
      <c r="F319" s="1" t="s">
        <v>26</v>
      </c>
      <c r="G319" s="1" t="s">
        <v>27</v>
      </c>
      <c r="H319" s="2">
        <v>1.353E7</v>
      </c>
      <c r="I319" s="1">
        <v>0.0</v>
      </c>
      <c r="J319" s="1" t="s">
        <v>20</v>
      </c>
      <c r="K319" s="5">
        <v>46195.0</v>
      </c>
      <c r="L319" s="4" t="str">
        <f t="shared" si="1"/>
        <v>Matías Morales González</v>
      </c>
      <c r="M319" s="6" t="str">
        <f t="shared" si="2"/>
        <v>17.186.427-9</v>
      </c>
      <c r="N319" s="6" t="str">
        <f t="shared" si="3"/>
        <v>Valparaíso - Valparaíso - Región de Valparaíso</v>
      </c>
      <c r="O319" s="4"/>
    </row>
    <row r="320">
      <c r="A320" s="1" t="s">
        <v>2619</v>
      </c>
      <c r="B320" s="1" t="s">
        <v>2620</v>
      </c>
      <c r="C320" s="1" t="s">
        <v>2621</v>
      </c>
      <c r="D320" s="1" t="s">
        <v>2623</v>
      </c>
      <c r="E320" s="1" t="s">
        <v>45</v>
      </c>
      <c r="F320" s="1" t="s">
        <v>45</v>
      </c>
      <c r="G320" s="1" t="s">
        <v>46</v>
      </c>
      <c r="H320" s="2">
        <v>2.032E7</v>
      </c>
      <c r="I320" s="1">
        <v>90.0</v>
      </c>
      <c r="J320" s="1" t="s">
        <v>97</v>
      </c>
      <c r="K320" s="5">
        <v>46085.0</v>
      </c>
      <c r="L320" s="4" t="str">
        <f t="shared" si="1"/>
        <v>Valentina Pérez Silva</v>
      </c>
      <c r="M320" s="6" t="str">
        <f t="shared" si="2"/>
        <v>19.011.762-1</v>
      </c>
      <c r="N320" s="6" t="str">
        <f t="shared" si="3"/>
        <v>Temuco - Temuco - Región de la Araucanía</v>
      </c>
      <c r="O320" s="4"/>
    </row>
    <row r="321">
      <c r="A321" s="1" t="s">
        <v>2627</v>
      </c>
      <c r="B321" s="1" t="s">
        <v>2628</v>
      </c>
      <c r="C321" s="1" t="s">
        <v>2629</v>
      </c>
      <c r="D321" s="1" t="s">
        <v>2630</v>
      </c>
      <c r="E321" s="1" t="s">
        <v>158</v>
      </c>
      <c r="F321" s="1" t="s">
        <v>158</v>
      </c>
      <c r="G321" s="1" t="s">
        <v>159</v>
      </c>
      <c r="H321" s="2">
        <v>1.047E7</v>
      </c>
      <c r="I321" s="1">
        <v>120.0</v>
      </c>
      <c r="J321" s="1" t="s">
        <v>28</v>
      </c>
      <c r="K321" s="5">
        <v>46134.0</v>
      </c>
      <c r="L321" s="4" t="str">
        <f t="shared" si="1"/>
        <v>Tomas Pérez Morales</v>
      </c>
      <c r="M321" s="6" t="str">
        <f t="shared" si="2"/>
        <v>13788476-9</v>
      </c>
      <c r="N321" s="6" t="str">
        <f t="shared" si="3"/>
        <v>Antofagasta - Antofagasta - Región de Antofagasta</v>
      </c>
      <c r="O321" s="4"/>
    </row>
    <row r="322">
      <c r="A322" s="1" t="s">
        <v>2634</v>
      </c>
      <c r="B322" s="1" t="s">
        <v>2635</v>
      </c>
      <c r="C322" s="1" t="s">
        <v>2637</v>
      </c>
      <c r="D322" s="1" t="s">
        <v>2639</v>
      </c>
      <c r="E322" s="1" t="s">
        <v>194</v>
      </c>
      <c r="F322" s="1" t="s">
        <v>62</v>
      </c>
      <c r="G322" s="1" t="s">
        <v>63</v>
      </c>
      <c r="H322" s="2">
        <v>3610000.0</v>
      </c>
      <c r="I322" s="1">
        <v>90.0</v>
      </c>
      <c r="J322" s="1" t="s">
        <v>73</v>
      </c>
      <c r="K322" s="5">
        <v>46165.0</v>
      </c>
      <c r="L322" s="4" t="str">
        <f t="shared" si="1"/>
        <v>Constanza López López</v>
      </c>
      <c r="M322" s="6" t="str">
        <f t="shared" si="2"/>
        <v>12.812.552-0</v>
      </c>
      <c r="N322" s="6" t="str">
        <f t="shared" si="3"/>
        <v>Las Condes - Santiago - Región Metropolitana</v>
      </c>
      <c r="O322" s="4"/>
    </row>
    <row r="323">
      <c r="A323" s="1" t="s">
        <v>2642</v>
      </c>
      <c r="B323" s="1" t="s">
        <v>2643</v>
      </c>
      <c r="C323" s="1" t="s">
        <v>2644</v>
      </c>
      <c r="D323" s="1" t="s">
        <v>2645</v>
      </c>
      <c r="E323" s="1" t="s">
        <v>194</v>
      </c>
      <c r="F323" s="1" t="s">
        <v>62</v>
      </c>
      <c r="G323" s="1" t="s">
        <v>63</v>
      </c>
      <c r="H323" s="2">
        <v>2.003E7</v>
      </c>
      <c r="I323" s="1">
        <v>0.0</v>
      </c>
      <c r="J323" s="1" t="s">
        <v>20</v>
      </c>
      <c r="K323" s="5">
        <v>46175.0</v>
      </c>
      <c r="L323" s="4" t="str">
        <f t="shared" si="1"/>
        <v>Tomas Tapia Vergara</v>
      </c>
      <c r="M323" s="6" t="str">
        <f t="shared" si="2"/>
        <v>16.723.002-0</v>
      </c>
      <c r="N323" s="6" t="str">
        <f t="shared" si="3"/>
        <v>Las Condes - Santiago - Región Metropolitana</v>
      </c>
      <c r="O323" s="4"/>
    </row>
    <row r="324">
      <c r="A324" s="1" t="s">
        <v>2646</v>
      </c>
      <c r="B324" s="1" t="s">
        <v>2647</v>
      </c>
      <c r="C324" s="1" t="s">
        <v>2648</v>
      </c>
      <c r="D324" s="1" t="s">
        <v>2649</v>
      </c>
      <c r="E324" s="1" t="s">
        <v>26</v>
      </c>
      <c r="F324" s="1" t="s">
        <v>26</v>
      </c>
      <c r="G324" s="1" t="s">
        <v>27</v>
      </c>
      <c r="H324" s="2">
        <v>1.58E7</v>
      </c>
      <c r="I324" s="1">
        <v>0.0</v>
      </c>
      <c r="J324" s="1" t="s">
        <v>20</v>
      </c>
      <c r="K324" s="5">
        <v>46039.0</v>
      </c>
      <c r="L324" s="4" t="str">
        <f t="shared" si="1"/>
        <v>Paula Tapia Espinoza</v>
      </c>
      <c r="M324" s="6" t="str">
        <f t="shared" si="2"/>
        <v>13.044.577-K</v>
      </c>
      <c r="N324" s="6" t="str">
        <f t="shared" si="3"/>
        <v>Valparaíso - Valparaíso - Región de Valparaíso</v>
      </c>
      <c r="O324" s="4"/>
    </row>
    <row r="325">
      <c r="A325" s="1" t="s">
        <v>2654</v>
      </c>
      <c r="B325" s="1" t="s">
        <v>2655</v>
      </c>
      <c r="C325" s="1" t="s">
        <v>2656</v>
      </c>
      <c r="D325" s="1" t="s">
        <v>2657</v>
      </c>
      <c r="E325" s="1" t="s">
        <v>45</v>
      </c>
      <c r="F325" s="1" t="s">
        <v>45</v>
      </c>
      <c r="G325" s="1" t="s">
        <v>46</v>
      </c>
      <c r="H325" s="2">
        <v>1460000.0</v>
      </c>
      <c r="I325" s="1">
        <v>45.0</v>
      </c>
      <c r="J325" s="1" t="s">
        <v>28</v>
      </c>
      <c r="K325" s="5">
        <v>46034.0</v>
      </c>
      <c r="L325" s="4" t="str">
        <f t="shared" si="1"/>
        <v>Diego Morales Araya</v>
      </c>
      <c r="M325" s="6" t="str">
        <f t="shared" si="2"/>
        <v>19940033-9</v>
      </c>
      <c r="N325" s="6" t="str">
        <f t="shared" si="3"/>
        <v>Temuco - Temuco - Región de la Araucanía</v>
      </c>
      <c r="O325" s="4"/>
    </row>
    <row r="326">
      <c r="A326" s="1" t="s">
        <v>2664</v>
      </c>
      <c r="B326" s="1" t="s">
        <v>2665</v>
      </c>
      <c r="C326" s="1" t="s">
        <v>2666</v>
      </c>
      <c r="D326" s="1" t="s">
        <v>2668</v>
      </c>
      <c r="E326" s="1" t="s">
        <v>39</v>
      </c>
      <c r="F326" s="1" t="s">
        <v>39</v>
      </c>
      <c r="G326" s="1" t="s">
        <v>40</v>
      </c>
      <c r="H326" s="2">
        <v>690000.0</v>
      </c>
      <c r="I326" s="1">
        <v>120.0</v>
      </c>
      <c r="J326" s="1" t="s">
        <v>20</v>
      </c>
      <c r="K326" s="5">
        <v>46085.0</v>
      </c>
      <c r="L326" s="4" t="str">
        <f t="shared" si="1"/>
        <v>Sofia Soto Valenzuela</v>
      </c>
      <c r="M326" s="6" t="str">
        <f t="shared" si="2"/>
        <v>18.612.743-1</v>
      </c>
      <c r="N326" s="6" t="str">
        <f t="shared" si="3"/>
        <v>Concepción - Concepción - Región del Biobío</v>
      </c>
      <c r="O326" s="4"/>
    </row>
    <row r="327">
      <c r="A327" s="1" t="s">
        <v>2673</v>
      </c>
      <c r="B327" s="1" t="s">
        <v>2674</v>
      </c>
      <c r="C327" s="1" t="s">
        <v>2676</v>
      </c>
      <c r="D327" s="1" t="s">
        <v>2679</v>
      </c>
      <c r="E327" s="1" t="s">
        <v>45</v>
      </c>
      <c r="F327" s="1" t="s">
        <v>45</v>
      </c>
      <c r="G327" s="1" t="s">
        <v>46</v>
      </c>
      <c r="H327" s="2">
        <v>9690000.0</v>
      </c>
      <c r="I327" s="1">
        <v>0.0</v>
      </c>
      <c r="J327" s="1" t="s">
        <v>28</v>
      </c>
      <c r="K327" s="5">
        <v>46229.0</v>
      </c>
      <c r="L327" s="4" t="str">
        <f t="shared" si="1"/>
        <v>Mauricio Rojas López</v>
      </c>
      <c r="M327" s="6" t="str">
        <f t="shared" si="2"/>
        <v>16724811-4</v>
      </c>
      <c r="N327" s="6" t="str">
        <f t="shared" si="3"/>
        <v>Temuco - Temuco - Región de la Araucanía</v>
      </c>
      <c r="O327" s="4"/>
    </row>
    <row r="328">
      <c r="A328" s="1" t="s">
        <v>2686</v>
      </c>
      <c r="B328" s="1" t="s">
        <v>2688</v>
      </c>
      <c r="C328" s="1" t="s">
        <v>2689</v>
      </c>
      <c r="D328" s="1" t="s">
        <v>2690</v>
      </c>
      <c r="E328" s="1" t="s">
        <v>118</v>
      </c>
      <c r="F328" s="1" t="s">
        <v>62</v>
      </c>
      <c r="G328" s="1" t="s">
        <v>63</v>
      </c>
      <c r="H328" s="2">
        <v>1.071E7</v>
      </c>
      <c r="I328" s="1">
        <v>45.0</v>
      </c>
      <c r="J328" s="1" t="s">
        <v>73</v>
      </c>
      <c r="K328" s="5">
        <v>46156.0</v>
      </c>
      <c r="L328" s="4" t="str">
        <f t="shared" si="1"/>
        <v>Sofia Silva Rojas</v>
      </c>
      <c r="M328" s="6" t="str">
        <f t="shared" si="2"/>
        <v>21.528.661-4</v>
      </c>
      <c r="N328" s="6" t="str">
        <f t="shared" si="3"/>
        <v>Maipú - Santiago - Región Metropolitana</v>
      </c>
      <c r="O328" s="4"/>
    </row>
    <row r="329">
      <c r="A329" s="1" t="s">
        <v>2698</v>
      </c>
      <c r="B329" s="1" t="s">
        <v>2699</v>
      </c>
      <c r="C329" s="1" t="s">
        <v>2700</v>
      </c>
      <c r="D329" s="1" t="s">
        <v>2701</v>
      </c>
      <c r="E329" s="1" t="s">
        <v>18</v>
      </c>
      <c r="F329" s="1" t="s">
        <v>18</v>
      </c>
      <c r="G329" s="1" t="s">
        <v>19</v>
      </c>
      <c r="H329" s="2">
        <v>3170000.0</v>
      </c>
      <c r="I329" s="1">
        <v>60.0</v>
      </c>
      <c r="J329" s="1" t="s">
        <v>97</v>
      </c>
      <c r="K329" s="5">
        <v>46121.0</v>
      </c>
      <c r="L329" s="4" t="str">
        <f t="shared" si="1"/>
        <v>Tomas Fuentes Valenzuela</v>
      </c>
      <c r="M329" s="6" t="str">
        <f t="shared" si="2"/>
        <v>11.589.484-7</v>
      </c>
      <c r="N329" s="6" t="str">
        <f t="shared" si="3"/>
        <v>La Serena - La Serena - Región de Coquimbo</v>
      </c>
      <c r="O329" s="4"/>
    </row>
    <row r="330">
      <c r="A330" s="1" t="s">
        <v>1923</v>
      </c>
      <c r="B330" s="1" t="s">
        <v>1924</v>
      </c>
      <c r="C330" s="1" t="s">
        <v>1925</v>
      </c>
      <c r="D330" s="1" t="s">
        <v>1926</v>
      </c>
      <c r="E330" s="1" t="s">
        <v>72</v>
      </c>
      <c r="F330" s="1" t="s">
        <v>62</v>
      </c>
      <c r="G330" s="1" t="s">
        <v>63</v>
      </c>
      <c r="H330" s="2">
        <v>7360000.0</v>
      </c>
      <c r="I330" s="1">
        <v>15.0</v>
      </c>
      <c r="J330" s="1" t="s">
        <v>28</v>
      </c>
      <c r="K330" s="5">
        <v>46146.0</v>
      </c>
      <c r="L330" s="4" t="str">
        <f t="shared" si="1"/>
        <v>Carolina Silva Fuentes</v>
      </c>
      <c r="M330" s="6" t="str">
        <f t="shared" si="2"/>
        <v>22.143.256-0</v>
      </c>
      <c r="N330" s="6" t="str">
        <f t="shared" si="3"/>
        <v>Providencia - Santiago - Región Metropolitana</v>
      </c>
      <c r="O330" s="4"/>
    </row>
    <row r="331">
      <c r="A331" s="1" t="s">
        <v>2713</v>
      </c>
      <c r="B331" s="1" t="s">
        <v>2715</v>
      </c>
      <c r="C331" s="1" t="s">
        <v>2718</v>
      </c>
      <c r="D331" s="1" t="s">
        <v>2721</v>
      </c>
      <c r="E331" s="1" t="s">
        <v>26</v>
      </c>
      <c r="F331" s="1" t="s">
        <v>26</v>
      </c>
      <c r="G331" s="1" t="s">
        <v>27</v>
      </c>
      <c r="H331" s="2">
        <v>2.049E7</v>
      </c>
      <c r="I331" s="1">
        <v>0.0</v>
      </c>
      <c r="J331" s="1" t="s">
        <v>73</v>
      </c>
      <c r="K331" s="5">
        <v>46108.0</v>
      </c>
      <c r="L331" s="4" t="str">
        <f t="shared" si="1"/>
        <v>Claudio Valenzuela Muñoz</v>
      </c>
      <c r="M331" s="6" t="str">
        <f t="shared" si="2"/>
        <v>14.777.630-2</v>
      </c>
      <c r="N331" s="6" t="str">
        <f t="shared" si="3"/>
        <v>Valparaíso - Valparaíso - Región de Valparaíso</v>
      </c>
      <c r="O331" s="4"/>
    </row>
    <row r="332">
      <c r="A332" s="1" t="s">
        <v>1103</v>
      </c>
      <c r="B332" s="1" t="s">
        <v>1104</v>
      </c>
      <c r="C332" s="1" t="s">
        <v>1105</v>
      </c>
      <c r="D332" s="1" t="s">
        <v>1106</v>
      </c>
      <c r="E332" s="1" t="s">
        <v>45</v>
      </c>
      <c r="F332" s="1" t="s">
        <v>45</v>
      </c>
      <c r="G332" s="1" t="s">
        <v>46</v>
      </c>
      <c r="H332" s="2">
        <v>2.127E7</v>
      </c>
      <c r="I332" s="1">
        <v>30.0</v>
      </c>
      <c r="J332" s="1" t="s">
        <v>73</v>
      </c>
      <c r="K332" s="5">
        <v>46143.0</v>
      </c>
      <c r="L332" s="4" t="str">
        <f t="shared" si="1"/>
        <v>Beatriz Fuentes Araya</v>
      </c>
      <c r="M332" s="6" t="str">
        <f t="shared" si="2"/>
        <v>15701172-8</v>
      </c>
      <c r="N332" s="6" t="str">
        <f t="shared" si="3"/>
        <v>Temuco - Temuco - Región de la Araucanía</v>
      </c>
      <c r="O332" s="4"/>
    </row>
    <row r="333">
      <c r="A333" s="1" t="s">
        <v>2675</v>
      </c>
      <c r="B333" s="1" t="s">
        <v>2678</v>
      </c>
      <c r="C333" s="1" t="s">
        <v>2731</v>
      </c>
      <c r="D333" s="1" t="s">
        <v>2681</v>
      </c>
      <c r="E333" s="1" t="s">
        <v>18</v>
      </c>
      <c r="F333" s="1" t="s">
        <v>18</v>
      </c>
      <c r="G333" s="1" t="s">
        <v>19</v>
      </c>
      <c r="H333" s="2">
        <v>5420000.0</v>
      </c>
      <c r="I333" s="1">
        <v>0.0</v>
      </c>
      <c r="J333" s="1" t="s">
        <v>28</v>
      </c>
      <c r="K333" s="5">
        <v>46130.0</v>
      </c>
      <c r="L333" s="4" t="str">
        <f t="shared" si="1"/>
        <v>Claudio Silva Silva</v>
      </c>
      <c r="M333" s="6" t="str">
        <f t="shared" si="2"/>
        <v>16.433.272-3</v>
      </c>
      <c r="N333" s="6" t="str">
        <f t="shared" si="3"/>
        <v>La Serena - La Serena - Región de Coquimbo</v>
      </c>
      <c r="O333" s="4"/>
    </row>
    <row r="334">
      <c r="A334" s="1" t="s">
        <v>2736</v>
      </c>
      <c r="B334" s="1" t="s">
        <v>2737</v>
      </c>
      <c r="C334" s="1" t="s">
        <v>2738</v>
      </c>
      <c r="D334" s="1" t="s">
        <v>2739</v>
      </c>
      <c r="E334" s="1" t="s">
        <v>118</v>
      </c>
      <c r="F334" s="1" t="s">
        <v>62</v>
      </c>
      <c r="G334" s="1" t="s">
        <v>63</v>
      </c>
      <c r="H334" s="2">
        <v>1.209E7</v>
      </c>
      <c r="I334" s="1">
        <v>60.0</v>
      </c>
      <c r="J334" s="1" t="s">
        <v>47</v>
      </c>
      <c r="K334" s="5">
        <v>46205.0</v>
      </c>
      <c r="L334" s="4" t="str">
        <f t="shared" si="1"/>
        <v>Macarena Fuentes Sepúlveda</v>
      </c>
      <c r="M334" s="6" t="str">
        <f t="shared" si="2"/>
        <v>14.781.887-6</v>
      </c>
      <c r="N334" s="6" t="str">
        <f t="shared" si="3"/>
        <v>Maipú - Santiago - Región Metropolitana</v>
      </c>
      <c r="O334" s="4"/>
    </row>
    <row r="335">
      <c r="A335" s="1" t="s">
        <v>2740</v>
      </c>
      <c r="B335" s="1" t="s">
        <v>2741</v>
      </c>
      <c r="C335" s="1" t="s">
        <v>2742</v>
      </c>
      <c r="D335" s="1" t="s">
        <v>2743</v>
      </c>
      <c r="E335" s="1" t="s">
        <v>25</v>
      </c>
      <c r="F335" s="1" t="s">
        <v>26</v>
      </c>
      <c r="G335" s="1" t="s">
        <v>27</v>
      </c>
      <c r="H335" s="2">
        <v>1.488E7</v>
      </c>
      <c r="I335" s="1">
        <v>0.0</v>
      </c>
      <c r="J335" s="1" t="s">
        <v>73</v>
      </c>
      <c r="K335" s="5">
        <v>46082.0</v>
      </c>
      <c r="L335" s="4" t="str">
        <f t="shared" si="1"/>
        <v>Sebastián Contreras Tapia</v>
      </c>
      <c r="M335" s="6" t="str">
        <f t="shared" si="2"/>
        <v>21.632.921-6</v>
      </c>
      <c r="N335" s="6" t="str">
        <f t="shared" si="3"/>
        <v>Viña del Mar - Valparaíso - Región de Valparaíso</v>
      </c>
      <c r="O335" s="4"/>
    </row>
    <row r="336">
      <c r="A336" s="1" t="s">
        <v>884</v>
      </c>
      <c r="B336" s="1" t="s">
        <v>885</v>
      </c>
      <c r="C336" s="1" t="s">
        <v>886</v>
      </c>
      <c r="D336" s="1" t="s">
        <v>845</v>
      </c>
      <c r="E336" s="1" t="s">
        <v>72</v>
      </c>
      <c r="F336" s="1" t="s">
        <v>62</v>
      </c>
      <c r="G336" s="1" t="s">
        <v>63</v>
      </c>
      <c r="H336" s="2">
        <v>1.565E7</v>
      </c>
      <c r="I336" s="1">
        <v>30.0</v>
      </c>
      <c r="J336" s="1" t="s">
        <v>47</v>
      </c>
      <c r="K336" s="5">
        <v>46056.0</v>
      </c>
      <c r="L336" s="4" t="str">
        <f t="shared" si="1"/>
        <v>Andrea Sepúlveda Valenzuela</v>
      </c>
      <c r="M336" s="6" t="str">
        <f t="shared" si="2"/>
        <v>16494746-5</v>
      </c>
      <c r="N336" s="6" t="str">
        <f t="shared" si="3"/>
        <v>Providencia - Santiago - Región Metropolitana</v>
      </c>
      <c r="O336" s="4"/>
    </row>
    <row r="337">
      <c r="A337" s="1" t="s">
        <v>2748</v>
      </c>
      <c r="B337" s="1" t="s">
        <v>2749</v>
      </c>
      <c r="C337" s="1" t="s">
        <v>2750</v>
      </c>
      <c r="D337" s="1" t="s">
        <v>2751</v>
      </c>
      <c r="E337" s="1" t="s">
        <v>25</v>
      </c>
      <c r="F337" s="1" t="s">
        <v>26</v>
      </c>
      <c r="G337" s="1" t="s">
        <v>27</v>
      </c>
      <c r="H337" s="2">
        <v>1.875E7</v>
      </c>
      <c r="I337" s="1">
        <v>90.0</v>
      </c>
      <c r="J337" s="1" t="s">
        <v>97</v>
      </c>
      <c r="K337" s="5">
        <v>46136.0</v>
      </c>
      <c r="L337" s="4" t="str">
        <f t="shared" si="1"/>
        <v>Matías Araya Pérez</v>
      </c>
      <c r="M337" s="6" t="str">
        <f t="shared" si="2"/>
        <v>14680066-K</v>
      </c>
      <c r="N337" s="6" t="str">
        <f t="shared" si="3"/>
        <v>Viña del Mar - Valparaíso - Región de Valparaíso</v>
      </c>
      <c r="O337" s="4"/>
    </row>
    <row r="338">
      <c r="A338" s="1" t="s">
        <v>2233</v>
      </c>
      <c r="B338" s="1" t="s">
        <v>2234</v>
      </c>
      <c r="C338" s="1" t="s">
        <v>2236</v>
      </c>
      <c r="D338" s="1" t="s">
        <v>2238</v>
      </c>
      <c r="E338" s="1" t="s">
        <v>26</v>
      </c>
      <c r="F338" s="1" t="s">
        <v>26</v>
      </c>
      <c r="G338" s="1" t="s">
        <v>27</v>
      </c>
      <c r="H338" s="2">
        <v>1.356E7</v>
      </c>
      <c r="I338" s="1">
        <v>0.0</v>
      </c>
      <c r="J338" s="1" t="s">
        <v>20</v>
      </c>
      <c r="K338" s="5">
        <v>46227.0</v>
      </c>
      <c r="L338" s="4" t="str">
        <f t="shared" si="1"/>
        <v>Catalina Muñoz López</v>
      </c>
      <c r="M338" s="6" t="str">
        <f t="shared" si="2"/>
        <v>16.778.830-K</v>
      </c>
      <c r="N338" s="6" t="str">
        <f t="shared" si="3"/>
        <v>Valparaíso - Valparaíso - Región de Valparaíso</v>
      </c>
      <c r="O338" s="4"/>
    </row>
    <row r="339">
      <c r="A339" s="1" t="s">
        <v>2756</v>
      </c>
      <c r="B339" s="1" t="s">
        <v>2757</v>
      </c>
      <c r="C339" s="1" t="s">
        <v>2758</v>
      </c>
      <c r="D339" s="1" t="s">
        <v>2759</v>
      </c>
      <c r="E339" s="1" t="s">
        <v>194</v>
      </c>
      <c r="F339" s="1" t="s">
        <v>62</v>
      </c>
      <c r="G339" s="1" t="s">
        <v>63</v>
      </c>
      <c r="H339" s="2">
        <v>5480000.0</v>
      </c>
      <c r="I339" s="1">
        <v>0.0</v>
      </c>
      <c r="J339" s="1" t="s">
        <v>97</v>
      </c>
      <c r="K339" s="5">
        <v>46140.0</v>
      </c>
      <c r="L339" s="4" t="str">
        <f t="shared" si="1"/>
        <v>Ignacio Silva Muñoz</v>
      </c>
      <c r="M339" s="6" t="str">
        <f t="shared" si="2"/>
        <v>11.385.229-7</v>
      </c>
      <c r="N339" s="6" t="str">
        <f t="shared" si="3"/>
        <v>Las Condes - Santiago - Región Metropolitana</v>
      </c>
      <c r="O339" s="4"/>
    </row>
    <row r="340">
      <c r="A340" s="1" t="s">
        <v>2764</v>
      </c>
      <c r="B340" s="1" t="s">
        <v>2765</v>
      </c>
      <c r="C340" s="1" t="s">
        <v>2766</v>
      </c>
      <c r="D340" s="1" t="s">
        <v>2767</v>
      </c>
      <c r="E340" s="1" t="s">
        <v>56</v>
      </c>
      <c r="F340" s="1" t="s">
        <v>39</v>
      </c>
      <c r="G340" s="1" t="s">
        <v>40</v>
      </c>
      <c r="H340" s="2">
        <v>2.082E7</v>
      </c>
      <c r="I340" s="1">
        <v>30.0</v>
      </c>
      <c r="J340" s="1" t="s">
        <v>73</v>
      </c>
      <c r="K340" s="5">
        <v>46038.0</v>
      </c>
      <c r="L340" s="4" t="str">
        <f t="shared" si="1"/>
        <v>Francisca Sepúlveda Valenzuela</v>
      </c>
      <c r="M340" s="6" t="str">
        <f t="shared" si="2"/>
        <v>17.768.195-8</v>
      </c>
      <c r="N340" s="6" t="str">
        <f t="shared" si="3"/>
        <v>Talcahuano - Concepción - Región del Biobío</v>
      </c>
      <c r="O340" s="4"/>
    </row>
    <row r="341">
      <c r="A341" s="1" t="s">
        <v>2768</v>
      </c>
      <c r="B341" s="1" t="s">
        <v>2769</v>
      </c>
      <c r="C341" s="1" t="s">
        <v>2770</v>
      </c>
      <c r="D341" s="1" t="s">
        <v>2771</v>
      </c>
      <c r="E341" s="1" t="s">
        <v>26</v>
      </c>
      <c r="F341" s="1" t="s">
        <v>26</v>
      </c>
      <c r="G341" s="1" t="s">
        <v>27</v>
      </c>
      <c r="H341" s="2">
        <v>1.798E7</v>
      </c>
      <c r="I341" s="1">
        <v>15.0</v>
      </c>
      <c r="J341" s="1" t="s">
        <v>97</v>
      </c>
      <c r="K341" s="5">
        <v>46099.0</v>
      </c>
      <c r="L341" s="4" t="str">
        <f t="shared" si="1"/>
        <v>Rodrigo Tapia Díaz</v>
      </c>
      <c r="M341" s="6" t="str">
        <f t="shared" si="2"/>
        <v>12.820.959-5</v>
      </c>
      <c r="N341" s="6" t="str">
        <f t="shared" si="3"/>
        <v>Valparaíso - Valparaíso - Región de Valparaíso</v>
      </c>
      <c r="O341" s="4"/>
    </row>
    <row r="342">
      <c r="A342" s="1" t="s">
        <v>2776</v>
      </c>
      <c r="B342" s="1" t="s">
        <v>2777</v>
      </c>
      <c r="C342" s="1" t="s">
        <v>2778</v>
      </c>
      <c r="D342" s="1" t="s">
        <v>2779</v>
      </c>
      <c r="E342" s="1" t="s">
        <v>194</v>
      </c>
      <c r="F342" s="1" t="s">
        <v>62</v>
      </c>
      <c r="G342" s="1" t="s">
        <v>63</v>
      </c>
      <c r="H342" s="2">
        <v>1500000.0</v>
      </c>
      <c r="I342" s="1">
        <v>0.0</v>
      </c>
      <c r="J342" s="1" t="s">
        <v>28</v>
      </c>
      <c r="K342" s="5">
        <v>46137.0</v>
      </c>
      <c r="L342" s="4" t="str">
        <f t="shared" si="1"/>
        <v>Paula Silva Muñoz</v>
      </c>
      <c r="M342" s="6" t="str">
        <f t="shared" si="2"/>
        <v>19.868.589-5</v>
      </c>
      <c r="N342" s="6" t="str">
        <f t="shared" si="3"/>
        <v>Las Condes - Santiago - Región Metropolitana</v>
      </c>
      <c r="O342" s="4"/>
    </row>
    <row r="343">
      <c r="A343" s="1" t="s">
        <v>2781</v>
      </c>
      <c r="B343" s="1" t="s">
        <v>2782</v>
      </c>
      <c r="C343" s="1" t="s">
        <v>2783</v>
      </c>
      <c r="D343" s="1" t="s">
        <v>2785</v>
      </c>
      <c r="E343" s="1" t="s">
        <v>109</v>
      </c>
      <c r="F343" s="1" t="s">
        <v>62</v>
      </c>
      <c r="G343" s="1" t="s">
        <v>63</v>
      </c>
      <c r="H343" s="2">
        <v>1610000.0</v>
      </c>
      <c r="I343" s="1">
        <v>0.0</v>
      </c>
      <c r="J343" s="1" t="s">
        <v>97</v>
      </c>
      <c r="K343" s="5">
        <v>46159.0</v>
      </c>
      <c r="L343" s="4" t="str">
        <f t="shared" si="1"/>
        <v>Sebastián Muñoz Morales</v>
      </c>
      <c r="M343" s="6" t="str">
        <f t="shared" si="2"/>
        <v>19.595.950-5</v>
      </c>
      <c r="N343" s="6" t="str">
        <f t="shared" si="3"/>
        <v>Ñuñoa - Santiago - Región Metropolitana</v>
      </c>
      <c r="O343" s="4"/>
    </row>
    <row r="344">
      <c r="A344" s="1" t="s">
        <v>1550</v>
      </c>
      <c r="B344" s="1" t="s">
        <v>1551</v>
      </c>
      <c r="C344" s="1" t="s">
        <v>2789</v>
      </c>
      <c r="D344" s="1" t="s">
        <v>1553</v>
      </c>
      <c r="E344" s="1" t="s">
        <v>109</v>
      </c>
      <c r="F344" s="1" t="s">
        <v>62</v>
      </c>
      <c r="G344" s="1" t="s">
        <v>63</v>
      </c>
      <c r="H344" s="2">
        <v>4700000.0</v>
      </c>
      <c r="I344" s="1">
        <v>120.0</v>
      </c>
      <c r="J344" s="1" t="s">
        <v>20</v>
      </c>
      <c r="K344" s="5">
        <v>46170.0</v>
      </c>
      <c r="L344" s="4" t="str">
        <f t="shared" si="1"/>
        <v>Camila Rojas Morales</v>
      </c>
      <c r="M344" s="6" t="str">
        <f t="shared" si="2"/>
        <v>12123240-4</v>
      </c>
      <c r="N344" s="6" t="str">
        <f t="shared" si="3"/>
        <v>Ñuñoa - Santiago - Región Metropolitana</v>
      </c>
      <c r="O344" s="4"/>
    </row>
    <row r="345">
      <c r="A345" s="1" t="s">
        <v>2792</v>
      </c>
      <c r="B345" s="1" t="s">
        <v>2794</v>
      </c>
      <c r="C345" s="1" t="s">
        <v>2797</v>
      </c>
      <c r="D345" s="1" t="s">
        <v>2798</v>
      </c>
      <c r="E345" s="1" t="s">
        <v>158</v>
      </c>
      <c r="F345" s="1" t="s">
        <v>158</v>
      </c>
      <c r="G345" s="1" t="s">
        <v>159</v>
      </c>
      <c r="H345" s="2">
        <v>3970000.0</v>
      </c>
      <c r="I345" s="1">
        <v>30.0</v>
      </c>
      <c r="J345" s="1" t="s">
        <v>47</v>
      </c>
      <c r="K345" s="5">
        <v>46068.0</v>
      </c>
      <c r="L345" s="4" t="str">
        <f t="shared" si="1"/>
        <v>Gabriel Araya González</v>
      </c>
      <c r="M345" s="6" t="str">
        <f t="shared" si="2"/>
        <v>21.973.771-K</v>
      </c>
      <c r="N345" s="6" t="str">
        <f t="shared" si="3"/>
        <v>Antofagasta - Antofagasta - Región de Antofagasta</v>
      </c>
      <c r="O345" s="4"/>
    </row>
    <row r="346">
      <c r="A346" s="1" t="s">
        <v>2803</v>
      </c>
      <c r="B346" s="1" t="s">
        <v>2804</v>
      </c>
      <c r="C346" s="1" t="s">
        <v>2805</v>
      </c>
      <c r="D346" s="1" t="s">
        <v>2806</v>
      </c>
      <c r="E346" s="1" t="s">
        <v>118</v>
      </c>
      <c r="F346" s="1" t="s">
        <v>62</v>
      </c>
      <c r="G346" s="1" t="s">
        <v>63</v>
      </c>
      <c r="H346" s="2">
        <v>1.323E7</v>
      </c>
      <c r="I346" s="1">
        <v>15.0</v>
      </c>
      <c r="J346" s="1" t="s">
        <v>47</v>
      </c>
      <c r="K346" s="5">
        <v>46126.0</v>
      </c>
      <c r="L346" s="4" t="str">
        <f t="shared" si="1"/>
        <v>Sofia Espinoza González</v>
      </c>
      <c r="M346" s="6" t="str">
        <f t="shared" si="2"/>
        <v>11.664.625-K</v>
      </c>
      <c r="N346" s="6" t="str">
        <f t="shared" si="3"/>
        <v>Maipú - Santiago - Región Metropolitana</v>
      </c>
      <c r="O346" s="4"/>
    </row>
    <row r="347">
      <c r="A347" s="1" t="s">
        <v>2536</v>
      </c>
      <c r="B347" s="1" t="s">
        <v>2537</v>
      </c>
      <c r="C347" s="1" t="s">
        <v>2538</v>
      </c>
      <c r="D347" s="1" t="s">
        <v>2539</v>
      </c>
      <c r="E347" s="1" t="s">
        <v>45</v>
      </c>
      <c r="F347" s="1" t="s">
        <v>45</v>
      </c>
      <c r="G347" s="1" t="s">
        <v>46</v>
      </c>
      <c r="H347" s="2">
        <v>4920000.0</v>
      </c>
      <c r="I347" s="1">
        <v>0.0</v>
      </c>
      <c r="J347" s="1" t="s">
        <v>47</v>
      </c>
      <c r="K347" s="5">
        <v>46126.0</v>
      </c>
      <c r="L347" s="4" t="str">
        <f t="shared" si="1"/>
        <v>Claudio López Rodríguez</v>
      </c>
      <c r="M347" s="6" t="str">
        <f t="shared" si="2"/>
        <v>11.006.460-0</v>
      </c>
      <c r="N347" s="6" t="str">
        <f t="shared" si="3"/>
        <v>Temuco - Temuco - Región de la Araucanía</v>
      </c>
      <c r="O347" s="4"/>
    </row>
    <row r="348">
      <c r="A348" s="1" t="s">
        <v>2807</v>
      </c>
      <c r="B348" s="1" t="s">
        <v>2808</v>
      </c>
      <c r="C348" s="1" t="s">
        <v>2810</v>
      </c>
      <c r="D348" s="1" t="s">
        <v>2812</v>
      </c>
      <c r="E348" s="1" t="s">
        <v>61</v>
      </c>
      <c r="F348" s="1" t="s">
        <v>62</v>
      </c>
      <c r="G348" s="1" t="s">
        <v>63</v>
      </c>
      <c r="H348" s="2">
        <v>5470000.0</v>
      </c>
      <c r="I348" s="1">
        <v>15.0</v>
      </c>
      <c r="J348" s="1" t="s">
        <v>73</v>
      </c>
      <c r="K348" s="5">
        <v>46084.0</v>
      </c>
      <c r="L348" s="4" t="str">
        <f t="shared" si="1"/>
        <v>Paula Rojas Contreras</v>
      </c>
      <c r="M348" s="6" t="str">
        <f t="shared" si="2"/>
        <v>19.919.858-2</v>
      </c>
      <c r="N348" s="6" t="str">
        <f t="shared" si="3"/>
        <v>Santiago Centro - Santiago - Región Metropolitana</v>
      </c>
      <c r="O348" s="4"/>
    </row>
    <row r="349">
      <c r="A349" s="1" t="s">
        <v>2815</v>
      </c>
      <c r="B349" s="1" t="s">
        <v>2816</v>
      </c>
      <c r="C349" s="1" t="s">
        <v>2817</v>
      </c>
      <c r="D349" s="1" t="s">
        <v>2818</v>
      </c>
      <c r="E349" s="1" t="s">
        <v>61</v>
      </c>
      <c r="F349" s="1" t="s">
        <v>62</v>
      </c>
      <c r="G349" s="1" t="s">
        <v>63</v>
      </c>
      <c r="H349" s="2">
        <v>1.735E7</v>
      </c>
      <c r="I349" s="1">
        <v>15.0</v>
      </c>
      <c r="J349" s="1" t="s">
        <v>47</v>
      </c>
      <c r="K349" s="5">
        <v>46040.0</v>
      </c>
      <c r="L349" s="4" t="str">
        <f t="shared" si="1"/>
        <v>Felipe Araya Fuentes</v>
      </c>
      <c r="M349" s="6" t="str">
        <f t="shared" si="2"/>
        <v>18.968.758-6</v>
      </c>
      <c r="N349" s="6" t="str">
        <f t="shared" si="3"/>
        <v>Santiago Centro - Santiago - Región Metropolitana</v>
      </c>
      <c r="O349" s="4"/>
    </row>
    <row r="350">
      <c r="A350" s="1" t="s">
        <v>1626</v>
      </c>
      <c r="B350" s="1" t="s">
        <v>1628</v>
      </c>
      <c r="C350" s="1" t="s">
        <v>2819</v>
      </c>
      <c r="D350" s="1" t="s">
        <v>1630</v>
      </c>
      <c r="E350" s="1" t="s">
        <v>45</v>
      </c>
      <c r="F350" s="1" t="s">
        <v>45</v>
      </c>
      <c r="G350" s="1" t="s">
        <v>46</v>
      </c>
      <c r="H350" s="2">
        <v>8570000.0</v>
      </c>
      <c r="I350" s="1">
        <v>30.0</v>
      </c>
      <c r="J350" s="1" t="s">
        <v>47</v>
      </c>
      <c r="K350" s="5">
        <v>46213.0</v>
      </c>
      <c r="L350" s="4" t="str">
        <f t="shared" si="1"/>
        <v>Camila Valenzuela Rojas</v>
      </c>
      <c r="M350" s="6" t="str">
        <f t="shared" si="2"/>
        <v>17.077.140-3</v>
      </c>
      <c r="N350" s="6" t="str">
        <f t="shared" si="3"/>
        <v>Temuco - Temuco - Región de la Araucanía</v>
      </c>
      <c r="O350" s="4"/>
    </row>
    <row r="351">
      <c r="A351" s="1" t="s">
        <v>2824</v>
      </c>
      <c r="B351" s="1" t="s">
        <v>2825</v>
      </c>
      <c r="C351" s="1" t="s">
        <v>2826</v>
      </c>
      <c r="D351" s="1" t="s">
        <v>2827</v>
      </c>
      <c r="E351" s="1" t="s">
        <v>72</v>
      </c>
      <c r="F351" s="1" t="s">
        <v>62</v>
      </c>
      <c r="G351" s="1" t="s">
        <v>63</v>
      </c>
      <c r="H351" s="2">
        <v>6020000.0</v>
      </c>
      <c r="I351" s="1">
        <v>15.0</v>
      </c>
      <c r="J351" s="1" t="s">
        <v>97</v>
      </c>
      <c r="K351" s="5">
        <v>46104.0</v>
      </c>
      <c r="L351" s="4" t="str">
        <f t="shared" si="1"/>
        <v>Javier Tapia Fuentes</v>
      </c>
      <c r="M351" s="6" t="str">
        <f t="shared" si="2"/>
        <v>17.329.221-2</v>
      </c>
      <c r="N351" s="6" t="str">
        <f t="shared" si="3"/>
        <v>Providencia - Santiago - Región Metropolitana</v>
      </c>
      <c r="O351" s="4"/>
    </row>
    <row r="352">
      <c r="A352" s="1" t="s">
        <v>2829</v>
      </c>
      <c r="B352" s="1" t="s">
        <v>2830</v>
      </c>
      <c r="C352" s="1" t="s">
        <v>2831</v>
      </c>
      <c r="D352" s="1" t="s">
        <v>2832</v>
      </c>
      <c r="E352" s="1" t="s">
        <v>72</v>
      </c>
      <c r="F352" s="1" t="s">
        <v>62</v>
      </c>
      <c r="G352" s="1" t="s">
        <v>63</v>
      </c>
      <c r="H352" s="2">
        <v>1.182E7</v>
      </c>
      <c r="I352" s="1">
        <v>30.0</v>
      </c>
      <c r="J352" s="1" t="s">
        <v>47</v>
      </c>
      <c r="K352" s="5">
        <v>46036.0</v>
      </c>
      <c r="L352" s="4" t="str">
        <f t="shared" si="1"/>
        <v>Francisca López Díaz</v>
      </c>
      <c r="M352" s="6" t="str">
        <f t="shared" si="2"/>
        <v>11.996.907-K</v>
      </c>
      <c r="N352" s="6" t="str">
        <f t="shared" si="3"/>
        <v>Providencia - Santiago - Región Metropolitana</v>
      </c>
      <c r="O352" s="4"/>
    </row>
    <row r="353">
      <c r="A353" s="1" t="s">
        <v>2833</v>
      </c>
      <c r="B353" s="1" t="s">
        <v>2834</v>
      </c>
      <c r="C353" s="1" t="s">
        <v>2835</v>
      </c>
      <c r="D353" s="1" t="s">
        <v>924</v>
      </c>
      <c r="E353" s="1" t="s">
        <v>45</v>
      </c>
      <c r="F353" s="1" t="s">
        <v>45</v>
      </c>
      <c r="G353" s="1" t="s">
        <v>46</v>
      </c>
      <c r="H353" s="2">
        <v>4300000.0</v>
      </c>
      <c r="I353" s="1">
        <v>0.0</v>
      </c>
      <c r="J353" s="1" t="s">
        <v>20</v>
      </c>
      <c r="K353" s="5">
        <v>46140.0</v>
      </c>
      <c r="L353" s="4" t="str">
        <f t="shared" si="1"/>
        <v>Diego Muñoz Fuentes</v>
      </c>
      <c r="M353" s="6" t="str">
        <f t="shared" si="2"/>
        <v>14962382-4</v>
      </c>
      <c r="N353" s="6" t="str">
        <f t="shared" si="3"/>
        <v>Temuco - Temuco - Región de la Araucanía</v>
      </c>
      <c r="O353" s="4"/>
    </row>
    <row r="354">
      <c r="A354" s="1" t="s">
        <v>714</v>
      </c>
      <c r="B354" s="1" t="s">
        <v>716</v>
      </c>
      <c r="C354" s="1" t="s">
        <v>717</v>
      </c>
      <c r="D354" s="1" t="s">
        <v>718</v>
      </c>
      <c r="E354" s="1" t="s">
        <v>18</v>
      </c>
      <c r="F354" s="1" t="s">
        <v>18</v>
      </c>
      <c r="G354" s="1" t="s">
        <v>19</v>
      </c>
      <c r="H354" s="2">
        <v>1.92E7</v>
      </c>
      <c r="I354" s="1">
        <v>90.0</v>
      </c>
      <c r="J354" s="1" t="s">
        <v>47</v>
      </c>
      <c r="K354" s="5">
        <v>46177.0</v>
      </c>
      <c r="L354" s="4" t="str">
        <f t="shared" si="1"/>
        <v>Andrea López González</v>
      </c>
      <c r="M354" s="6" t="str">
        <f t="shared" si="2"/>
        <v>11.719.561-0</v>
      </c>
      <c r="N354" s="6" t="str">
        <f t="shared" si="3"/>
        <v>La Serena - La Serena - Región de Coquimbo</v>
      </c>
      <c r="O354" s="4"/>
    </row>
    <row r="355">
      <c r="A355" s="1" t="s">
        <v>2844</v>
      </c>
      <c r="B355" s="1" t="s">
        <v>2845</v>
      </c>
      <c r="C355" s="1" t="s">
        <v>2846</v>
      </c>
      <c r="D355" s="1" t="s">
        <v>2847</v>
      </c>
      <c r="E355" s="1" t="s">
        <v>118</v>
      </c>
      <c r="F355" s="1" t="s">
        <v>62</v>
      </c>
      <c r="G355" s="1" t="s">
        <v>63</v>
      </c>
      <c r="H355" s="2">
        <v>9380000.0</v>
      </c>
      <c r="I355" s="1">
        <v>0.0</v>
      </c>
      <c r="J355" s="1" t="s">
        <v>28</v>
      </c>
      <c r="K355" s="5">
        <v>46030.0</v>
      </c>
      <c r="L355" s="4" t="str">
        <f t="shared" si="1"/>
        <v>Ignacio Pérez Vergara</v>
      </c>
      <c r="M355" s="6" t="str">
        <f t="shared" si="2"/>
        <v>14.134.648-9</v>
      </c>
      <c r="N355" s="6" t="str">
        <f t="shared" si="3"/>
        <v>Maipú - Santiago - Región Metropolitana</v>
      </c>
      <c r="O355" s="4"/>
    </row>
    <row r="356">
      <c r="A356" s="1" t="s">
        <v>2850</v>
      </c>
      <c r="B356" s="1" t="s">
        <v>2852</v>
      </c>
      <c r="C356" s="1" t="s">
        <v>2854</v>
      </c>
      <c r="D356" s="1" t="s">
        <v>2856</v>
      </c>
      <c r="E356" s="1" t="s">
        <v>72</v>
      </c>
      <c r="F356" s="1" t="s">
        <v>62</v>
      </c>
      <c r="G356" s="1" t="s">
        <v>63</v>
      </c>
      <c r="H356" s="2">
        <v>1.493E7</v>
      </c>
      <c r="I356" s="1">
        <v>120.0</v>
      </c>
      <c r="J356" s="1" t="s">
        <v>97</v>
      </c>
      <c r="K356" s="5">
        <v>46028.0</v>
      </c>
      <c r="L356" s="4" t="str">
        <f t="shared" si="1"/>
        <v>Javiera Rodríguez Silva</v>
      </c>
      <c r="M356" s="6" t="str">
        <f t="shared" si="2"/>
        <v>11040355-4</v>
      </c>
      <c r="N356" s="6" t="str">
        <f t="shared" si="3"/>
        <v>Providencia - Santiago - Región Metropolitana</v>
      </c>
      <c r="O356" s="4"/>
    </row>
    <row r="357">
      <c r="A357" s="1" t="s">
        <v>2857</v>
      </c>
      <c r="B357" s="1" t="s">
        <v>2858</v>
      </c>
      <c r="C357" s="1" t="s">
        <v>2859</v>
      </c>
      <c r="D357" s="1" t="s">
        <v>2860</v>
      </c>
      <c r="E357" s="1" t="s">
        <v>45</v>
      </c>
      <c r="F357" s="1" t="s">
        <v>45</v>
      </c>
      <c r="G357" s="1" t="s">
        <v>46</v>
      </c>
      <c r="H357" s="2">
        <v>2.093E7</v>
      </c>
      <c r="I357" s="1">
        <v>0.0</v>
      </c>
      <c r="J357" s="1" t="s">
        <v>28</v>
      </c>
      <c r="K357" s="5">
        <v>46066.0</v>
      </c>
      <c r="L357" s="4" t="str">
        <f t="shared" si="1"/>
        <v>Javier Contreras Rodríguez</v>
      </c>
      <c r="M357" s="6" t="str">
        <f t="shared" si="2"/>
        <v>19.577.833-1</v>
      </c>
      <c r="N357" s="6" t="str">
        <f t="shared" si="3"/>
        <v>Temuco - Temuco - Región de la Araucanía</v>
      </c>
      <c r="O357" s="4"/>
    </row>
    <row r="358">
      <c r="A358" s="1" t="s">
        <v>2864</v>
      </c>
      <c r="B358" s="1" t="s">
        <v>2865</v>
      </c>
      <c r="C358" s="1" t="s">
        <v>2866</v>
      </c>
      <c r="D358" s="1" t="s">
        <v>2867</v>
      </c>
      <c r="E358" s="1" t="s">
        <v>158</v>
      </c>
      <c r="F358" s="1" t="s">
        <v>158</v>
      </c>
      <c r="G358" s="1" t="s">
        <v>159</v>
      </c>
      <c r="H358" s="2">
        <v>1.617E7</v>
      </c>
      <c r="I358" s="1">
        <v>0.0</v>
      </c>
      <c r="J358" s="1" t="s">
        <v>20</v>
      </c>
      <c r="K358" s="5">
        <v>46201.0</v>
      </c>
      <c r="L358" s="4" t="str">
        <f t="shared" si="1"/>
        <v>Francisca Muñoz López</v>
      </c>
      <c r="M358" s="6" t="str">
        <f t="shared" si="2"/>
        <v>18.089.185-5</v>
      </c>
      <c r="N358" s="6" t="str">
        <f t="shared" si="3"/>
        <v>Antofagasta - Antofagasta - Región de Antofagasta</v>
      </c>
      <c r="O358" s="4"/>
    </row>
    <row r="359">
      <c r="A359" s="1" t="s">
        <v>2872</v>
      </c>
      <c r="B359" s="1" t="s">
        <v>2873</v>
      </c>
      <c r="C359" s="1" t="s">
        <v>2874</v>
      </c>
      <c r="D359" s="1" t="s">
        <v>2875</v>
      </c>
      <c r="E359" s="1" t="s">
        <v>56</v>
      </c>
      <c r="F359" s="1" t="s">
        <v>39</v>
      </c>
      <c r="G359" s="1" t="s">
        <v>40</v>
      </c>
      <c r="H359" s="2">
        <v>2.134E7</v>
      </c>
      <c r="I359" s="1">
        <v>15.0</v>
      </c>
      <c r="J359" s="1" t="s">
        <v>97</v>
      </c>
      <c r="K359" s="5">
        <v>46038.0</v>
      </c>
      <c r="L359" s="4" t="str">
        <f t="shared" si="1"/>
        <v>Esteban López Vergara</v>
      </c>
      <c r="M359" s="6" t="str">
        <f t="shared" si="2"/>
        <v>15346894-6</v>
      </c>
      <c r="N359" s="6" t="str">
        <f t="shared" si="3"/>
        <v>Talcahuano - Concepción - Región del Biobío</v>
      </c>
      <c r="O359" s="4"/>
    </row>
    <row r="360">
      <c r="A360" s="1" t="s">
        <v>2876</v>
      </c>
      <c r="B360" s="1" t="s">
        <v>2877</v>
      </c>
      <c r="C360" s="1" t="s">
        <v>2878</v>
      </c>
      <c r="D360" s="1" t="s">
        <v>2879</v>
      </c>
      <c r="E360" s="1" t="s">
        <v>72</v>
      </c>
      <c r="F360" s="1" t="s">
        <v>62</v>
      </c>
      <c r="G360" s="1" t="s">
        <v>63</v>
      </c>
      <c r="H360" s="2">
        <v>1.656E7</v>
      </c>
      <c r="I360" s="1">
        <v>30.0</v>
      </c>
      <c r="J360" s="1" t="s">
        <v>47</v>
      </c>
      <c r="K360" s="5">
        <v>46123.0</v>
      </c>
      <c r="L360" s="4" t="str">
        <f t="shared" si="1"/>
        <v>Paula Vergara Silva</v>
      </c>
      <c r="M360" s="6" t="str">
        <f t="shared" si="2"/>
        <v>17.428.855-K</v>
      </c>
      <c r="N360" s="6" t="str">
        <f t="shared" si="3"/>
        <v>Providencia - Santiago - Región Metropolitana</v>
      </c>
      <c r="O360" s="4"/>
    </row>
    <row r="361">
      <c r="A361" s="1" t="s">
        <v>2884</v>
      </c>
      <c r="B361" s="1" t="s">
        <v>2885</v>
      </c>
      <c r="C361" s="1" t="s">
        <v>2886</v>
      </c>
      <c r="D361" s="1" t="s">
        <v>2887</v>
      </c>
      <c r="E361" s="1" t="s">
        <v>61</v>
      </c>
      <c r="F361" s="1" t="s">
        <v>62</v>
      </c>
      <c r="G361" s="1" t="s">
        <v>63</v>
      </c>
      <c r="H361" s="2">
        <v>7850000.0</v>
      </c>
      <c r="I361" s="1">
        <v>15.0</v>
      </c>
      <c r="J361" s="1" t="s">
        <v>73</v>
      </c>
      <c r="K361" s="5">
        <v>46207.0</v>
      </c>
      <c r="L361" s="4" t="str">
        <f t="shared" si="1"/>
        <v>Javier Vergara Pérez</v>
      </c>
      <c r="M361" s="6" t="str">
        <f t="shared" si="2"/>
        <v>16.351.348-6</v>
      </c>
      <c r="N361" s="6" t="str">
        <f t="shared" si="3"/>
        <v>Santiago Centro - Santiago - Región Metropolitana</v>
      </c>
      <c r="O361" s="4"/>
    </row>
    <row r="362">
      <c r="A362" s="1" t="s">
        <v>2888</v>
      </c>
      <c r="B362" s="1" t="s">
        <v>2889</v>
      </c>
      <c r="C362" s="1" t="s">
        <v>2890</v>
      </c>
      <c r="D362" s="1" t="s">
        <v>2891</v>
      </c>
      <c r="E362" s="1" t="s">
        <v>33</v>
      </c>
      <c r="F362" s="1" t="s">
        <v>33</v>
      </c>
      <c r="G362" s="1" t="s">
        <v>34</v>
      </c>
      <c r="H362" s="2">
        <v>1.333E7</v>
      </c>
      <c r="I362" s="1">
        <v>60.0</v>
      </c>
      <c r="J362" s="1" t="s">
        <v>20</v>
      </c>
      <c r="K362" s="5">
        <v>46088.0</v>
      </c>
      <c r="L362" s="4" t="str">
        <f t="shared" si="1"/>
        <v>Marcela Contreras Soto</v>
      </c>
      <c r="M362" s="6" t="str">
        <f t="shared" si="2"/>
        <v>18.066.386-0</v>
      </c>
      <c r="N362" s="6" t="str">
        <f t="shared" si="3"/>
        <v>Puerto Montt - Puerto Montt - Región de Los Lagos</v>
      </c>
      <c r="O362" s="4"/>
    </row>
    <row r="363">
      <c r="A363" s="1" t="s">
        <v>2896</v>
      </c>
      <c r="B363" s="1" t="s">
        <v>2897</v>
      </c>
      <c r="C363" s="1" t="s">
        <v>2898</v>
      </c>
      <c r="D363" s="1" t="s">
        <v>117</v>
      </c>
      <c r="E363" s="1" t="s">
        <v>25</v>
      </c>
      <c r="F363" s="1" t="s">
        <v>26</v>
      </c>
      <c r="G363" s="1" t="s">
        <v>27</v>
      </c>
      <c r="H363" s="2">
        <v>7860000.0</v>
      </c>
      <c r="I363" s="1">
        <v>60.0</v>
      </c>
      <c r="J363" s="1" t="s">
        <v>28</v>
      </c>
      <c r="K363" s="5">
        <v>46183.0</v>
      </c>
      <c r="L363" s="4" t="str">
        <f t="shared" si="1"/>
        <v>Gabriel Contreras López</v>
      </c>
      <c r="M363" s="6" t="str">
        <f t="shared" si="2"/>
        <v>21043067-5</v>
      </c>
      <c r="N363" s="6" t="str">
        <f t="shared" si="3"/>
        <v>Viña del Mar - Valparaíso - Región de Valparaíso</v>
      </c>
      <c r="O363" s="4"/>
    </row>
    <row r="364">
      <c r="A364" s="1" t="s">
        <v>2899</v>
      </c>
      <c r="B364" s="1" t="s">
        <v>2900</v>
      </c>
      <c r="C364" s="1" t="s">
        <v>2901</v>
      </c>
      <c r="D364" s="1" t="s">
        <v>2903</v>
      </c>
      <c r="E364" s="1" t="s">
        <v>61</v>
      </c>
      <c r="F364" s="1" t="s">
        <v>62</v>
      </c>
      <c r="G364" s="1" t="s">
        <v>63</v>
      </c>
      <c r="H364" s="2">
        <v>1.975E7</v>
      </c>
      <c r="I364" s="1">
        <v>0.0</v>
      </c>
      <c r="J364" s="1" t="s">
        <v>28</v>
      </c>
      <c r="K364" s="5">
        <v>46204.0</v>
      </c>
      <c r="L364" s="4" t="str">
        <f t="shared" si="1"/>
        <v>Javiera Soto Silva</v>
      </c>
      <c r="M364" s="6" t="str">
        <f t="shared" si="2"/>
        <v>18770320-1</v>
      </c>
      <c r="N364" s="6" t="str">
        <f t="shared" si="3"/>
        <v>Santiago Centro - Santiago - Región Metropolitana</v>
      </c>
      <c r="O364" s="4"/>
    </row>
    <row r="365">
      <c r="A365" s="1" t="s">
        <v>220</v>
      </c>
      <c r="B365" s="1" t="s">
        <v>221</v>
      </c>
      <c r="C365" s="1" t="s">
        <v>222</v>
      </c>
      <c r="D365" s="1" t="s">
        <v>223</v>
      </c>
      <c r="E365" s="1" t="s">
        <v>26</v>
      </c>
      <c r="F365" s="1" t="s">
        <v>26</v>
      </c>
      <c r="G365" s="1" t="s">
        <v>27</v>
      </c>
      <c r="H365" s="2">
        <v>2.188E7</v>
      </c>
      <c r="I365" s="1">
        <v>60.0</v>
      </c>
      <c r="J365" s="1" t="s">
        <v>73</v>
      </c>
      <c r="K365" s="5">
        <v>46094.0</v>
      </c>
      <c r="L365" s="4" t="str">
        <f t="shared" si="1"/>
        <v>Álvaro López Araya</v>
      </c>
      <c r="M365" s="6" t="str">
        <f t="shared" si="2"/>
        <v>18.809.561-9</v>
      </c>
      <c r="N365" s="6" t="str">
        <f t="shared" si="3"/>
        <v>Valparaíso - Valparaíso - Región de Valparaíso</v>
      </c>
      <c r="O365" s="4"/>
    </row>
    <row r="366">
      <c r="A366" s="1" t="s">
        <v>1932</v>
      </c>
      <c r="B366" s="1" t="s">
        <v>1933</v>
      </c>
      <c r="C366" s="1" t="s">
        <v>1934</v>
      </c>
      <c r="D366" s="1" t="s">
        <v>1935</v>
      </c>
      <c r="E366" s="1" t="s">
        <v>72</v>
      </c>
      <c r="F366" s="1" t="s">
        <v>62</v>
      </c>
      <c r="G366" s="1" t="s">
        <v>63</v>
      </c>
      <c r="H366" s="2">
        <v>6910000.0</v>
      </c>
      <c r="I366" s="1">
        <v>0.0</v>
      </c>
      <c r="J366" s="1" t="s">
        <v>73</v>
      </c>
      <c r="K366" s="5">
        <v>46136.0</v>
      </c>
      <c r="L366" s="4" t="str">
        <f t="shared" si="1"/>
        <v>Carolina Silva Rodríguez</v>
      </c>
      <c r="M366" s="6" t="str">
        <f t="shared" si="2"/>
        <v>22.471.805-K</v>
      </c>
      <c r="N366" s="6" t="str">
        <f t="shared" si="3"/>
        <v>Providencia - Santiago - Región Metropolitana</v>
      </c>
      <c r="O366" s="4"/>
    </row>
    <row r="367">
      <c r="A367" s="1" t="s">
        <v>2910</v>
      </c>
      <c r="B367" s="1" t="s">
        <v>2911</v>
      </c>
      <c r="C367" s="1" t="s">
        <v>2912</v>
      </c>
      <c r="D367" s="1" t="s">
        <v>893</v>
      </c>
      <c r="E367" s="1" t="s">
        <v>25</v>
      </c>
      <c r="F367" s="1" t="s">
        <v>26</v>
      </c>
      <c r="G367" s="1" t="s">
        <v>27</v>
      </c>
      <c r="H367" s="2">
        <v>6270000.0</v>
      </c>
      <c r="I367" s="1">
        <v>0.0</v>
      </c>
      <c r="J367" s="1" t="s">
        <v>28</v>
      </c>
      <c r="K367" s="5">
        <v>46185.0</v>
      </c>
      <c r="L367" s="4" t="str">
        <f t="shared" si="1"/>
        <v>Cristián Valenzuela Soto</v>
      </c>
      <c r="M367" s="6" t="str">
        <f t="shared" si="2"/>
        <v>20.368.247-9</v>
      </c>
      <c r="N367" s="6" t="str">
        <f t="shared" si="3"/>
        <v>Viña del Mar - Valparaíso - Región de Valparaíso</v>
      </c>
      <c r="O367" s="4"/>
    </row>
    <row r="368">
      <c r="A368" s="1" t="s">
        <v>1913</v>
      </c>
      <c r="B368" s="1" t="s">
        <v>1914</v>
      </c>
      <c r="C368" s="1" t="s">
        <v>1915</v>
      </c>
      <c r="D368" s="1" t="s">
        <v>1916</v>
      </c>
      <c r="E368" s="1" t="s">
        <v>72</v>
      </c>
      <c r="F368" s="1" t="s">
        <v>62</v>
      </c>
      <c r="G368" s="1" t="s">
        <v>63</v>
      </c>
      <c r="H368" s="2">
        <v>8320000.0</v>
      </c>
      <c r="I368" s="1">
        <v>0.0</v>
      </c>
      <c r="J368" s="1" t="s">
        <v>73</v>
      </c>
      <c r="K368" s="5">
        <v>46039.0</v>
      </c>
      <c r="L368" s="4" t="str">
        <f t="shared" si="1"/>
        <v>Carolina Sepúlveda Araya</v>
      </c>
      <c r="M368" s="6" t="str">
        <f t="shared" si="2"/>
        <v>18892472-7</v>
      </c>
      <c r="N368" s="6" t="str">
        <f t="shared" si="3"/>
        <v>Providencia - Santiago - Región Metropolitana</v>
      </c>
      <c r="O368" s="4"/>
    </row>
    <row r="369">
      <c r="A369" s="1" t="s">
        <v>2921</v>
      </c>
      <c r="B369" s="1" t="s">
        <v>2922</v>
      </c>
      <c r="C369" s="1" t="s">
        <v>2923</v>
      </c>
      <c r="D369" s="1" t="s">
        <v>2040</v>
      </c>
      <c r="E369" s="1" t="s">
        <v>26</v>
      </c>
      <c r="F369" s="1" t="s">
        <v>26</v>
      </c>
      <c r="G369" s="1" t="s">
        <v>27</v>
      </c>
      <c r="H369" s="2">
        <v>2.159E7</v>
      </c>
      <c r="I369" s="1">
        <v>0.0</v>
      </c>
      <c r="J369" s="1" t="s">
        <v>28</v>
      </c>
      <c r="K369" s="5">
        <v>46046.0</v>
      </c>
      <c r="L369" s="4" t="str">
        <f t="shared" si="1"/>
        <v>Rodrigo Fuentes Rojas</v>
      </c>
      <c r="M369" s="6" t="str">
        <f t="shared" si="2"/>
        <v>13611488-2</v>
      </c>
      <c r="N369" s="6" t="str">
        <f t="shared" si="3"/>
        <v>Valparaíso - Valparaíso - Región de Valparaíso</v>
      </c>
      <c r="O369" s="4"/>
    </row>
    <row r="370">
      <c r="A370" s="1" t="s">
        <v>2925</v>
      </c>
      <c r="B370" s="1" t="s">
        <v>2926</v>
      </c>
      <c r="C370" s="1" t="s">
        <v>2927</v>
      </c>
      <c r="D370" s="1" t="s">
        <v>2928</v>
      </c>
      <c r="E370" s="1" t="s">
        <v>33</v>
      </c>
      <c r="F370" s="1" t="s">
        <v>33</v>
      </c>
      <c r="G370" s="1" t="s">
        <v>34</v>
      </c>
      <c r="H370" s="2">
        <v>2.061E7</v>
      </c>
      <c r="I370" s="1">
        <v>120.0</v>
      </c>
      <c r="J370" s="1" t="s">
        <v>97</v>
      </c>
      <c r="K370" s="5">
        <v>46219.0</v>
      </c>
      <c r="L370" s="4" t="str">
        <f t="shared" si="1"/>
        <v>Fernanda López Silva</v>
      </c>
      <c r="M370" s="6" t="str">
        <f t="shared" si="2"/>
        <v>17544238-6</v>
      </c>
      <c r="N370" s="6" t="str">
        <f t="shared" si="3"/>
        <v>Puerto Montt - Puerto Montt - Región de Los Lagos</v>
      </c>
      <c r="O370" s="4"/>
    </row>
    <row r="371">
      <c r="A371" s="1" t="s">
        <v>2933</v>
      </c>
      <c r="B371" s="1" t="s">
        <v>2934</v>
      </c>
      <c r="C371" s="1" t="s">
        <v>2935</v>
      </c>
      <c r="D371" s="1" t="s">
        <v>2936</v>
      </c>
      <c r="E371" s="1" t="s">
        <v>39</v>
      </c>
      <c r="F371" s="1" t="s">
        <v>39</v>
      </c>
      <c r="G371" s="1" t="s">
        <v>40</v>
      </c>
      <c r="H371" s="2">
        <v>1.173E7</v>
      </c>
      <c r="I371" s="1">
        <v>0.0</v>
      </c>
      <c r="J371" s="1" t="s">
        <v>28</v>
      </c>
      <c r="K371" s="5">
        <v>46209.0</v>
      </c>
      <c r="L371" s="4" t="str">
        <f t="shared" si="1"/>
        <v>Felipe Díaz Rodríguez</v>
      </c>
      <c r="M371" s="6" t="str">
        <f t="shared" si="2"/>
        <v>20.238.579-6</v>
      </c>
      <c r="N371" s="6" t="str">
        <f t="shared" si="3"/>
        <v>Concepción - Concepción - Región del Biobío</v>
      </c>
      <c r="O371" s="4"/>
    </row>
    <row r="372">
      <c r="A372" s="1" t="s">
        <v>2937</v>
      </c>
      <c r="B372" s="1" t="s">
        <v>2938</v>
      </c>
      <c r="C372" s="1" t="s">
        <v>2940</v>
      </c>
      <c r="D372" s="1" t="s">
        <v>2942</v>
      </c>
      <c r="E372" s="1" t="s">
        <v>158</v>
      </c>
      <c r="F372" s="1" t="s">
        <v>158</v>
      </c>
      <c r="G372" s="1" t="s">
        <v>159</v>
      </c>
      <c r="H372" s="2">
        <v>1.243E7</v>
      </c>
      <c r="I372" s="1">
        <v>0.0</v>
      </c>
      <c r="J372" s="1" t="s">
        <v>28</v>
      </c>
      <c r="K372" s="5">
        <v>46191.0</v>
      </c>
      <c r="L372" s="4" t="str">
        <f t="shared" si="1"/>
        <v>Valentina Contreras Fuentes</v>
      </c>
      <c r="M372" s="6" t="str">
        <f t="shared" si="2"/>
        <v>12.170.250-5</v>
      </c>
      <c r="N372" s="6" t="str">
        <f t="shared" si="3"/>
        <v>Antofagasta - Antofagasta - Región de Antofagasta</v>
      </c>
      <c r="O372" s="4"/>
    </row>
    <row r="373">
      <c r="A373" s="1" t="s">
        <v>2945</v>
      </c>
      <c r="B373" s="1" t="s">
        <v>2946</v>
      </c>
      <c r="C373" s="1" t="s">
        <v>2947</v>
      </c>
      <c r="D373" s="1" t="s">
        <v>71</v>
      </c>
      <c r="E373" s="1" t="s">
        <v>26</v>
      </c>
      <c r="F373" s="1" t="s">
        <v>26</v>
      </c>
      <c r="G373" s="1" t="s">
        <v>27</v>
      </c>
      <c r="H373" s="2">
        <v>2.14E7</v>
      </c>
      <c r="I373" s="1">
        <v>15.0</v>
      </c>
      <c r="J373" s="1" t="s">
        <v>97</v>
      </c>
      <c r="K373" s="5">
        <v>46200.0</v>
      </c>
      <c r="L373" s="4" t="str">
        <f t="shared" si="1"/>
        <v>Tomas López Soto</v>
      </c>
      <c r="M373" s="6" t="str">
        <f t="shared" si="2"/>
        <v>18844610-4</v>
      </c>
      <c r="N373" s="6" t="str">
        <f t="shared" si="3"/>
        <v>Valparaíso - Valparaíso - Región de Valparaíso</v>
      </c>
      <c r="O373" s="4"/>
    </row>
    <row r="374">
      <c r="A374" s="1" t="s">
        <v>2849</v>
      </c>
      <c r="B374" s="1" t="s">
        <v>2851</v>
      </c>
      <c r="C374" s="1" t="s">
        <v>2853</v>
      </c>
      <c r="D374" s="1" t="s">
        <v>2855</v>
      </c>
      <c r="E374" s="1" t="s">
        <v>72</v>
      </c>
      <c r="F374" s="1" t="s">
        <v>62</v>
      </c>
      <c r="G374" s="1" t="s">
        <v>63</v>
      </c>
      <c r="H374" s="2">
        <v>1.388E7</v>
      </c>
      <c r="I374" s="1">
        <v>60.0</v>
      </c>
      <c r="J374" s="1" t="s">
        <v>73</v>
      </c>
      <c r="K374" s="5">
        <v>46179.0</v>
      </c>
      <c r="L374" s="4" t="str">
        <f t="shared" si="1"/>
        <v>Constanza Tapia Sepúlveda</v>
      </c>
      <c r="M374" s="6" t="str">
        <f t="shared" si="2"/>
        <v>21.710.466-4</v>
      </c>
      <c r="N374" s="6" t="str">
        <f t="shared" si="3"/>
        <v>Providencia - Santiago - Región Metropolitana</v>
      </c>
      <c r="O374" s="4"/>
    </row>
    <row r="375">
      <c r="A375" s="1" t="s">
        <v>2951</v>
      </c>
      <c r="B375" s="1" t="s">
        <v>2952</v>
      </c>
      <c r="C375" s="1" t="s">
        <v>2953</v>
      </c>
      <c r="D375" s="1" t="s">
        <v>2954</v>
      </c>
      <c r="E375" s="1" t="s">
        <v>72</v>
      </c>
      <c r="F375" s="1" t="s">
        <v>62</v>
      </c>
      <c r="G375" s="1" t="s">
        <v>63</v>
      </c>
      <c r="H375" s="2">
        <v>1.923E7</v>
      </c>
      <c r="I375" s="1">
        <v>120.0</v>
      </c>
      <c r="J375" s="1" t="s">
        <v>28</v>
      </c>
      <c r="K375" s="5">
        <v>46154.0</v>
      </c>
      <c r="L375" s="4" t="str">
        <f t="shared" si="1"/>
        <v>Cristián Valenzuela Valenzuela</v>
      </c>
      <c r="M375" s="6" t="str">
        <f t="shared" si="2"/>
        <v>18.441.773-K</v>
      </c>
      <c r="N375" s="6" t="str">
        <f t="shared" si="3"/>
        <v>Providencia - Santiago - Región Metropolitana</v>
      </c>
      <c r="O375" s="4"/>
    </row>
    <row r="376">
      <c r="A376" s="1" t="s">
        <v>2955</v>
      </c>
      <c r="B376" s="1" t="s">
        <v>2956</v>
      </c>
      <c r="C376" s="1" t="s">
        <v>2957</v>
      </c>
      <c r="D376" s="1" t="s">
        <v>2958</v>
      </c>
      <c r="E376" s="1" t="s">
        <v>158</v>
      </c>
      <c r="F376" s="1" t="s">
        <v>158</v>
      </c>
      <c r="G376" s="1" t="s">
        <v>159</v>
      </c>
      <c r="H376" s="2">
        <v>1.93E7</v>
      </c>
      <c r="I376" s="1">
        <v>0.0</v>
      </c>
      <c r="J376" s="1" t="s">
        <v>20</v>
      </c>
      <c r="K376" s="5">
        <v>46185.0</v>
      </c>
      <c r="L376" s="4" t="str">
        <f t="shared" si="1"/>
        <v>Paula Morales Silva</v>
      </c>
      <c r="M376" s="6" t="str">
        <f t="shared" si="2"/>
        <v>16.201.734-5</v>
      </c>
      <c r="N376" s="6" t="str">
        <f t="shared" si="3"/>
        <v>Antofagasta - Antofagasta - Región de Antofagasta</v>
      </c>
      <c r="O376" s="4"/>
    </row>
    <row r="377">
      <c r="A377" s="1" t="s">
        <v>2963</v>
      </c>
      <c r="B377" s="1" t="s">
        <v>2964</v>
      </c>
      <c r="C377" s="1" t="s">
        <v>2965</v>
      </c>
      <c r="D377" s="1" t="s">
        <v>2966</v>
      </c>
      <c r="E377" s="1" t="s">
        <v>26</v>
      </c>
      <c r="F377" s="1" t="s">
        <v>26</v>
      </c>
      <c r="G377" s="1" t="s">
        <v>27</v>
      </c>
      <c r="H377" s="2">
        <v>1.615E7</v>
      </c>
      <c r="I377" s="1">
        <v>0.0</v>
      </c>
      <c r="J377" s="1" t="s">
        <v>20</v>
      </c>
      <c r="K377" s="5">
        <v>46216.0</v>
      </c>
      <c r="L377" s="4" t="str">
        <f t="shared" si="1"/>
        <v>Mauricio González Vergara</v>
      </c>
      <c r="M377" s="6" t="str">
        <f t="shared" si="2"/>
        <v>20923128-9</v>
      </c>
      <c r="N377" s="6" t="str">
        <f t="shared" si="3"/>
        <v>Valparaíso - Valparaíso - Región de Valparaíso</v>
      </c>
      <c r="O377" s="4"/>
    </row>
    <row r="378">
      <c r="A378" s="1" t="s">
        <v>1533</v>
      </c>
      <c r="B378" s="1" t="s">
        <v>1534</v>
      </c>
      <c r="C378" s="1" t="s">
        <v>2968</v>
      </c>
      <c r="D378" s="1" t="s">
        <v>1526</v>
      </c>
      <c r="E378" s="1" t="s">
        <v>39</v>
      </c>
      <c r="F378" s="1" t="s">
        <v>39</v>
      </c>
      <c r="G378" s="1" t="s">
        <v>40</v>
      </c>
      <c r="H378" s="2">
        <v>2910000.0</v>
      </c>
      <c r="I378" s="1">
        <v>0.0</v>
      </c>
      <c r="J378" s="1" t="s">
        <v>97</v>
      </c>
      <c r="K378" s="5">
        <v>46108.0</v>
      </c>
      <c r="L378" s="4" t="str">
        <f t="shared" si="1"/>
        <v>Camila Rojas López</v>
      </c>
      <c r="M378" s="6" t="str">
        <f t="shared" si="2"/>
        <v>13.127.689-6</v>
      </c>
      <c r="N378" s="6" t="str">
        <f t="shared" si="3"/>
        <v>Concepción - Concepción - Región del Biobío</v>
      </c>
      <c r="O378" s="4"/>
    </row>
    <row r="379">
      <c r="A379" s="1" t="s">
        <v>2969</v>
      </c>
      <c r="B379" s="1" t="s">
        <v>2970</v>
      </c>
      <c r="C379" s="1" t="s">
        <v>484</v>
      </c>
      <c r="D379" s="1" t="s">
        <v>2971</v>
      </c>
      <c r="E379" s="1" t="s">
        <v>56</v>
      </c>
      <c r="F379" s="1" t="s">
        <v>39</v>
      </c>
      <c r="G379" s="1" t="s">
        <v>40</v>
      </c>
      <c r="H379" s="2">
        <v>1380000.0</v>
      </c>
      <c r="I379" s="1">
        <v>0.0</v>
      </c>
      <c r="J379" s="1" t="s">
        <v>47</v>
      </c>
      <c r="K379" s="5">
        <v>46107.0</v>
      </c>
      <c r="L379" s="4" t="str">
        <f t="shared" si="1"/>
        <v>Mauricio Rodríguez Rojas</v>
      </c>
      <c r="M379" s="6" t="str">
        <f t="shared" si="2"/>
        <v>12.819.085-3</v>
      </c>
      <c r="N379" s="6" t="str">
        <f t="shared" si="3"/>
        <v>Talcahuano - Concepción - Región del Biobío</v>
      </c>
      <c r="O379" s="4"/>
    </row>
    <row r="380">
      <c r="A380" s="1" t="s">
        <v>1758</v>
      </c>
      <c r="B380" s="1" t="s">
        <v>1759</v>
      </c>
      <c r="C380" s="1" t="s">
        <v>2972</v>
      </c>
      <c r="D380" s="1" t="s">
        <v>1762</v>
      </c>
      <c r="E380" s="1" t="s">
        <v>118</v>
      </c>
      <c r="F380" s="1" t="s">
        <v>62</v>
      </c>
      <c r="G380" s="1" t="s">
        <v>63</v>
      </c>
      <c r="H380" s="2">
        <v>1.859E7</v>
      </c>
      <c r="I380" s="1">
        <v>60.0</v>
      </c>
      <c r="J380" s="1" t="s">
        <v>97</v>
      </c>
      <c r="K380" s="5">
        <v>46144.0</v>
      </c>
      <c r="L380" s="4" t="str">
        <f t="shared" si="1"/>
        <v>Carolina Espinoza Díaz</v>
      </c>
      <c r="M380" s="6" t="str">
        <f t="shared" si="2"/>
        <v>15.243.099-8</v>
      </c>
      <c r="N380" s="6" t="str">
        <f t="shared" si="3"/>
        <v>Maipú - Santiago - Región Metropolitana</v>
      </c>
      <c r="O380" s="4"/>
    </row>
    <row r="381">
      <c r="A381" s="1" t="s">
        <v>2636</v>
      </c>
      <c r="B381" s="1" t="s">
        <v>2638</v>
      </c>
      <c r="C381" s="1" t="s">
        <v>2977</v>
      </c>
      <c r="D381" s="1" t="s">
        <v>2641</v>
      </c>
      <c r="E381" s="1" t="s">
        <v>158</v>
      </c>
      <c r="F381" s="1" t="s">
        <v>158</v>
      </c>
      <c r="G381" s="1" t="s">
        <v>159</v>
      </c>
      <c r="H381" s="2">
        <v>5880000.0</v>
      </c>
      <c r="I381" s="1">
        <v>0.0</v>
      </c>
      <c r="J381" s="1" t="s">
        <v>47</v>
      </c>
      <c r="K381" s="5">
        <v>46048.0</v>
      </c>
      <c r="L381" s="4" t="str">
        <f t="shared" si="1"/>
        <v>Claudio Rojas Pérez</v>
      </c>
      <c r="M381" s="6" t="str">
        <f t="shared" si="2"/>
        <v>12340018-9</v>
      </c>
      <c r="N381" s="6" t="str">
        <f t="shared" si="3"/>
        <v>Antofagasta - Antofagasta - Región de Antofagasta</v>
      </c>
      <c r="O381" s="4"/>
    </row>
    <row r="382">
      <c r="A382" s="1" t="s">
        <v>2840</v>
      </c>
      <c r="B382" s="1" t="s">
        <v>2841</v>
      </c>
      <c r="C382" s="1" t="s">
        <v>2842</v>
      </c>
      <c r="D382" s="1" t="s">
        <v>2843</v>
      </c>
      <c r="E382" s="1" t="s">
        <v>18</v>
      </c>
      <c r="F382" s="1" t="s">
        <v>18</v>
      </c>
      <c r="G382" s="1" t="s">
        <v>19</v>
      </c>
      <c r="H382" s="2">
        <v>3440000.0</v>
      </c>
      <c r="I382" s="1">
        <v>0.0</v>
      </c>
      <c r="J382" s="1" t="s">
        <v>97</v>
      </c>
      <c r="K382" s="5">
        <v>46078.0</v>
      </c>
      <c r="L382" s="4" t="str">
        <f t="shared" si="1"/>
        <v>Constanza Silva Muñoz</v>
      </c>
      <c r="M382" s="6" t="str">
        <f t="shared" si="2"/>
        <v>19.227.000-9</v>
      </c>
      <c r="N382" s="6" t="str">
        <f t="shared" si="3"/>
        <v>La Serena - La Serena - Región de Coquimbo</v>
      </c>
      <c r="O382" s="4"/>
    </row>
    <row r="383">
      <c r="A383" s="1" t="s">
        <v>2985</v>
      </c>
      <c r="B383" s="1" t="s">
        <v>2987</v>
      </c>
      <c r="C383" s="1" t="s">
        <v>2988</v>
      </c>
      <c r="D383" s="1" t="s">
        <v>2989</v>
      </c>
      <c r="E383" s="1" t="s">
        <v>109</v>
      </c>
      <c r="F383" s="1" t="s">
        <v>62</v>
      </c>
      <c r="G383" s="1" t="s">
        <v>63</v>
      </c>
      <c r="H383" s="2">
        <v>9310000.0</v>
      </c>
      <c r="I383" s="1">
        <v>0.0</v>
      </c>
      <c r="J383" s="1" t="s">
        <v>73</v>
      </c>
      <c r="K383" s="5">
        <v>46059.0</v>
      </c>
      <c r="L383" s="4" t="str">
        <f t="shared" si="1"/>
        <v>Ignacio Pérez Vergara</v>
      </c>
      <c r="M383" s="6" t="str">
        <f t="shared" si="2"/>
        <v>13.686.668-5</v>
      </c>
      <c r="N383" s="6" t="str">
        <f t="shared" si="3"/>
        <v>Ñuñoa - Santiago - Región Metropolitana</v>
      </c>
      <c r="O383" s="4"/>
    </row>
    <row r="384">
      <c r="A384" s="1" t="s">
        <v>2990</v>
      </c>
      <c r="B384" s="1" t="s">
        <v>2991</v>
      </c>
      <c r="C384" s="1" t="s">
        <v>2992</v>
      </c>
      <c r="D384" s="1" t="s">
        <v>2993</v>
      </c>
      <c r="E384" s="1" t="s">
        <v>25</v>
      </c>
      <c r="F384" s="1" t="s">
        <v>26</v>
      </c>
      <c r="G384" s="1" t="s">
        <v>27</v>
      </c>
      <c r="H384" s="2">
        <v>2.047E7</v>
      </c>
      <c r="I384" s="1">
        <v>0.0</v>
      </c>
      <c r="J384" s="1" t="s">
        <v>28</v>
      </c>
      <c r="K384" s="5">
        <v>46071.0</v>
      </c>
      <c r="L384" s="4" t="str">
        <f t="shared" si="1"/>
        <v>Paula Fuentes Rojas</v>
      </c>
      <c r="M384" s="6" t="str">
        <f t="shared" si="2"/>
        <v>11.155.046-6</v>
      </c>
      <c r="N384" s="6" t="str">
        <f t="shared" si="3"/>
        <v>Viña del Mar - Valparaíso - Región de Valparaíso</v>
      </c>
      <c r="O384" s="4"/>
    </row>
    <row r="385">
      <c r="A385" s="1" t="s">
        <v>2995</v>
      </c>
      <c r="B385" s="1" t="s">
        <v>2996</v>
      </c>
      <c r="C385" s="1" t="s">
        <v>2997</v>
      </c>
      <c r="D385" s="1" t="s">
        <v>2998</v>
      </c>
      <c r="E385" s="1" t="s">
        <v>158</v>
      </c>
      <c r="F385" s="1" t="s">
        <v>158</v>
      </c>
      <c r="G385" s="1" t="s">
        <v>159</v>
      </c>
      <c r="H385" s="2">
        <v>2.039E7</v>
      </c>
      <c r="I385" s="1">
        <v>0.0</v>
      </c>
      <c r="J385" s="1" t="s">
        <v>28</v>
      </c>
      <c r="K385" s="5">
        <v>46041.0</v>
      </c>
      <c r="L385" s="4" t="str">
        <f t="shared" si="1"/>
        <v>Mauricio Sepúlveda Rojas</v>
      </c>
      <c r="M385" s="6" t="str">
        <f t="shared" si="2"/>
        <v>18.925.361-6</v>
      </c>
      <c r="N385" s="6" t="str">
        <f t="shared" si="3"/>
        <v>Antofagasta - Antofagasta - Región de Antofagasta</v>
      </c>
      <c r="O385" s="4"/>
    </row>
    <row r="386">
      <c r="A386" s="1" t="s">
        <v>2999</v>
      </c>
      <c r="B386" s="1" t="s">
        <v>3000</v>
      </c>
      <c r="C386" s="1" t="s">
        <v>3001</v>
      </c>
      <c r="D386" s="1" t="s">
        <v>415</v>
      </c>
      <c r="E386" s="1" t="s">
        <v>56</v>
      </c>
      <c r="F386" s="1" t="s">
        <v>39</v>
      </c>
      <c r="G386" s="1" t="s">
        <v>40</v>
      </c>
      <c r="H386" s="2">
        <v>7710000.0</v>
      </c>
      <c r="I386" s="1">
        <v>0.0</v>
      </c>
      <c r="J386" s="1" t="s">
        <v>73</v>
      </c>
      <c r="K386" s="5">
        <v>46167.0</v>
      </c>
      <c r="L386" s="4" t="str">
        <f t="shared" si="1"/>
        <v>Javiera Araya Rojas</v>
      </c>
      <c r="M386" s="6" t="str">
        <f t="shared" si="2"/>
        <v>17.830.539-7</v>
      </c>
      <c r="N386" s="6" t="str">
        <f t="shared" si="3"/>
        <v>Talcahuano - Concepción - Región del Biobío</v>
      </c>
      <c r="O386" s="4"/>
    </row>
    <row r="387">
      <c r="A387" s="1" t="s">
        <v>240</v>
      </c>
      <c r="B387" s="1" t="s">
        <v>241</v>
      </c>
      <c r="C387" s="1" t="s">
        <v>242</v>
      </c>
      <c r="D387" s="1" t="s">
        <v>243</v>
      </c>
      <c r="E387" s="1" t="s">
        <v>118</v>
      </c>
      <c r="F387" s="1" t="s">
        <v>62</v>
      </c>
      <c r="G387" s="1" t="s">
        <v>63</v>
      </c>
      <c r="H387" s="2">
        <v>2150000.0</v>
      </c>
      <c r="I387" s="1">
        <v>60.0</v>
      </c>
      <c r="J387" s="1" t="s">
        <v>20</v>
      </c>
      <c r="K387" s="5">
        <v>46077.0</v>
      </c>
      <c r="L387" s="4" t="str">
        <f t="shared" si="1"/>
        <v>Álvaro López Silva</v>
      </c>
      <c r="M387" s="6" t="str">
        <f t="shared" si="2"/>
        <v>15107618-7</v>
      </c>
      <c r="N387" s="6" t="str">
        <f t="shared" si="3"/>
        <v>Maipú - Santiago - Región Metropolitana</v>
      </c>
      <c r="O387" s="4"/>
    </row>
    <row r="388">
      <c r="A388" s="1" t="s">
        <v>3010</v>
      </c>
      <c r="B388" s="1" t="s">
        <v>3011</v>
      </c>
      <c r="C388" s="1" t="s">
        <v>3012</v>
      </c>
      <c r="D388" s="1" t="s">
        <v>3013</v>
      </c>
      <c r="E388" s="1" t="s">
        <v>18</v>
      </c>
      <c r="F388" s="1" t="s">
        <v>18</v>
      </c>
      <c r="G388" s="1" t="s">
        <v>19</v>
      </c>
      <c r="H388" s="2">
        <v>1910000.0</v>
      </c>
      <c r="I388" s="1">
        <v>15.0</v>
      </c>
      <c r="J388" s="1" t="s">
        <v>97</v>
      </c>
      <c r="K388" s="5">
        <v>46070.0</v>
      </c>
      <c r="L388" s="4" t="str">
        <f t="shared" si="1"/>
        <v>Marcela Rojas Muñoz</v>
      </c>
      <c r="M388" s="6" t="str">
        <f t="shared" si="2"/>
        <v>14831577-1</v>
      </c>
      <c r="N388" s="6" t="str">
        <f t="shared" si="3"/>
        <v>La Serena - La Serena - Región de Coquimbo</v>
      </c>
      <c r="O388" s="4"/>
    </row>
    <row r="389">
      <c r="A389" s="1" t="s">
        <v>3018</v>
      </c>
      <c r="B389" s="1" t="s">
        <v>3019</v>
      </c>
      <c r="C389" s="1" t="s">
        <v>3020</v>
      </c>
      <c r="D389" s="1" t="s">
        <v>3021</v>
      </c>
      <c r="E389" s="1" t="s">
        <v>72</v>
      </c>
      <c r="F389" s="1" t="s">
        <v>62</v>
      </c>
      <c r="G389" s="1" t="s">
        <v>63</v>
      </c>
      <c r="H389" s="2">
        <v>1.865E7</v>
      </c>
      <c r="I389" s="1">
        <v>45.0</v>
      </c>
      <c r="J389" s="1" t="s">
        <v>73</v>
      </c>
      <c r="K389" s="5">
        <v>46214.0</v>
      </c>
      <c r="L389" s="4" t="str">
        <f t="shared" si="1"/>
        <v>Gabriel Muñoz Espinoza</v>
      </c>
      <c r="M389" s="6" t="str">
        <f t="shared" si="2"/>
        <v>21.035.069-7</v>
      </c>
      <c r="N389" s="6" t="str">
        <f t="shared" si="3"/>
        <v>Providencia - Santiago - Región Metropolitana</v>
      </c>
      <c r="O389" s="4"/>
    </row>
    <row r="390">
      <c r="A390" s="1" t="s">
        <v>3022</v>
      </c>
      <c r="B390" s="1" t="s">
        <v>3023</v>
      </c>
      <c r="C390" s="1" t="s">
        <v>3024</v>
      </c>
      <c r="D390" s="1" t="s">
        <v>3025</v>
      </c>
      <c r="E390" s="1" t="s">
        <v>118</v>
      </c>
      <c r="F390" s="1" t="s">
        <v>62</v>
      </c>
      <c r="G390" s="1" t="s">
        <v>63</v>
      </c>
      <c r="H390" s="2">
        <v>1.759E7</v>
      </c>
      <c r="I390" s="1">
        <v>120.0</v>
      </c>
      <c r="J390" s="1" t="s">
        <v>20</v>
      </c>
      <c r="K390" s="5">
        <v>46069.0</v>
      </c>
      <c r="L390" s="4" t="str">
        <f t="shared" si="1"/>
        <v>Javiera Espinoza Contreras</v>
      </c>
      <c r="M390" s="6" t="str">
        <f t="shared" si="2"/>
        <v>17.114.870-6</v>
      </c>
      <c r="N390" s="6" t="str">
        <f t="shared" si="3"/>
        <v>Maipú - Santiago - Región Metropolitana</v>
      </c>
      <c r="O390" s="4"/>
    </row>
    <row r="391">
      <c r="A391" s="1" t="s">
        <v>3014</v>
      </c>
      <c r="B391" s="1" t="s">
        <v>3015</v>
      </c>
      <c r="C391" s="1" t="s">
        <v>3016</v>
      </c>
      <c r="D391" s="1" t="s">
        <v>3017</v>
      </c>
      <c r="E391" s="1" t="s">
        <v>194</v>
      </c>
      <c r="F391" s="1" t="s">
        <v>62</v>
      </c>
      <c r="G391" s="1" t="s">
        <v>63</v>
      </c>
      <c r="H391" s="2">
        <v>2.138E7</v>
      </c>
      <c r="I391" s="1">
        <v>30.0</v>
      </c>
      <c r="J391" s="1" t="s">
        <v>47</v>
      </c>
      <c r="K391" s="5">
        <v>46087.0</v>
      </c>
      <c r="L391" s="4" t="str">
        <f t="shared" si="1"/>
        <v>Cristián Soto Tapia</v>
      </c>
      <c r="M391" s="6" t="str">
        <f t="shared" si="2"/>
        <v>13.709.077-9</v>
      </c>
      <c r="N391" s="6" t="str">
        <f t="shared" si="3"/>
        <v>Las Condes - Santiago - Región Metropolitana</v>
      </c>
      <c r="O391" s="4"/>
    </row>
    <row r="392">
      <c r="A392" s="1" t="s">
        <v>617</v>
      </c>
      <c r="B392" s="1" t="s">
        <v>618</v>
      </c>
      <c r="C392" s="1" t="s">
        <v>3026</v>
      </c>
      <c r="D392" s="1" t="s">
        <v>621</v>
      </c>
      <c r="E392" s="1" t="s">
        <v>39</v>
      </c>
      <c r="F392" s="1" t="s">
        <v>39</v>
      </c>
      <c r="G392" s="1" t="s">
        <v>40</v>
      </c>
      <c r="H392" s="2">
        <v>1.036E7</v>
      </c>
      <c r="I392" s="1">
        <v>0.0</v>
      </c>
      <c r="J392" s="1" t="s">
        <v>47</v>
      </c>
      <c r="K392" s="5">
        <v>46028.0</v>
      </c>
      <c r="L392" s="4" t="str">
        <f t="shared" si="1"/>
        <v>Andrea Díaz Tapia</v>
      </c>
      <c r="M392" s="6" t="str">
        <f t="shared" si="2"/>
        <v>12727815-0</v>
      </c>
      <c r="N392" s="6" t="str">
        <f t="shared" si="3"/>
        <v>Concepción - Concepción - Región del Biobío</v>
      </c>
      <c r="O392" s="4"/>
    </row>
    <row r="393">
      <c r="A393" s="1" t="s">
        <v>3029</v>
      </c>
      <c r="B393" s="1" t="s">
        <v>3031</v>
      </c>
      <c r="C393" s="1" t="s">
        <v>3033</v>
      </c>
      <c r="D393" s="1" t="s">
        <v>3034</v>
      </c>
      <c r="E393" s="1" t="s">
        <v>33</v>
      </c>
      <c r="F393" s="1" t="s">
        <v>33</v>
      </c>
      <c r="G393" s="1" t="s">
        <v>34</v>
      </c>
      <c r="H393" s="2">
        <v>9540000.0</v>
      </c>
      <c r="I393" s="1">
        <v>60.0</v>
      </c>
      <c r="J393" s="1" t="s">
        <v>28</v>
      </c>
      <c r="K393" s="5">
        <v>46220.0</v>
      </c>
      <c r="L393" s="4" t="str">
        <f t="shared" si="1"/>
        <v>Mauricio Díaz Silva</v>
      </c>
      <c r="M393" s="6" t="str">
        <f t="shared" si="2"/>
        <v>16.731.889-7</v>
      </c>
      <c r="N393" s="6" t="str">
        <f t="shared" si="3"/>
        <v>Puerto Montt - Puerto Montt - Región de Los Lagos</v>
      </c>
      <c r="O393" s="4"/>
    </row>
    <row r="394">
      <c r="A394" s="1" t="s">
        <v>2133</v>
      </c>
      <c r="B394" s="1" t="s">
        <v>2134</v>
      </c>
      <c r="C394" s="1" t="s">
        <v>3035</v>
      </c>
      <c r="D394" s="1" t="s">
        <v>2138</v>
      </c>
      <c r="E394" s="1" t="s">
        <v>56</v>
      </c>
      <c r="F394" s="1" t="s">
        <v>39</v>
      </c>
      <c r="G394" s="1" t="s">
        <v>40</v>
      </c>
      <c r="H394" s="2">
        <v>2380000.0</v>
      </c>
      <c r="I394" s="1">
        <v>120.0</v>
      </c>
      <c r="J394" s="1" t="s">
        <v>47</v>
      </c>
      <c r="K394" s="5">
        <v>46046.0</v>
      </c>
      <c r="L394" s="4" t="str">
        <f t="shared" si="1"/>
        <v>Catalina Espinoza Valenzuela</v>
      </c>
      <c r="M394" s="6" t="str">
        <f t="shared" si="2"/>
        <v>15.941.938-2</v>
      </c>
      <c r="N394" s="6" t="str">
        <f t="shared" si="3"/>
        <v>Talcahuano - Concepción - Región del Biobío</v>
      </c>
      <c r="O394" s="4"/>
    </row>
    <row r="395">
      <c r="A395" s="1" t="s">
        <v>3037</v>
      </c>
      <c r="B395" s="1" t="s">
        <v>3038</v>
      </c>
      <c r="C395" s="1" t="s">
        <v>3039</v>
      </c>
      <c r="D395" s="1" t="s">
        <v>3040</v>
      </c>
      <c r="E395" s="1" t="s">
        <v>72</v>
      </c>
      <c r="F395" s="1" t="s">
        <v>62</v>
      </c>
      <c r="G395" s="1" t="s">
        <v>63</v>
      </c>
      <c r="H395" s="2">
        <v>1820000.0</v>
      </c>
      <c r="I395" s="1">
        <v>45.0</v>
      </c>
      <c r="J395" s="1" t="s">
        <v>73</v>
      </c>
      <c r="K395" s="5">
        <v>46149.0</v>
      </c>
      <c r="L395" s="4" t="str">
        <f t="shared" si="1"/>
        <v>Esteban Vergara Pérez</v>
      </c>
      <c r="M395" s="6" t="str">
        <f t="shared" si="2"/>
        <v>13214911-5</v>
      </c>
      <c r="N395" s="6" t="str">
        <f t="shared" si="3"/>
        <v>Providencia - Santiago - Región Metropolitana</v>
      </c>
      <c r="O395" s="4"/>
    </row>
    <row r="396">
      <c r="A396" s="1" t="s">
        <v>1692</v>
      </c>
      <c r="B396" s="1" t="s">
        <v>1693</v>
      </c>
      <c r="C396" s="1" t="s">
        <v>1695</v>
      </c>
      <c r="D396" s="1" t="s">
        <v>1697</v>
      </c>
      <c r="E396" s="1" t="s">
        <v>158</v>
      </c>
      <c r="F396" s="1" t="s">
        <v>158</v>
      </c>
      <c r="G396" s="1" t="s">
        <v>159</v>
      </c>
      <c r="H396" s="2">
        <v>1.968E7</v>
      </c>
      <c r="I396" s="1">
        <v>0.0</v>
      </c>
      <c r="J396" s="1" t="s">
        <v>97</v>
      </c>
      <c r="K396" s="5">
        <v>46033.0</v>
      </c>
      <c r="L396" s="4" t="str">
        <f t="shared" si="1"/>
        <v>Carolina Araya López</v>
      </c>
      <c r="M396" s="6" t="str">
        <f t="shared" si="2"/>
        <v>21.406.401-6</v>
      </c>
      <c r="N396" s="6" t="str">
        <f t="shared" si="3"/>
        <v>Antofagasta - Antofagasta - Región de Antofagasta</v>
      </c>
      <c r="O396" s="4"/>
    </row>
    <row r="397">
      <c r="A397" s="1" t="s">
        <v>3046</v>
      </c>
      <c r="B397" s="1" t="s">
        <v>3047</v>
      </c>
      <c r="C397" s="1" t="s">
        <v>3048</v>
      </c>
      <c r="D397" s="1" t="s">
        <v>3049</v>
      </c>
      <c r="E397" s="1" t="s">
        <v>56</v>
      </c>
      <c r="F397" s="1" t="s">
        <v>39</v>
      </c>
      <c r="G397" s="1" t="s">
        <v>40</v>
      </c>
      <c r="H397" s="2">
        <v>1.697E7</v>
      </c>
      <c r="I397" s="1">
        <v>30.0</v>
      </c>
      <c r="J397" s="1" t="s">
        <v>28</v>
      </c>
      <c r="K397" s="5">
        <v>46228.0</v>
      </c>
      <c r="L397" s="4" t="str">
        <f t="shared" si="1"/>
        <v>Esteban Díaz Rojas</v>
      </c>
      <c r="M397" s="6" t="str">
        <f t="shared" si="2"/>
        <v>16.484.106-5</v>
      </c>
      <c r="N397" s="6" t="str">
        <f t="shared" si="3"/>
        <v>Talcahuano - Concepción - Región del Biobío</v>
      </c>
      <c r="O397" s="4"/>
    </row>
    <row r="398">
      <c r="A398" s="1" t="s">
        <v>3051</v>
      </c>
      <c r="B398" s="1" t="s">
        <v>3052</v>
      </c>
      <c r="C398" s="1" t="s">
        <v>3053</v>
      </c>
      <c r="D398" s="1" t="s">
        <v>3054</v>
      </c>
      <c r="E398" s="1" t="s">
        <v>61</v>
      </c>
      <c r="F398" s="1" t="s">
        <v>62</v>
      </c>
      <c r="G398" s="1" t="s">
        <v>63</v>
      </c>
      <c r="H398" s="2">
        <v>9840000.0</v>
      </c>
      <c r="I398" s="1">
        <v>0.0</v>
      </c>
      <c r="J398" s="1" t="s">
        <v>73</v>
      </c>
      <c r="K398" s="5">
        <v>46095.0</v>
      </c>
      <c r="L398" s="4" t="str">
        <f t="shared" si="1"/>
        <v>Marcela Sepúlveda Pérez</v>
      </c>
      <c r="M398" s="6" t="str">
        <f t="shared" si="2"/>
        <v>11.947.956-9</v>
      </c>
      <c r="N398" s="6" t="str">
        <f t="shared" si="3"/>
        <v>Santiago Centro - Santiago - Región Metropolitana</v>
      </c>
      <c r="O398" s="4"/>
    </row>
    <row r="399">
      <c r="A399" s="1" t="s">
        <v>3055</v>
      </c>
      <c r="B399" s="1" t="s">
        <v>3057</v>
      </c>
      <c r="C399" s="1" t="s">
        <v>3059</v>
      </c>
      <c r="D399" s="1" t="s">
        <v>3061</v>
      </c>
      <c r="E399" s="1" t="s">
        <v>194</v>
      </c>
      <c r="F399" s="1" t="s">
        <v>62</v>
      </c>
      <c r="G399" s="1" t="s">
        <v>63</v>
      </c>
      <c r="H399" s="2">
        <v>1.636E7</v>
      </c>
      <c r="I399" s="1">
        <v>90.0</v>
      </c>
      <c r="J399" s="1" t="s">
        <v>73</v>
      </c>
      <c r="K399" s="5">
        <v>46223.0</v>
      </c>
      <c r="L399" s="4" t="str">
        <f t="shared" si="1"/>
        <v>Diego Contreras Araya</v>
      </c>
      <c r="M399" s="6" t="str">
        <f t="shared" si="2"/>
        <v>14084888-K</v>
      </c>
      <c r="N399" s="6" t="str">
        <f t="shared" si="3"/>
        <v>Las Condes - Santiago - Región Metropolitana</v>
      </c>
      <c r="O399" s="4"/>
    </row>
    <row r="400">
      <c r="A400" s="1" t="s">
        <v>3063</v>
      </c>
      <c r="B400" s="1" t="s">
        <v>3064</v>
      </c>
      <c r="C400" s="1" t="s">
        <v>3065</v>
      </c>
      <c r="D400" s="1" t="s">
        <v>2582</v>
      </c>
      <c r="E400" s="1" t="s">
        <v>72</v>
      </c>
      <c r="F400" s="1" t="s">
        <v>62</v>
      </c>
      <c r="G400" s="1" t="s">
        <v>63</v>
      </c>
      <c r="H400" s="2">
        <v>1.151E7</v>
      </c>
      <c r="I400" s="1">
        <v>90.0</v>
      </c>
      <c r="J400" s="1" t="s">
        <v>97</v>
      </c>
      <c r="K400" s="5">
        <v>46206.0</v>
      </c>
      <c r="L400" s="4" t="str">
        <f t="shared" si="1"/>
        <v>Macarena Muñoz Morales</v>
      </c>
      <c r="M400" s="6" t="str">
        <f t="shared" si="2"/>
        <v>22.392.295-7</v>
      </c>
      <c r="N400" s="6" t="str">
        <f t="shared" si="3"/>
        <v>Providencia - Santiago - Región Metropolitana</v>
      </c>
      <c r="O400" s="4"/>
    </row>
    <row r="401">
      <c r="A401" s="1" t="s">
        <v>3066</v>
      </c>
      <c r="B401" s="1" t="s">
        <v>3068</v>
      </c>
      <c r="C401" s="1" t="s">
        <v>3070</v>
      </c>
      <c r="D401" s="1" t="s">
        <v>3072</v>
      </c>
      <c r="E401" s="1" t="s">
        <v>158</v>
      </c>
      <c r="F401" s="1" t="s">
        <v>158</v>
      </c>
      <c r="G401" s="1" t="s">
        <v>159</v>
      </c>
      <c r="H401" s="2">
        <v>3090000.0</v>
      </c>
      <c r="I401" s="1">
        <v>30.0</v>
      </c>
      <c r="J401" s="1" t="s">
        <v>20</v>
      </c>
      <c r="K401" s="5">
        <v>46160.0</v>
      </c>
      <c r="L401" s="4" t="str">
        <f t="shared" si="1"/>
        <v>Rodrigo Contreras Soto</v>
      </c>
      <c r="M401" s="6" t="str">
        <f t="shared" si="2"/>
        <v>13411907-8</v>
      </c>
      <c r="N401" s="6" t="str">
        <f t="shared" si="3"/>
        <v>Antofagasta - Antofagasta - Región de Antofagasta</v>
      </c>
      <c r="O401" s="4"/>
    </row>
    <row r="402">
      <c r="A402" s="1" t="s">
        <v>3074</v>
      </c>
      <c r="B402" s="1" t="s">
        <v>3075</v>
      </c>
      <c r="C402" s="1" t="s">
        <v>3076</v>
      </c>
      <c r="D402" s="1" t="s">
        <v>3077</v>
      </c>
      <c r="E402" s="1" t="s">
        <v>72</v>
      </c>
      <c r="F402" s="1" t="s">
        <v>62</v>
      </c>
      <c r="G402" s="1" t="s">
        <v>63</v>
      </c>
      <c r="H402" s="2">
        <v>1.306E7</v>
      </c>
      <c r="I402" s="1">
        <v>30.0</v>
      </c>
      <c r="J402" s="1" t="s">
        <v>97</v>
      </c>
      <c r="K402" s="5">
        <v>46133.0</v>
      </c>
      <c r="L402" s="4" t="str">
        <f t="shared" si="1"/>
        <v>Paula Sepúlveda Sepúlveda</v>
      </c>
      <c r="M402" s="6" t="str">
        <f t="shared" si="2"/>
        <v>19.452.816-9</v>
      </c>
      <c r="N402" s="6" t="str">
        <f t="shared" si="3"/>
        <v>Providencia - Santiago - Región Metropolitana</v>
      </c>
      <c r="O402" s="4"/>
    </row>
    <row r="403">
      <c r="A403" s="1" t="s">
        <v>3078</v>
      </c>
      <c r="B403" s="1" t="s">
        <v>3079</v>
      </c>
      <c r="C403" s="1" t="s">
        <v>3080</v>
      </c>
      <c r="D403" s="1" t="s">
        <v>2230</v>
      </c>
      <c r="E403" s="1" t="s">
        <v>26</v>
      </c>
      <c r="F403" s="1" t="s">
        <v>26</v>
      </c>
      <c r="G403" s="1" t="s">
        <v>27</v>
      </c>
      <c r="H403" s="2">
        <v>780000.0</v>
      </c>
      <c r="I403" s="1">
        <v>0.0</v>
      </c>
      <c r="J403" s="1" t="s">
        <v>73</v>
      </c>
      <c r="K403" s="5">
        <v>46126.0</v>
      </c>
      <c r="L403" s="4" t="str">
        <f t="shared" si="1"/>
        <v>Javier Tapia Espinoza</v>
      </c>
      <c r="M403" s="6" t="str">
        <f t="shared" si="2"/>
        <v>11.094.056-2</v>
      </c>
      <c r="N403" s="6" t="str">
        <f t="shared" si="3"/>
        <v>Valparaíso - Valparaíso - Región de Valparaíso</v>
      </c>
      <c r="O403" s="4"/>
    </row>
    <row r="404">
      <c r="A404" s="1" t="s">
        <v>3081</v>
      </c>
      <c r="B404" s="1" t="s">
        <v>3082</v>
      </c>
      <c r="C404" s="1" t="s">
        <v>3083</v>
      </c>
      <c r="D404" s="1" t="s">
        <v>3084</v>
      </c>
      <c r="E404" s="1" t="s">
        <v>39</v>
      </c>
      <c r="F404" s="1" t="s">
        <v>39</v>
      </c>
      <c r="G404" s="1" t="s">
        <v>40</v>
      </c>
      <c r="H404" s="2">
        <v>640000.0</v>
      </c>
      <c r="I404" s="1">
        <v>15.0</v>
      </c>
      <c r="J404" s="1" t="s">
        <v>73</v>
      </c>
      <c r="K404" s="5">
        <v>46070.0</v>
      </c>
      <c r="L404" s="4" t="str">
        <f t="shared" si="1"/>
        <v>Javiera Fuentes Morales</v>
      </c>
      <c r="M404" s="6" t="str">
        <f t="shared" si="2"/>
        <v>14.637.441-K</v>
      </c>
      <c r="N404" s="6" t="str">
        <f t="shared" si="3"/>
        <v>Concepción - Concepción - Región del Biobío</v>
      </c>
      <c r="O404" s="4"/>
    </row>
    <row r="405">
      <c r="A405" s="1" t="s">
        <v>3085</v>
      </c>
      <c r="B405" s="1" t="s">
        <v>3086</v>
      </c>
      <c r="C405" s="1" t="s">
        <v>3087</v>
      </c>
      <c r="D405" s="1" t="s">
        <v>3088</v>
      </c>
      <c r="E405" s="1" t="s">
        <v>45</v>
      </c>
      <c r="F405" s="1" t="s">
        <v>45</v>
      </c>
      <c r="G405" s="1" t="s">
        <v>46</v>
      </c>
      <c r="H405" s="2">
        <v>2160000.0</v>
      </c>
      <c r="I405" s="1">
        <v>60.0</v>
      </c>
      <c r="J405" s="1" t="s">
        <v>20</v>
      </c>
      <c r="K405" s="5">
        <v>46076.0</v>
      </c>
      <c r="L405" s="4" t="str">
        <f t="shared" si="1"/>
        <v>Rodrigo Soto Vergara</v>
      </c>
      <c r="M405" s="6" t="str">
        <f t="shared" si="2"/>
        <v>21.906.214-3</v>
      </c>
      <c r="N405" s="6" t="str">
        <f t="shared" si="3"/>
        <v>Temuco - Temuco - Región de la Araucanía</v>
      </c>
      <c r="O405" s="4"/>
    </row>
    <row r="406">
      <c r="A406" s="1" t="s">
        <v>2273</v>
      </c>
      <c r="B406" s="1" t="s">
        <v>2274</v>
      </c>
      <c r="C406" s="1" t="s">
        <v>2275</v>
      </c>
      <c r="D406" s="1" t="s">
        <v>2277</v>
      </c>
      <c r="E406" s="1" t="s">
        <v>26</v>
      </c>
      <c r="F406" s="1" t="s">
        <v>26</v>
      </c>
      <c r="G406" s="1" t="s">
        <v>27</v>
      </c>
      <c r="H406" s="2">
        <v>1.878E7</v>
      </c>
      <c r="I406" s="1">
        <v>0.0</v>
      </c>
      <c r="J406" s="1" t="s">
        <v>97</v>
      </c>
      <c r="K406" s="5">
        <v>46098.0</v>
      </c>
      <c r="L406" s="4" t="str">
        <f t="shared" si="1"/>
        <v>Catalina Pérez Díaz</v>
      </c>
      <c r="M406" s="6" t="str">
        <f t="shared" si="2"/>
        <v>19.780.884-9</v>
      </c>
      <c r="N406" s="6" t="str">
        <f t="shared" si="3"/>
        <v>Valparaíso - Valparaíso - Región de Valparaíso</v>
      </c>
      <c r="O406" s="4"/>
    </row>
    <row r="407">
      <c r="A407" s="1" t="s">
        <v>3091</v>
      </c>
      <c r="B407" s="1" t="s">
        <v>3092</v>
      </c>
      <c r="C407" s="1" t="s">
        <v>3093</v>
      </c>
      <c r="D407" s="1" t="s">
        <v>3094</v>
      </c>
      <c r="E407" s="1" t="s">
        <v>33</v>
      </c>
      <c r="F407" s="1" t="s">
        <v>33</v>
      </c>
      <c r="G407" s="1" t="s">
        <v>34</v>
      </c>
      <c r="H407" s="2">
        <v>1.574E7</v>
      </c>
      <c r="I407" s="1">
        <v>15.0</v>
      </c>
      <c r="J407" s="1" t="s">
        <v>73</v>
      </c>
      <c r="K407" s="5">
        <v>46126.0</v>
      </c>
      <c r="L407" s="4" t="str">
        <f t="shared" si="1"/>
        <v>Hernán López Contreras</v>
      </c>
      <c r="M407" s="6" t="str">
        <f t="shared" si="2"/>
        <v>19.719.398-K</v>
      </c>
      <c r="N407" s="6" t="str">
        <f t="shared" si="3"/>
        <v>Puerto Montt - Puerto Montt - Región de Los Lagos</v>
      </c>
      <c r="O407" s="4"/>
    </row>
    <row r="408">
      <c r="A408" s="1" t="s">
        <v>1177</v>
      </c>
      <c r="B408" s="1" t="s">
        <v>1178</v>
      </c>
      <c r="C408" s="1" t="s">
        <v>1162</v>
      </c>
      <c r="D408" s="1" t="s">
        <v>1179</v>
      </c>
      <c r="E408" s="1" t="s">
        <v>39</v>
      </c>
      <c r="F408" s="1" t="s">
        <v>39</v>
      </c>
      <c r="G408" s="1" t="s">
        <v>40</v>
      </c>
      <c r="H408" s="2">
        <v>8210000.0</v>
      </c>
      <c r="I408" s="1">
        <v>0.0</v>
      </c>
      <c r="J408" s="1" t="s">
        <v>97</v>
      </c>
      <c r="K408" s="5">
        <v>46058.0</v>
      </c>
      <c r="L408" s="4" t="str">
        <f t="shared" si="1"/>
        <v>Beatriz Muñoz Díaz</v>
      </c>
      <c r="M408" s="6" t="str">
        <f t="shared" si="2"/>
        <v>15800408-5</v>
      </c>
      <c r="N408" s="6" t="str">
        <f t="shared" si="3"/>
        <v>Concepción - Concepción - Región del Biobío</v>
      </c>
      <c r="O408" s="4"/>
    </row>
    <row r="409">
      <c r="A409" s="1" t="s">
        <v>3097</v>
      </c>
      <c r="B409" s="1" t="s">
        <v>3099</v>
      </c>
      <c r="C409" s="1" t="s">
        <v>3101</v>
      </c>
      <c r="D409" s="1" t="s">
        <v>3104</v>
      </c>
      <c r="E409" s="1" t="s">
        <v>158</v>
      </c>
      <c r="F409" s="1" t="s">
        <v>158</v>
      </c>
      <c r="G409" s="1" t="s">
        <v>159</v>
      </c>
      <c r="H409" s="2">
        <v>6250000.0</v>
      </c>
      <c r="I409" s="1">
        <v>120.0</v>
      </c>
      <c r="J409" s="1" t="s">
        <v>47</v>
      </c>
      <c r="K409" s="5">
        <v>46055.0</v>
      </c>
      <c r="L409" s="4" t="str">
        <f t="shared" si="1"/>
        <v>Hernán Fuentes Valenzuela</v>
      </c>
      <c r="M409" s="6" t="str">
        <f t="shared" si="2"/>
        <v>11768224-1</v>
      </c>
      <c r="N409" s="6" t="str">
        <f t="shared" si="3"/>
        <v>Antofagasta - Antofagasta - Región de Antofagasta</v>
      </c>
      <c r="O409" s="4"/>
    </row>
    <row r="410">
      <c r="A410" s="1" t="s">
        <v>2349</v>
      </c>
      <c r="B410" s="1" t="s">
        <v>2350</v>
      </c>
      <c r="C410" s="1" t="s">
        <v>2351</v>
      </c>
      <c r="D410" s="1" t="s">
        <v>2353</v>
      </c>
      <c r="E410" s="1" t="s">
        <v>26</v>
      </c>
      <c r="F410" s="1" t="s">
        <v>26</v>
      </c>
      <c r="G410" s="1" t="s">
        <v>27</v>
      </c>
      <c r="H410" s="2">
        <v>4530000.0</v>
      </c>
      <c r="I410" s="1">
        <v>0.0</v>
      </c>
      <c r="J410" s="1" t="s">
        <v>20</v>
      </c>
      <c r="K410" s="5">
        <v>46192.0</v>
      </c>
      <c r="L410" s="4" t="str">
        <f t="shared" si="1"/>
        <v>Catalina Rojas Sepúlveda</v>
      </c>
      <c r="M410" s="6" t="str">
        <f t="shared" si="2"/>
        <v>18.136.797-1</v>
      </c>
      <c r="N410" s="6" t="str">
        <f t="shared" si="3"/>
        <v>Valparaíso - Valparaíso - Región de Valparaíso</v>
      </c>
      <c r="O410" s="4"/>
    </row>
    <row r="411">
      <c r="A411" s="1" t="s">
        <v>2907</v>
      </c>
      <c r="B411" s="1" t="s">
        <v>2908</v>
      </c>
      <c r="C411" s="1" t="s">
        <v>2189</v>
      </c>
      <c r="D411" s="1" t="s">
        <v>2909</v>
      </c>
      <c r="E411" s="1" t="s">
        <v>118</v>
      </c>
      <c r="F411" s="1" t="s">
        <v>62</v>
      </c>
      <c r="G411" s="1" t="s">
        <v>63</v>
      </c>
      <c r="H411" s="2">
        <v>1.363E7</v>
      </c>
      <c r="I411" s="1">
        <v>120.0</v>
      </c>
      <c r="J411" s="1" t="s">
        <v>28</v>
      </c>
      <c r="K411" s="5">
        <v>46123.0</v>
      </c>
      <c r="L411" s="4" t="str">
        <f t="shared" si="1"/>
        <v>Cristián Espinoza Vergara</v>
      </c>
      <c r="M411" s="6" t="str">
        <f t="shared" si="2"/>
        <v>22.208.727-4</v>
      </c>
      <c r="N411" s="6" t="str">
        <f t="shared" si="3"/>
        <v>Maipú - Santiago - Región Metropolitana</v>
      </c>
      <c r="O411" s="4"/>
    </row>
    <row r="412">
      <c r="A412" s="1" t="s">
        <v>1450</v>
      </c>
      <c r="B412" s="1" t="s">
        <v>1451</v>
      </c>
      <c r="C412" s="1" t="s">
        <v>3114</v>
      </c>
      <c r="D412" s="1" t="s">
        <v>1453</v>
      </c>
      <c r="E412" s="1" t="s">
        <v>118</v>
      </c>
      <c r="F412" s="1" t="s">
        <v>62</v>
      </c>
      <c r="G412" s="1" t="s">
        <v>63</v>
      </c>
      <c r="H412" s="2">
        <v>7330000.0</v>
      </c>
      <c r="I412" s="1">
        <v>0.0</v>
      </c>
      <c r="J412" s="1" t="s">
        <v>73</v>
      </c>
      <c r="K412" s="5">
        <v>46100.0</v>
      </c>
      <c r="L412" s="4" t="str">
        <f t="shared" si="1"/>
        <v>Camila Espinoza Sepúlveda</v>
      </c>
      <c r="M412" s="6" t="str">
        <f t="shared" si="2"/>
        <v>12.693.162-2</v>
      </c>
      <c r="N412" s="6" t="str">
        <f t="shared" si="3"/>
        <v>Maipú - Santiago - Región Metropolitana</v>
      </c>
      <c r="O412" s="4"/>
    </row>
    <row r="413">
      <c r="A413" s="1" t="s">
        <v>3117</v>
      </c>
      <c r="B413" s="1" t="s">
        <v>3118</v>
      </c>
      <c r="C413" s="1" t="s">
        <v>3119</v>
      </c>
      <c r="D413" s="1" t="s">
        <v>3121</v>
      </c>
      <c r="E413" s="1" t="s">
        <v>118</v>
      </c>
      <c r="F413" s="1" t="s">
        <v>62</v>
      </c>
      <c r="G413" s="1" t="s">
        <v>63</v>
      </c>
      <c r="H413" s="2">
        <v>1.353E7</v>
      </c>
      <c r="I413" s="1">
        <v>120.0</v>
      </c>
      <c r="J413" s="1" t="s">
        <v>47</v>
      </c>
      <c r="K413" s="5">
        <v>46219.0</v>
      </c>
      <c r="L413" s="4" t="str">
        <f t="shared" si="1"/>
        <v>Hernán González Contreras</v>
      </c>
      <c r="M413" s="6" t="str">
        <f t="shared" si="2"/>
        <v>17.952.914-2</v>
      </c>
      <c r="N413" s="6" t="str">
        <f t="shared" si="3"/>
        <v>Maipú - Santiago - Región Metropolitana</v>
      </c>
      <c r="O413" s="4"/>
    </row>
    <row r="414">
      <c r="A414" s="1" t="s">
        <v>3125</v>
      </c>
      <c r="B414" s="1" t="s">
        <v>3126</v>
      </c>
      <c r="C414" s="1" t="s">
        <v>3127</v>
      </c>
      <c r="D414" s="1" t="s">
        <v>3129</v>
      </c>
      <c r="E414" s="1" t="s">
        <v>26</v>
      </c>
      <c r="F414" s="1" t="s">
        <v>26</v>
      </c>
      <c r="G414" s="1" t="s">
        <v>27</v>
      </c>
      <c r="H414" s="2">
        <v>3120000.0</v>
      </c>
      <c r="I414" s="1">
        <v>90.0</v>
      </c>
      <c r="J414" s="1" t="s">
        <v>47</v>
      </c>
      <c r="K414" s="5">
        <v>46050.0</v>
      </c>
      <c r="L414" s="4" t="str">
        <f t="shared" si="1"/>
        <v>Francisca Silva Valenzuela</v>
      </c>
      <c r="M414" s="6" t="str">
        <f t="shared" si="2"/>
        <v>19.674.606-K</v>
      </c>
      <c r="N414" s="6" t="str">
        <f t="shared" si="3"/>
        <v>Valparaíso - Valparaíso - Región de Valparaíso</v>
      </c>
      <c r="O414" s="4"/>
    </row>
    <row r="415">
      <c r="A415" s="1" t="s">
        <v>3132</v>
      </c>
      <c r="B415" s="1" t="s">
        <v>3133</v>
      </c>
      <c r="C415" s="1" t="s">
        <v>3134</v>
      </c>
      <c r="D415" s="1" t="s">
        <v>3135</v>
      </c>
      <c r="E415" s="1" t="s">
        <v>118</v>
      </c>
      <c r="F415" s="1" t="s">
        <v>62</v>
      </c>
      <c r="G415" s="1" t="s">
        <v>63</v>
      </c>
      <c r="H415" s="2">
        <v>1.75E7</v>
      </c>
      <c r="I415" s="1">
        <v>60.0</v>
      </c>
      <c r="J415" s="1" t="s">
        <v>20</v>
      </c>
      <c r="K415" s="5">
        <v>46078.0</v>
      </c>
      <c r="L415" s="4" t="str">
        <f t="shared" si="1"/>
        <v>Tomas Vergara Araya</v>
      </c>
      <c r="M415" s="6" t="str">
        <f t="shared" si="2"/>
        <v>22376288-1</v>
      </c>
      <c r="N415" s="6" t="str">
        <f t="shared" si="3"/>
        <v>Maipú - Santiago - Región Metropolitana</v>
      </c>
      <c r="O415" s="4"/>
    </row>
    <row r="416">
      <c r="A416" s="1" t="s">
        <v>3098</v>
      </c>
      <c r="B416" s="1" t="s">
        <v>3100</v>
      </c>
      <c r="C416" s="1" t="s">
        <v>3102</v>
      </c>
      <c r="D416" s="1" t="s">
        <v>3103</v>
      </c>
      <c r="E416" s="1" t="s">
        <v>61</v>
      </c>
      <c r="F416" s="1" t="s">
        <v>62</v>
      </c>
      <c r="G416" s="1" t="s">
        <v>63</v>
      </c>
      <c r="H416" s="2">
        <v>1130000.0</v>
      </c>
      <c r="I416" s="1">
        <v>45.0</v>
      </c>
      <c r="J416" s="1" t="s">
        <v>28</v>
      </c>
      <c r="K416" s="5">
        <v>46101.0</v>
      </c>
      <c r="L416" s="4" t="str">
        <f t="shared" si="1"/>
        <v>Daniela López Silva</v>
      </c>
      <c r="M416" s="6" t="str">
        <f t="shared" si="2"/>
        <v>13.265.380-1</v>
      </c>
      <c r="N416" s="6" t="str">
        <f t="shared" si="3"/>
        <v>Santiago Centro - Santiago - Región Metropolitana</v>
      </c>
      <c r="O416" s="4"/>
    </row>
    <row r="417">
      <c r="A417" s="1" t="s">
        <v>3143</v>
      </c>
      <c r="B417" s="1" t="s">
        <v>3144</v>
      </c>
      <c r="C417" s="1" t="s">
        <v>3145</v>
      </c>
      <c r="D417" s="1" t="s">
        <v>3146</v>
      </c>
      <c r="E417" s="1" t="s">
        <v>158</v>
      </c>
      <c r="F417" s="1" t="s">
        <v>158</v>
      </c>
      <c r="G417" s="1" t="s">
        <v>159</v>
      </c>
      <c r="H417" s="2">
        <v>1.495E7</v>
      </c>
      <c r="I417" s="1">
        <v>60.0</v>
      </c>
      <c r="J417" s="1" t="s">
        <v>97</v>
      </c>
      <c r="K417" s="5">
        <v>46125.0</v>
      </c>
      <c r="L417" s="4" t="str">
        <f t="shared" si="1"/>
        <v>Diego Morales López</v>
      </c>
      <c r="M417" s="6" t="str">
        <f t="shared" si="2"/>
        <v>13658191-7</v>
      </c>
      <c r="N417" s="6" t="str">
        <f t="shared" si="3"/>
        <v>Antofagasta - Antofagasta - Región de Antofagasta</v>
      </c>
      <c r="O417" s="4"/>
    </row>
    <row r="418">
      <c r="A418" s="1" t="s">
        <v>3147</v>
      </c>
      <c r="B418" s="1" t="s">
        <v>3148</v>
      </c>
      <c r="C418" s="1" t="s">
        <v>3149</v>
      </c>
      <c r="D418" s="1" t="s">
        <v>3150</v>
      </c>
      <c r="E418" s="1" t="s">
        <v>118</v>
      </c>
      <c r="F418" s="1" t="s">
        <v>62</v>
      </c>
      <c r="G418" s="1" t="s">
        <v>63</v>
      </c>
      <c r="H418" s="2">
        <v>1.89E7</v>
      </c>
      <c r="I418" s="1">
        <v>45.0</v>
      </c>
      <c r="J418" s="1" t="s">
        <v>97</v>
      </c>
      <c r="K418" s="5">
        <v>46099.0</v>
      </c>
      <c r="L418" s="4" t="str">
        <f t="shared" si="1"/>
        <v>Fernanda Morales González</v>
      </c>
      <c r="M418" s="6" t="str">
        <f t="shared" si="2"/>
        <v>20.174.207-2</v>
      </c>
      <c r="N418" s="6" t="str">
        <f t="shared" si="3"/>
        <v>Maipú - Santiago - Región Metropolitana</v>
      </c>
      <c r="O418" s="4"/>
    </row>
    <row r="419">
      <c r="A419" s="1" t="s">
        <v>3155</v>
      </c>
      <c r="B419" s="1" t="s">
        <v>3156</v>
      </c>
      <c r="C419" s="1" t="s">
        <v>3157</v>
      </c>
      <c r="D419" s="1" t="s">
        <v>2743</v>
      </c>
      <c r="E419" s="1" t="s">
        <v>61</v>
      </c>
      <c r="F419" s="1" t="s">
        <v>62</v>
      </c>
      <c r="G419" s="1" t="s">
        <v>63</v>
      </c>
      <c r="H419" s="2">
        <v>1.097E7</v>
      </c>
      <c r="I419" s="1">
        <v>45.0</v>
      </c>
      <c r="J419" s="1" t="s">
        <v>73</v>
      </c>
      <c r="K419" s="5">
        <v>46138.0</v>
      </c>
      <c r="L419" s="4" t="str">
        <f t="shared" si="1"/>
        <v>Sebastián Contreras Silva</v>
      </c>
      <c r="M419" s="6" t="str">
        <f t="shared" si="2"/>
        <v>15956189-5</v>
      </c>
      <c r="N419" s="6" t="str">
        <f t="shared" si="3"/>
        <v>Santiago Centro - Santiago - Región Metropolitana</v>
      </c>
      <c r="O419" s="4"/>
    </row>
    <row r="420">
      <c r="A420" s="1" t="s">
        <v>3161</v>
      </c>
      <c r="B420" s="1" t="s">
        <v>3162</v>
      </c>
      <c r="C420" s="1" t="s">
        <v>3163</v>
      </c>
      <c r="D420" s="1" t="s">
        <v>3164</v>
      </c>
      <c r="E420" s="1" t="s">
        <v>109</v>
      </c>
      <c r="F420" s="1" t="s">
        <v>62</v>
      </c>
      <c r="G420" s="1" t="s">
        <v>63</v>
      </c>
      <c r="H420" s="2">
        <v>7400000.0</v>
      </c>
      <c r="I420" s="1">
        <v>0.0</v>
      </c>
      <c r="J420" s="1" t="s">
        <v>97</v>
      </c>
      <c r="K420" s="5">
        <v>46115.0</v>
      </c>
      <c r="L420" s="4" t="str">
        <f t="shared" si="1"/>
        <v>Javiera Díaz Rojas</v>
      </c>
      <c r="M420" s="6" t="str">
        <f t="shared" si="2"/>
        <v>22.378.663-3</v>
      </c>
      <c r="N420" s="6" t="str">
        <f t="shared" si="3"/>
        <v>Ñuñoa - Santiago - Región Metropolitana</v>
      </c>
      <c r="O420" s="4"/>
    </row>
    <row r="421">
      <c r="A421" s="1" t="s">
        <v>2948</v>
      </c>
      <c r="B421" s="1" t="s">
        <v>2949</v>
      </c>
      <c r="C421" s="1" t="s">
        <v>3166</v>
      </c>
      <c r="D421" s="1" t="s">
        <v>2932</v>
      </c>
      <c r="E421" s="1" t="s">
        <v>26</v>
      </c>
      <c r="F421" s="1" t="s">
        <v>26</v>
      </c>
      <c r="G421" s="1" t="s">
        <v>27</v>
      </c>
      <c r="H421" s="2">
        <v>2740000.0</v>
      </c>
      <c r="I421" s="1">
        <v>15.0</v>
      </c>
      <c r="J421" s="1" t="s">
        <v>97</v>
      </c>
      <c r="K421" s="5">
        <v>46191.0</v>
      </c>
      <c r="L421" s="4" t="str">
        <f t="shared" si="1"/>
        <v>Cristián González Pérez</v>
      </c>
      <c r="M421" s="6" t="str">
        <f t="shared" si="2"/>
        <v>11.132.063-6</v>
      </c>
      <c r="N421" s="6" t="str">
        <f t="shared" si="3"/>
        <v>Valparaíso - Valparaíso - Región de Valparaíso</v>
      </c>
      <c r="O421" s="4"/>
    </row>
    <row r="422">
      <c r="A422" s="1" t="s">
        <v>3168</v>
      </c>
      <c r="B422" s="1" t="s">
        <v>3170</v>
      </c>
      <c r="C422" s="1" t="s">
        <v>3172</v>
      </c>
      <c r="D422" s="1" t="s">
        <v>3173</v>
      </c>
      <c r="E422" s="1" t="s">
        <v>25</v>
      </c>
      <c r="F422" s="1" t="s">
        <v>26</v>
      </c>
      <c r="G422" s="1" t="s">
        <v>27</v>
      </c>
      <c r="H422" s="2">
        <v>5990000.0</v>
      </c>
      <c r="I422" s="1">
        <v>90.0</v>
      </c>
      <c r="J422" s="1" t="s">
        <v>20</v>
      </c>
      <c r="K422" s="5">
        <v>46091.0</v>
      </c>
      <c r="L422" s="4" t="str">
        <f t="shared" si="1"/>
        <v>Francisca Espinoza Rojas</v>
      </c>
      <c r="M422" s="6" t="str">
        <f t="shared" si="2"/>
        <v>16.930.582-3</v>
      </c>
      <c r="N422" s="6" t="str">
        <f t="shared" si="3"/>
        <v>Viña del Mar - Valparaíso - Región de Valparaíso</v>
      </c>
      <c r="O422" s="4"/>
    </row>
    <row r="423">
      <c r="A423" s="1" t="s">
        <v>3174</v>
      </c>
      <c r="B423" s="1" t="s">
        <v>3175</v>
      </c>
      <c r="C423" s="1" t="s">
        <v>3176</v>
      </c>
      <c r="D423" s="1" t="s">
        <v>3177</v>
      </c>
      <c r="E423" s="1" t="s">
        <v>118</v>
      </c>
      <c r="F423" s="1" t="s">
        <v>62</v>
      </c>
      <c r="G423" s="1" t="s">
        <v>63</v>
      </c>
      <c r="H423" s="2">
        <v>6660000.0</v>
      </c>
      <c r="I423" s="1">
        <v>60.0</v>
      </c>
      <c r="J423" s="1" t="s">
        <v>20</v>
      </c>
      <c r="K423" s="5">
        <v>46113.0</v>
      </c>
      <c r="L423" s="4" t="str">
        <f t="shared" si="1"/>
        <v>Sebastián Valenzuela Sepúlveda</v>
      </c>
      <c r="M423" s="6" t="str">
        <f t="shared" si="2"/>
        <v>15.950.657-5</v>
      </c>
      <c r="N423" s="6" t="str">
        <f t="shared" si="3"/>
        <v>Maipú - Santiago - Región Metropolitana</v>
      </c>
      <c r="O423" s="4"/>
    </row>
    <row r="424">
      <c r="A424" s="1" t="s">
        <v>1823</v>
      </c>
      <c r="B424" s="1" t="s">
        <v>1824</v>
      </c>
      <c r="C424" s="1" t="s">
        <v>3181</v>
      </c>
      <c r="D424" s="1" t="s">
        <v>1826</v>
      </c>
      <c r="E424" s="1" t="s">
        <v>118</v>
      </c>
      <c r="F424" s="1" t="s">
        <v>62</v>
      </c>
      <c r="G424" s="1" t="s">
        <v>63</v>
      </c>
      <c r="H424" s="2">
        <v>1.593E7</v>
      </c>
      <c r="I424" s="1">
        <v>0.0</v>
      </c>
      <c r="J424" s="1" t="s">
        <v>28</v>
      </c>
      <c r="K424" s="5">
        <v>46132.0</v>
      </c>
      <c r="L424" s="4" t="str">
        <f t="shared" si="1"/>
        <v>Carolina González Soto</v>
      </c>
      <c r="M424" s="6" t="str">
        <f t="shared" si="2"/>
        <v>11954776-2</v>
      </c>
      <c r="N424" s="6" t="str">
        <f t="shared" si="3"/>
        <v>Maipú - Santiago - Región Metropolitana</v>
      </c>
      <c r="O424" s="4"/>
    </row>
    <row r="425">
      <c r="A425" s="1" t="s">
        <v>3185</v>
      </c>
      <c r="B425" s="1" t="s">
        <v>3187</v>
      </c>
      <c r="C425" s="1" t="s">
        <v>876</v>
      </c>
      <c r="D425" s="1" t="s">
        <v>3190</v>
      </c>
      <c r="E425" s="1" t="s">
        <v>158</v>
      </c>
      <c r="F425" s="1" t="s">
        <v>158</v>
      </c>
      <c r="G425" s="1" t="s">
        <v>159</v>
      </c>
      <c r="H425" s="2">
        <v>2.001E7</v>
      </c>
      <c r="I425" s="1">
        <v>0.0</v>
      </c>
      <c r="J425" s="1" t="s">
        <v>28</v>
      </c>
      <c r="K425" s="5">
        <v>46190.0</v>
      </c>
      <c r="L425" s="4" t="str">
        <f t="shared" si="1"/>
        <v>Diego Silva Araya</v>
      </c>
      <c r="M425" s="6" t="str">
        <f t="shared" si="2"/>
        <v>20.646.993-7</v>
      </c>
      <c r="N425" s="6" t="str">
        <f t="shared" si="3"/>
        <v>Antofagasta - Antofagasta - Región de Antofagasta</v>
      </c>
      <c r="O425" s="4"/>
    </row>
    <row r="426">
      <c r="A426" s="1" t="s">
        <v>3191</v>
      </c>
      <c r="B426" s="1" t="s">
        <v>3192</v>
      </c>
      <c r="C426" s="1" t="s">
        <v>3193</v>
      </c>
      <c r="D426" s="1" t="s">
        <v>3194</v>
      </c>
      <c r="E426" s="1" t="s">
        <v>56</v>
      </c>
      <c r="F426" s="1" t="s">
        <v>39</v>
      </c>
      <c r="G426" s="1" t="s">
        <v>40</v>
      </c>
      <c r="H426" s="2">
        <v>1.472E7</v>
      </c>
      <c r="I426" s="1">
        <v>0.0</v>
      </c>
      <c r="J426" s="1" t="s">
        <v>97</v>
      </c>
      <c r="K426" s="5">
        <v>46196.0</v>
      </c>
      <c r="L426" s="4" t="str">
        <f t="shared" si="1"/>
        <v>Sofia Rodríguez Espinoza</v>
      </c>
      <c r="M426" s="6" t="str">
        <f t="shared" si="2"/>
        <v>11.750.197-7</v>
      </c>
      <c r="N426" s="6" t="str">
        <f t="shared" si="3"/>
        <v>Talcahuano - Concepción - Región del Biobío</v>
      </c>
      <c r="O426" s="4"/>
    </row>
    <row r="427">
      <c r="A427" s="1" t="s">
        <v>3195</v>
      </c>
      <c r="B427" s="1" t="s">
        <v>3196</v>
      </c>
      <c r="C427" s="1" t="s">
        <v>3197</v>
      </c>
      <c r="D427" s="1" t="s">
        <v>3021</v>
      </c>
      <c r="E427" s="1" t="s">
        <v>39</v>
      </c>
      <c r="F427" s="1" t="s">
        <v>39</v>
      </c>
      <c r="G427" s="1" t="s">
        <v>40</v>
      </c>
      <c r="H427" s="2">
        <v>1.693E7</v>
      </c>
      <c r="I427" s="1">
        <v>0.0</v>
      </c>
      <c r="J427" s="1" t="s">
        <v>28</v>
      </c>
      <c r="K427" s="5">
        <v>46136.0</v>
      </c>
      <c r="L427" s="4" t="str">
        <f t="shared" si="1"/>
        <v>Gabriel Muñoz Araya</v>
      </c>
      <c r="M427" s="6" t="str">
        <f t="shared" si="2"/>
        <v>11.770.984-4</v>
      </c>
      <c r="N427" s="6" t="str">
        <f t="shared" si="3"/>
        <v>Concepción - Concepción - Región del Biobío</v>
      </c>
      <c r="O427" s="4"/>
    </row>
    <row r="428">
      <c r="A428" s="1" t="s">
        <v>1029</v>
      </c>
      <c r="B428" s="1" t="s">
        <v>1030</v>
      </c>
      <c r="C428" s="1" t="s">
        <v>3202</v>
      </c>
      <c r="D428" s="1" t="s">
        <v>1014</v>
      </c>
      <c r="E428" s="1" t="s">
        <v>118</v>
      </c>
      <c r="F428" s="1" t="s">
        <v>62</v>
      </c>
      <c r="G428" s="1" t="s">
        <v>63</v>
      </c>
      <c r="H428" s="2">
        <v>2.154E7</v>
      </c>
      <c r="I428" s="1">
        <v>90.0</v>
      </c>
      <c r="J428" s="1" t="s">
        <v>28</v>
      </c>
      <c r="K428" s="5">
        <v>46089.0</v>
      </c>
      <c r="L428" s="4" t="str">
        <f t="shared" si="1"/>
        <v>Beatriz Araya Valenzuela</v>
      </c>
      <c r="M428" s="6" t="str">
        <f t="shared" si="2"/>
        <v>19.079.232-2</v>
      </c>
      <c r="N428" s="6" t="str">
        <f t="shared" si="3"/>
        <v>Maipú - Santiago - Región Metropolitana</v>
      </c>
      <c r="O428" s="4"/>
    </row>
    <row r="429">
      <c r="A429" s="1" t="s">
        <v>3207</v>
      </c>
      <c r="B429" s="1" t="s">
        <v>3208</v>
      </c>
      <c r="C429" s="1" t="s">
        <v>3209</v>
      </c>
      <c r="D429" s="1" t="s">
        <v>3210</v>
      </c>
      <c r="E429" s="1" t="s">
        <v>56</v>
      </c>
      <c r="F429" s="1" t="s">
        <v>39</v>
      </c>
      <c r="G429" s="1" t="s">
        <v>40</v>
      </c>
      <c r="H429" s="2">
        <v>9600000.0</v>
      </c>
      <c r="I429" s="1">
        <v>45.0</v>
      </c>
      <c r="J429" s="1" t="s">
        <v>47</v>
      </c>
      <c r="K429" s="5">
        <v>46149.0</v>
      </c>
      <c r="L429" s="4" t="str">
        <f t="shared" si="1"/>
        <v>Felipe Soto Tapia</v>
      </c>
      <c r="M429" s="6" t="str">
        <f t="shared" si="2"/>
        <v>12.454.201-2</v>
      </c>
      <c r="N429" s="6" t="str">
        <f t="shared" si="3"/>
        <v>Talcahuano - Concepción - Región del Biobío</v>
      </c>
      <c r="O429" s="4"/>
    </row>
    <row r="430">
      <c r="A430" s="1" t="s">
        <v>3211</v>
      </c>
      <c r="B430" s="1" t="s">
        <v>3212</v>
      </c>
      <c r="C430" s="1" t="s">
        <v>3213</v>
      </c>
      <c r="D430" s="1" t="s">
        <v>3214</v>
      </c>
      <c r="E430" s="1" t="s">
        <v>194</v>
      </c>
      <c r="F430" s="1" t="s">
        <v>62</v>
      </c>
      <c r="G430" s="1" t="s">
        <v>63</v>
      </c>
      <c r="H430" s="2">
        <v>7220000.0</v>
      </c>
      <c r="I430" s="1">
        <v>0.0</v>
      </c>
      <c r="J430" s="1" t="s">
        <v>47</v>
      </c>
      <c r="K430" s="5">
        <v>46026.0</v>
      </c>
      <c r="L430" s="4" t="str">
        <f t="shared" si="1"/>
        <v>Francisca Silva Espinoza</v>
      </c>
      <c r="M430" s="6" t="str">
        <f t="shared" si="2"/>
        <v>14.609.386-4</v>
      </c>
      <c r="N430" s="6" t="str">
        <f t="shared" si="3"/>
        <v>Las Condes - Santiago - Región Metropolitana</v>
      </c>
      <c r="O430" s="4"/>
    </row>
    <row r="431">
      <c r="A431" s="1" t="s">
        <v>3216</v>
      </c>
      <c r="B431" s="1" t="s">
        <v>3217</v>
      </c>
      <c r="C431" s="1" t="s">
        <v>3218</v>
      </c>
      <c r="D431" s="1" t="s">
        <v>3219</v>
      </c>
      <c r="E431" s="1" t="s">
        <v>33</v>
      </c>
      <c r="F431" s="1" t="s">
        <v>33</v>
      </c>
      <c r="G431" s="1" t="s">
        <v>34</v>
      </c>
      <c r="H431" s="2">
        <v>1.455E7</v>
      </c>
      <c r="I431" s="1">
        <v>120.0</v>
      </c>
      <c r="J431" s="1" t="s">
        <v>73</v>
      </c>
      <c r="K431" s="5">
        <v>46228.0</v>
      </c>
      <c r="L431" s="4" t="str">
        <f t="shared" si="1"/>
        <v>Hernán Valenzuela Rodríguez</v>
      </c>
      <c r="M431" s="6" t="str">
        <f t="shared" si="2"/>
        <v>20.676.953-3</v>
      </c>
      <c r="N431" s="6" t="str">
        <f t="shared" si="3"/>
        <v>Puerto Montt - Puerto Montt - Región de Los Lagos</v>
      </c>
      <c r="O431" s="4"/>
    </row>
    <row r="432">
      <c r="A432" s="1" t="s">
        <v>3224</v>
      </c>
      <c r="B432" s="1" t="s">
        <v>3225</v>
      </c>
      <c r="C432" s="1" t="s">
        <v>3226</v>
      </c>
      <c r="D432" s="1" t="s">
        <v>3227</v>
      </c>
      <c r="E432" s="1" t="s">
        <v>25</v>
      </c>
      <c r="F432" s="1" t="s">
        <v>26</v>
      </c>
      <c r="G432" s="1" t="s">
        <v>27</v>
      </c>
      <c r="H432" s="2">
        <v>4380000.0</v>
      </c>
      <c r="I432" s="1">
        <v>0.0</v>
      </c>
      <c r="J432" s="1" t="s">
        <v>47</v>
      </c>
      <c r="K432" s="5">
        <v>46225.0</v>
      </c>
      <c r="L432" s="4" t="str">
        <f t="shared" si="1"/>
        <v>Macarena López Rojas</v>
      </c>
      <c r="M432" s="6" t="str">
        <f t="shared" si="2"/>
        <v>16.796.171-3</v>
      </c>
      <c r="N432" s="6" t="str">
        <f t="shared" si="3"/>
        <v>Viña del Mar - Valparaíso - Región de Valparaíso</v>
      </c>
      <c r="O432" s="4"/>
    </row>
    <row r="433">
      <c r="A433" s="1" t="s">
        <v>3231</v>
      </c>
      <c r="B433" s="1" t="s">
        <v>3232</v>
      </c>
      <c r="C433" s="1" t="s">
        <v>3233</v>
      </c>
      <c r="D433" s="1" t="s">
        <v>3234</v>
      </c>
      <c r="E433" s="1" t="s">
        <v>39</v>
      </c>
      <c r="F433" s="1" t="s">
        <v>39</v>
      </c>
      <c r="G433" s="1" t="s">
        <v>40</v>
      </c>
      <c r="H433" s="2">
        <v>1.801E7</v>
      </c>
      <c r="I433" s="1">
        <v>30.0</v>
      </c>
      <c r="J433" s="1" t="s">
        <v>20</v>
      </c>
      <c r="K433" s="5">
        <v>46124.0</v>
      </c>
      <c r="L433" s="4" t="str">
        <f t="shared" si="1"/>
        <v>Ignacio Contreras Silva</v>
      </c>
      <c r="M433" s="6" t="str">
        <f t="shared" si="2"/>
        <v>12444565-7</v>
      </c>
      <c r="N433" s="6" t="str">
        <f t="shared" si="3"/>
        <v>Concepción - Concepción - Región del Biobío</v>
      </c>
      <c r="O433" s="4"/>
    </row>
    <row r="434">
      <c r="A434" s="1" t="s">
        <v>1864</v>
      </c>
      <c r="B434" s="1" t="s">
        <v>1865</v>
      </c>
      <c r="C434" s="1" t="s">
        <v>3236</v>
      </c>
      <c r="D434" s="1" t="s">
        <v>1867</v>
      </c>
      <c r="E434" s="1" t="s">
        <v>56</v>
      </c>
      <c r="F434" s="1" t="s">
        <v>39</v>
      </c>
      <c r="G434" s="1" t="s">
        <v>40</v>
      </c>
      <c r="H434" s="2">
        <v>2.046E7</v>
      </c>
      <c r="I434" s="1">
        <v>0.0</v>
      </c>
      <c r="J434" s="1" t="s">
        <v>73</v>
      </c>
      <c r="K434" s="5">
        <v>46099.0</v>
      </c>
      <c r="L434" s="4" t="str">
        <f t="shared" si="1"/>
        <v>Carolina Morales López</v>
      </c>
      <c r="M434" s="6" t="str">
        <f t="shared" si="2"/>
        <v>13949475-4</v>
      </c>
      <c r="N434" s="6" t="str">
        <f t="shared" si="3"/>
        <v>Talcahuano - Concepción - Región del Biobío</v>
      </c>
      <c r="O434" s="4"/>
    </row>
    <row r="435">
      <c r="A435" s="1" t="s">
        <v>3241</v>
      </c>
      <c r="B435" s="1" t="s">
        <v>3242</v>
      </c>
      <c r="C435" s="1" t="s">
        <v>3243</v>
      </c>
      <c r="D435" s="1" t="s">
        <v>3244</v>
      </c>
      <c r="E435" s="1" t="s">
        <v>158</v>
      </c>
      <c r="F435" s="1" t="s">
        <v>158</v>
      </c>
      <c r="G435" s="1" t="s">
        <v>159</v>
      </c>
      <c r="H435" s="2">
        <v>4870000.0</v>
      </c>
      <c r="I435" s="1">
        <v>60.0</v>
      </c>
      <c r="J435" s="1" t="s">
        <v>97</v>
      </c>
      <c r="K435" s="5">
        <v>46145.0</v>
      </c>
      <c r="L435" s="4" t="str">
        <f t="shared" si="1"/>
        <v>Tomas Araya Pérez</v>
      </c>
      <c r="M435" s="6" t="str">
        <f t="shared" si="2"/>
        <v>17.921.702-3</v>
      </c>
      <c r="N435" s="6" t="str">
        <f t="shared" si="3"/>
        <v>Antofagasta - Antofagasta - Región de Antofagasta</v>
      </c>
      <c r="O435" s="4"/>
    </row>
    <row r="436">
      <c r="A436" s="1" t="s">
        <v>3245</v>
      </c>
      <c r="B436" s="1" t="s">
        <v>3246</v>
      </c>
      <c r="C436" s="1" t="s">
        <v>3247</v>
      </c>
      <c r="D436" s="1" t="s">
        <v>3248</v>
      </c>
      <c r="E436" s="1" t="s">
        <v>194</v>
      </c>
      <c r="F436" s="1" t="s">
        <v>62</v>
      </c>
      <c r="G436" s="1" t="s">
        <v>63</v>
      </c>
      <c r="H436" s="2">
        <v>6110000.0</v>
      </c>
      <c r="I436" s="1">
        <v>120.0</v>
      </c>
      <c r="J436" s="1" t="s">
        <v>47</v>
      </c>
      <c r="K436" s="5">
        <v>46228.0</v>
      </c>
      <c r="L436" s="4" t="str">
        <f t="shared" si="1"/>
        <v>Javiera Morales Díaz</v>
      </c>
      <c r="M436" s="6" t="str">
        <f t="shared" si="2"/>
        <v>13271733-3</v>
      </c>
      <c r="N436" s="6" t="str">
        <f t="shared" si="3"/>
        <v>Las Condes - Santiago - Región Metropolitana</v>
      </c>
      <c r="O436" s="4"/>
    </row>
    <row r="437">
      <c r="A437" s="1" t="s">
        <v>3249</v>
      </c>
      <c r="B437" s="1" t="s">
        <v>3250</v>
      </c>
      <c r="C437" s="1" t="s">
        <v>3251</v>
      </c>
      <c r="D437" s="1" t="s">
        <v>3252</v>
      </c>
      <c r="E437" s="1" t="s">
        <v>26</v>
      </c>
      <c r="F437" s="1" t="s">
        <v>26</v>
      </c>
      <c r="G437" s="1" t="s">
        <v>27</v>
      </c>
      <c r="H437" s="2">
        <v>2.051E7</v>
      </c>
      <c r="I437" s="1">
        <v>15.0</v>
      </c>
      <c r="J437" s="1" t="s">
        <v>20</v>
      </c>
      <c r="K437" s="5">
        <v>46134.0</v>
      </c>
      <c r="L437" s="4" t="str">
        <f t="shared" si="1"/>
        <v>Rodrigo Valenzuela Valenzuela</v>
      </c>
      <c r="M437" s="6" t="str">
        <f t="shared" si="2"/>
        <v>20462604-K</v>
      </c>
      <c r="N437" s="6" t="str">
        <f t="shared" si="3"/>
        <v>Valparaíso - Valparaíso - Región de Valparaíso</v>
      </c>
      <c r="O437" s="4"/>
    </row>
    <row r="438">
      <c r="A438" s="1" t="s">
        <v>3179</v>
      </c>
      <c r="B438" s="1" t="s">
        <v>3180</v>
      </c>
      <c r="C438" s="1" t="s">
        <v>3182</v>
      </c>
      <c r="D438" s="1" t="s">
        <v>3183</v>
      </c>
      <c r="E438" s="1" t="s">
        <v>39</v>
      </c>
      <c r="F438" s="1" t="s">
        <v>39</v>
      </c>
      <c r="G438" s="1" t="s">
        <v>40</v>
      </c>
      <c r="H438" s="2">
        <v>3420000.0</v>
      </c>
      <c r="I438" s="1">
        <v>120.0</v>
      </c>
      <c r="J438" s="1" t="s">
        <v>20</v>
      </c>
      <c r="K438" s="5">
        <v>46073.0</v>
      </c>
      <c r="L438" s="4" t="str">
        <f t="shared" si="1"/>
        <v>Daniela Rojas Contreras</v>
      </c>
      <c r="M438" s="6" t="str">
        <f t="shared" si="2"/>
        <v>16568734-5</v>
      </c>
      <c r="N438" s="6" t="str">
        <f t="shared" si="3"/>
        <v>Concepción - Concepción - Región del Biobío</v>
      </c>
      <c r="O438" s="4"/>
    </row>
    <row r="439">
      <c r="A439" s="1" t="s">
        <v>3258</v>
      </c>
      <c r="B439" s="1" t="s">
        <v>3259</v>
      </c>
      <c r="C439" s="1" t="s">
        <v>3260</v>
      </c>
      <c r="D439" s="1" t="s">
        <v>3261</v>
      </c>
      <c r="E439" s="1" t="s">
        <v>18</v>
      </c>
      <c r="F439" s="1" t="s">
        <v>18</v>
      </c>
      <c r="G439" s="1" t="s">
        <v>19</v>
      </c>
      <c r="H439" s="2">
        <v>1.836E7</v>
      </c>
      <c r="I439" s="1">
        <v>60.0</v>
      </c>
      <c r="J439" s="1" t="s">
        <v>28</v>
      </c>
      <c r="K439" s="5">
        <v>46215.0</v>
      </c>
      <c r="L439" s="4" t="str">
        <f t="shared" si="1"/>
        <v>Gabriel González Muñoz</v>
      </c>
      <c r="M439" s="6" t="str">
        <f t="shared" si="2"/>
        <v>19.239.974-8</v>
      </c>
      <c r="N439" s="6" t="str">
        <f t="shared" si="3"/>
        <v>La Serena - La Serena - Región de Coquimbo</v>
      </c>
      <c r="O439" s="4"/>
    </row>
    <row r="440">
      <c r="A440" s="1" t="s">
        <v>3262</v>
      </c>
      <c r="B440" s="1" t="s">
        <v>3263</v>
      </c>
      <c r="C440" s="1" t="s">
        <v>3264</v>
      </c>
      <c r="D440" s="1" t="s">
        <v>3265</v>
      </c>
      <c r="E440" s="1" t="s">
        <v>194</v>
      </c>
      <c r="F440" s="1" t="s">
        <v>62</v>
      </c>
      <c r="G440" s="1" t="s">
        <v>63</v>
      </c>
      <c r="H440" s="2">
        <v>5250000.0</v>
      </c>
      <c r="I440" s="1">
        <v>30.0</v>
      </c>
      <c r="J440" s="1" t="s">
        <v>73</v>
      </c>
      <c r="K440" s="5">
        <v>46047.0</v>
      </c>
      <c r="L440" s="4" t="str">
        <f t="shared" si="1"/>
        <v>Marcela Rodríguez González</v>
      </c>
      <c r="M440" s="6" t="str">
        <f t="shared" si="2"/>
        <v>12.224.435-5</v>
      </c>
      <c r="N440" s="6" t="str">
        <f t="shared" si="3"/>
        <v>Las Condes - Santiago - Región Metropolitana</v>
      </c>
      <c r="O440" s="4"/>
    </row>
    <row r="441">
      <c r="A441" s="1" t="s">
        <v>2465</v>
      </c>
      <c r="B441" s="1" t="s">
        <v>2466</v>
      </c>
      <c r="C441" s="1" t="s">
        <v>3269</v>
      </c>
      <c r="D441" s="1" t="s">
        <v>2468</v>
      </c>
      <c r="E441" s="1" t="s">
        <v>45</v>
      </c>
      <c r="F441" s="1" t="s">
        <v>45</v>
      </c>
      <c r="G441" s="1" t="s">
        <v>46</v>
      </c>
      <c r="H441" s="2">
        <v>2.114E7</v>
      </c>
      <c r="I441" s="1">
        <v>0.0</v>
      </c>
      <c r="J441" s="1" t="s">
        <v>73</v>
      </c>
      <c r="K441" s="5">
        <v>46037.0</v>
      </c>
      <c r="L441" s="4" t="str">
        <f t="shared" si="1"/>
        <v>Claudio Contreras Díaz</v>
      </c>
      <c r="M441" s="6" t="str">
        <f t="shared" si="2"/>
        <v>12.798.780-K</v>
      </c>
      <c r="N441" s="6" t="str">
        <f t="shared" si="3"/>
        <v>Temuco - Temuco - Región de la Araucanía</v>
      </c>
      <c r="O441" s="4"/>
    </row>
    <row r="442">
      <c r="A442" s="1" t="s">
        <v>3270</v>
      </c>
      <c r="B442" s="1" t="s">
        <v>3271</v>
      </c>
      <c r="C442" s="1" t="s">
        <v>3272</v>
      </c>
      <c r="D442" s="1" t="s">
        <v>3273</v>
      </c>
      <c r="E442" s="1" t="s">
        <v>194</v>
      </c>
      <c r="F442" s="1" t="s">
        <v>62</v>
      </c>
      <c r="G442" s="1" t="s">
        <v>63</v>
      </c>
      <c r="H442" s="2">
        <v>1.935E7</v>
      </c>
      <c r="I442" s="1">
        <v>120.0</v>
      </c>
      <c r="J442" s="1" t="s">
        <v>73</v>
      </c>
      <c r="K442" s="5">
        <v>46093.0</v>
      </c>
      <c r="L442" s="4" t="str">
        <f t="shared" si="1"/>
        <v>Macarena Soto Muñoz</v>
      </c>
      <c r="M442" s="6" t="str">
        <f t="shared" si="2"/>
        <v>16.987.090-9</v>
      </c>
      <c r="N442" s="6" t="str">
        <f t="shared" si="3"/>
        <v>Las Condes - Santiago - Región Metropolitana</v>
      </c>
      <c r="O442" s="4"/>
    </row>
    <row r="443">
      <c r="A443" s="1" t="s">
        <v>3274</v>
      </c>
      <c r="B443" s="1" t="s">
        <v>3275</v>
      </c>
      <c r="C443" s="1" t="s">
        <v>3277</v>
      </c>
      <c r="D443" s="1" t="s">
        <v>3280</v>
      </c>
      <c r="E443" s="1" t="s">
        <v>18</v>
      </c>
      <c r="F443" s="1" t="s">
        <v>18</v>
      </c>
      <c r="G443" s="1" t="s">
        <v>19</v>
      </c>
      <c r="H443" s="2">
        <v>3260000.0</v>
      </c>
      <c r="I443" s="1">
        <v>60.0</v>
      </c>
      <c r="J443" s="1" t="s">
        <v>20</v>
      </c>
      <c r="K443" s="5">
        <v>46205.0</v>
      </c>
      <c r="L443" s="4" t="str">
        <f t="shared" si="1"/>
        <v>Ignacio Soto Pérez</v>
      </c>
      <c r="M443" s="6" t="str">
        <f t="shared" si="2"/>
        <v>12.592.377-0</v>
      </c>
      <c r="N443" s="6" t="str">
        <f t="shared" si="3"/>
        <v>La Serena - La Serena - Región de Coquimbo</v>
      </c>
      <c r="O443" s="4"/>
    </row>
    <row r="444">
      <c r="A444" s="1" t="s">
        <v>3282</v>
      </c>
      <c r="B444" s="1" t="s">
        <v>3283</v>
      </c>
      <c r="C444" s="1" t="s">
        <v>3284</v>
      </c>
      <c r="D444" s="1" t="s">
        <v>3285</v>
      </c>
      <c r="E444" s="1" t="s">
        <v>61</v>
      </c>
      <c r="F444" s="1" t="s">
        <v>62</v>
      </c>
      <c r="G444" s="1" t="s">
        <v>63</v>
      </c>
      <c r="H444" s="2">
        <v>670000.0</v>
      </c>
      <c r="I444" s="1">
        <v>30.0</v>
      </c>
      <c r="J444" s="1" t="s">
        <v>47</v>
      </c>
      <c r="K444" s="5">
        <v>46220.0</v>
      </c>
      <c r="L444" s="4" t="str">
        <f t="shared" si="1"/>
        <v>Paula Morales Pérez</v>
      </c>
      <c r="M444" s="6" t="str">
        <f t="shared" si="2"/>
        <v>13925978-2</v>
      </c>
      <c r="N444" s="6" t="str">
        <f t="shared" si="3"/>
        <v>Santiago Centro - Santiago - Región Metropolitana</v>
      </c>
      <c r="O444" s="4"/>
    </row>
    <row r="445">
      <c r="A445" s="1" t="s">
        <v>2973</v>
      </c>
      <c r="B445" s="1" t="s">
        <v>2974</v>
      </c>
      <c r="C445" s="1" t="s">
        <v>3286</v>
      </c>
      <c r="D445" s="1" t="s">
        <v>2976</v>
      </c>
      <c r="E445" s="1" t="s">
        <v>39</v>
      </c>
      <c r="F445" s="1" t="s">
        <v>39</v>
      </c>
      <c r="G445" s="1" t="s">
        <v>40</v>
      </c>
      <c r="H445" s="2">
        <v>3440000.0</v>
      </c>
      <c r="I445" s="1">
        <v>120.0</v>
      </c>
      <c r="J445" s="1" t="s">
        <v>47</v>
      </c>
      <c r="K445" s="5">
        <v>46124.0</v>
      </c>
      <c r="L445" s="4" t="str">
        <f t="shared" si="1"/>
        <v>Cristián Pérez Díaz</v>
      </c>
      <c r="M445" s="6" t="str">
        <f t="shared" si="2"/>
        <v>16.653.101-9</v>
      </c>
      <c r="N445" s="6" t="str">
        <f t="shared" si="3"/>
        <v>Concepción - Concepción - Región del Biobío</v>
      </c>
      <c r="O445" s="4"/>
    </row>
    <row r="446">
      <c r="A446" s="1" t="s">
        <v>3289</v>
      </c>
      <c r="B446" s="1" t="s">
        <v>3292</v>
      </c>
      <c r="C446" s="1" t="s">
        <v>3294</v>
      </c>
      <c r="D446" s="1" t="s">
        <v>3295</v>
      </c>
      <c r="E446" s="1" t="s">
        <v>26</v>
      </c>
      <c r="F446" s="1" t="s">
        <v>26</v>
      </c>
      <c r="G446" s="1" t="s">
        <v>27</v>
      </c>
      <c r="H446" s="2">
        <v>1.891E7</v>
      </c>
      <c r="I446" s="1">
        <v>15.0</v>
      </c>
      <c r="J446" s="1" t="s">
        <v>20</v>
      </c>
      <c r="K446" s="5">
        <v>46226.0</v>
      </c>
      <c r="L446" s="4" t="str">
        <f t="shared" si="1"/>
        <v>Javiera López Vergara</v>
      </c>
      <c r="M446" s="6" t="str">
        <f t="shared" si="2"/>
        <v>21.230.920-5</v>
      </c>
      <c r="N446" s="6" t="str">
        <f t="shared" si="3"/>
        <v>Valparaíso - Valparaíso - Región de Valparaíso</v>
      </c>
      <c r="O446" s="4"/>
    </row>
    <row r="447">
      <c r="A447" s="1" t="s">
        <v>3288</v>
      </c>
      <c r="B447" s="1" t="s">
        <v>3290</v>
      </c>
      <c r="C447" s="1" t="s">
        <v>3296</v>
      </c>
      <c r="D447" s="1" t="s">
        <v>3293</v>
      </c>
      <c r="E447" s="1" t="s">
        <v>158</v>
      </c>
      <c r="F447" s="1" t="s">
        <v>158</v>
      </c>
      <c r="G447" s="1" t="s">
        <v>159</v>
      </c>
      <c r="H447" s="2">
        <v>3750000.0</v>
      </c>
      <c r="I447" s="1">
        <v>45.0</v>
      </c>
      <c r="J447" s="1" t="s">
        <v>73</v>
      </c>
      <c r="K447" s="5">
        <v>46033.0</v>
      </c>
      <c r="L447" s="4" t="str">
        <f t="shared" si="1"/>
        <v>Diego López Araya</v>
      </c>
      <c r="M447" s="6" t="str">
        <f t="shared" si="2"/>
        <v>19.641.338-6</v>
      </c>
      <c r="N447" s="6" t="str">
        <f t="shared" si="3"/>
        <v>Antofagasta - Antofagasta - Región de Antofagasta</v>
      </c>
      <c r="O447" s="4"/>
    </row>
    <row r="448">
      <c r="A448" s="1" t="s">
        <v>519</v>
      </c>
      <c r="B448" s="1" t="s">
        <v>520</v>
      </c>
      <c r="C448" s="1" t="s">
        <v>522</v>
      </c>
      <c r="D448" s="1" t="s">
        <v>523</v>
      </c>
      <c r="E448" s="1" t="s">
        <v>18</v>
      </c>
      <c r="F448" s="1" t="s">
        <v>18</v>
      </c>
      <c r="G448" s="1" t="s">
        <v>19</v>
      </c>
      <c r="H448" s="2">
        <v>1.135E7</v>
      </c>
      <c r="I448" s="1">
        <v>45.0</v>
      </c>
      <c r="J448" s="1" t="s">
        <v>73</v>
      </c>
      <c r="K448" s="5">
        <v>46078.0</v>
      </c>
      <c r="L448" s="4" t="str">
        <f t="shared" si="1"/>
        <v>Andrea Araya Muñoz</v>
      </c>
      <c r="M448" s="6" t="str">
        <f t="shared" si="2"/>
        <v>15.737.306-6</v>
      </c>
      <c r="N448" s="6" t="str">
        <f t="shared" si="3"/>
        <v>La Serena - La Serena - Región de Coquimbo</v>
      </c>
      <c r="O448" s="4"/>
    </row>
    <row r="449">
      <c r="A449" s="1" t="s">
        <v>3297</v>
      </c>
      <c r="B449" s="1" t="s">
        <v>3298</v>
      </c>
      <c r="C449" s="1" t="s">
        <v>3299</v>
      </c>
      <c r="D449" s="1" t="s">
        <v>3300</v>
      </c>
      <c r="E449" s="1" t="s">
        <v>158</v>
      </c>
      <c r="F449" s="1" t="s">
        <v>158</v>
      </c>
      <c r="G449" s="1" t="s">
        <v>159</v>
      </c>
      <c r="H449" s="2">
        <v>1.798E7</v>
      </c>
      <c r="I449" s="1">
        <v>0.0</v>
      </c>
      <c r="J449" s="1" t="s">
        <v>28</v>
      </c>
      <c r="K449" s="5">
        <v>46195.0</v>
      </c>
      <c r="L449" s="4" t="str">
        <f t="shared" si="1"/>
        <v>Matías Sepúlveda Silva</v>
      </c>
      <c r="M449" s="6" t="str">
        <f t="shared" si="2"/>
        <v>16.879.611-K</v>
      </c>
      <c r="N449" s="6" t="str">
        <f t="shared" si="3"/>
        <v>Antofagasta - Antofagasta - Región de Antofagasta</v>
      </c>
      <c r="O449" s="4"/>
    </row>
    <row r="450">
      <c r="A450" s="1" t="s">
        <v>3301</v>
      </c>
      <c r="B450" s="1" t="s">
        <v>3302</v>
      </c>
      <c r="C450" s="1" t="s">
        <v>3304</v>
      </c>
      <c r="D450" s="1" t="s">
        <v>3307</v>
      </c>
      <c r="E450" s="1" t="s">
        <v>45</v>
      </c>
      <c r="F450" s="1" t="s">
        <v>45</v>
      </c>
      <c r="G450" s="1" t="s">
        <v>46</v>
      </c>
      <c r="H450" s="2">
        <v>5970000.0</v>
      </c>
      <c r="I450" s="1">
        <v>30.0</v>
      </c>
      <c r="J450" s="1" t="s">
        <v>97</v>
      </c>
      <c r="K450" s="5">
        <v>46123.0</v>
      </c>
      <c r="L450" s="4" t="str">
        <f t="shared" si="1"/>
        <v>Francisca Muñoz Sepúlveda</v>
      </c>
      <c r="M450" s="6" t="str">
        <f t="shared" si="2"/>
        <v>12545104-9</v>
      </c>
      <c r="N450" s="6" t="str">
        <f t="shared" si="3"/>
        <v>Temuco - Temuco - Región de la Araucanía</v>
      </c>
      <c r="O450" s="4"/>
    </row>
    <row r="451">
      <c r="A451" s="1" t="s">
        <v>3309</v>
      </c>
      <c r="B451" s="1" t="s">
        <v>3310</v>
      </c>
      <c r="C451" s="1" t="s">
        <v>1064</v>
      </c>
      <c r="D451" s="1" t="s">
        <v>1652</v>
      </c>
      <c r="E451" s="1" t="s">
        <v>109</v>
      </c>
      <c r="F451" s="1" t="s">
        <v>62</v>
      </c>
      <c r="G451" s="1" t="s">
        <v>63</v>
      </c>
      <c r="H451" s="2">
        <v>7900000.0</v>
      </c>
      <c r="I451" s="1">
        <v>30.0</v>
      </c>
      <c r="J451" s="1" t="s">
        <v>28</v>
      </c>
      <c r="K451" s="5">
        <v>46104.0</v>
      </c>
      <c r="L451" s="4" t="str">
        <f t="shared" si="1"/>
        <v>Sebastián Sepúlveda Rojas</v>
      </c>
      <c r="M451" s="6" t="str">
        <f t="shared" si="2"/>
        <v>16327799-3</v>
      </c>
      <c r="N451" s="6" t="str">
        <f t="shared" si="3"/>
        <v>Ñuñoa - Santiago - Región Metropolitana</v>
      </c>
      <c r="O451" s="4"/>
    </row>
    <row r="452">
      <c r="A452" s="1" t="s">
        <v>3311</v>
      </c>
      <c r="B452" s="1" t="s">
        <v>3312</v>
      </c>
      <c r="C452" s="1" t="s">
        <v>3313</v>
      </c>
      <c r="D452" s="1" t="s">
        <v>3314</v>
      </c>
      <c r="E452" s="1" t="s">
        <v>18</v>
      </c>
      <c r="F452" s="1" t="s">
        <v>18</v>
      </c>
      <c r="G452" s="1" t="s">
        <v>19</v>
      </c>
      <c r="H452" s="2">
        <v>4480000.0</v>
      </c>
      <c r="I452" s="1">
        <v>45.0</v>
      </c>
      <c r="J452" s="1" t="s">
        <v>97</v>
      </c>
      <c r="K452" s="5">
        <v>46223.0</v>
      </c>
      <c r="L452" s="4" t="str">
        <f t="shared" si="1"/>
        <v>Paula Silva Morales</v>
      </c>
      <c r="M452" s="6" t="str">
        <f t="shared" si="2"/>
        <v>16.063.861-7</v>
      </c>
      <c r="N452" s="6" t="str">
        <f t="shared" si="3"/>
        <v>La Serena - La Serena - Región de Coquimbo</v>
      </c>
      <c r="O452" s="4"/>
    </row>
    <row r="453">
      <c r="A453" s="1" t="s">
        <v>3315</v>
      </c>
      <c r="B453" s="1" t="s">
        <v>3316</v>
      </c>
      <c r="C453" s="1" t="s">
        <v>3319</v>
      </c>
      <c r="D453" s="1" t="s">
        <v>3322</v>
      </c>
      <c r="E453" s="1" t="s">
        <v>56</v>
      </c>
      <c r="F453" s="1" t="s">
        <v>39</v>
      </c>
      <c r="G453" s="1" t="s">
        <v>40</v>
      </c>
      <c r="H453" s="2">
        <v>9240000.0</v>
      </c>
      <c r="I453" s="1">
        <v>0.0</v>
      </c>
      <c r="J453" s="1" t="s">
        <v>20</v>
      </c>
      <c r="K453" s="5">
        <v>46183.0</v>
      </c>
      <c r="L453" s="4" t="str">
        <f t="shared" si="1"/>
        <v>Hernán Pérez Sepúlveda</v>
      </c>
      <c r="M453" s="6" t="str">
        <f t="shared" si="2"/>
        <v>12813546-K</v>
      </c>
      <c r="N453" s="6" t="str">
        <f t="shared" si="3"/>
        <v>Talcahuano - Concepción - Región del Biobío</v>
      </c>
      <c r="O453" s="4"/>
    </row>
    <row r="454">
      <c r="A454" s="1" t="s">
        <v>3324</v>
      </c>
      <c r="B454" s="1" t="s">
        <v>3326</v>
      </c>
      <c r="C454" s="1" t="s">
        <v>3329</v>
      </c>
      <c r="D454" s="1" t="s">
        <v>3330</v>
      </c>
      <c r="E454" s="1" t="s">
        <v>61</v>
      </c>
      <c r="F454" s="1" t="s">
        <v>62</v>
      </c>
      <c r="G454" s="1" t="s">
        <v>63</v>
      </c>
      <c r="H454" s="2">
        <v>1.832E7</v>
      </c>
      <c r="I454" s="1">
        <v>0.0</v>
      </c>
      <c r="J454" s="1" t="s">
        <v>20</v>
      </c>
      <c r="K454" s="5">
        <v>46150.0</v>
      </c>
      <c r="L454" s="4" t="str">
        <f t="shared" si="1"/>
        <v>Fernanda Muñoz Díaz</v>
      </c>
      <c r="M454" s="6" t="str">
        <f t="shared" si="2"/>
        <v>20.046.968-0</v>
      </c>
      <c r="N454" s="6" t="str">
        <f t="shared" si="3"/>
        <v>Santiago Centro - Santiago - Región Metropolitana</v>
      </c>
      <c r="O454" s="4"/>
    </row>
    <row r="455">
      <c r="A455" s="1" t="s">
        <v>2732</v>
      </c>
      <c r="B455" s="1" t="s">
        <v>2733</v>
      </c>
      <c r="C455" s="1" t="s">
        <v>2734</v>
      </c>
      <c r="D455" s="1" t="s">
        <v>2735</v>
      </c>
      <c r="E455" s="1" t="s">
        <v>118</v>
      </c>
      <c r="F455" s="1" t="s">
        <v>62</v>
      </c>
      <c r="G455" s="1" t="s">
        <v>63</v>
      </c>
      <c r="H455" s="2">
        <v>1.063E7</v>
      </c>
      <c r="I455" s="1">
        <v>30.0</v>
      </c>
      <c r="J455" s="1" t="s">
        <v>28</v>
      </c>
      <c r="K455" s="5">
        <v>46167.0</v>
      </c>
      <c r="L455" s="4" t="str">
        <f t="shared" si="1"/>
        <v>Claudio Vergara González</v>
      </c>
      <c r="M455" s="6" t="str">
        <f t="shared" si="2"/>
        <v>16.780.298-1</v>
      </c>
      <c r="N455" s="6" t="str">
        <f t="shared" si="3"/>
        <v>Maipú - Santiago - Región Metropolitana</v>
      </c>
      <c r="O455" s="4"/>
    </row>
    <row r="456">
      <c r="A456" s="1" t="s">
        <v>2799</v>
      </c>
      <c r="B456" s="1" t="s">
        <v>2800</v>
      </c>
      <c r="C456" s="1" t="s">
        <v>2801</v>
      </c>
      <c r="D456" s="1" t="s">
        <v>2802</v>
      </c>
      <c r="E456" s="1" t="s">
        <v>118</v>
      </c>
      <c r="F456" s="1" t="s">
        <v>62</v>
      </c>
      <c r="G456" s="1" t="s">
        <v>63</v>
      </c>
      <c r="H456" s="2">
        <v>2.173E7</v>
      </c>
      <c r="I456" s="1">
        <v>0.0</v>
      </c>
      <c r="J456" s="1" t="s">
        <v>47</v>
      </c>
      <c r="K456" s="5">
        <v>46196.0</v>
      </c>
      <c r="L456" s="4" t="str">
        <f t="shared" si="1"/>
        <v>Constanza Muñoz López</v>
      </c>
      <c r="M456" s="6" t="str">
        <f t="shared" si="2"/>
        <v>12.842.943-K</v>
      </c>
      <c r="N456" s="6" t="str">
        <f t="shared" si="3"/>
        <v>Maipú - Santiago - Región Metropolitana</v>
      </c>
      <c r="O456" s="4"/>
    </row>
    <row r="457">
      <c r="A457" s="1" t="s">
        <v>3343</v>
      </c>
      <c r="B457" s="1" t="s">
        <v>3344</v>
      </c>
      <c r="C457" s="1" t="s">
        <v>3345</v>
      </c>
      <c r="D457" s="1" t="s">
        <v>3346</v>
      </c>
      <c r="E457" s="1" t="s">
        <v>118</v>
      </c>
      <c r="F457" s="1" t="s">
        <v>62</v>
      </c>
      <c r="G457" s="1" t="s">
        <v>63</v>
      </c>
      <c r="H457" s="2">
        <v>1090000.0</v>
      </c>
      <c r="I457" s="1">
        <v>90.0</v>
      </c>
      <c r="J457" s="1" t="s">
        <v>47</v>
      </c>
      <c r="K457" s="5">
        <v>46041.0</v>
      </c>
      <c r="L457" s="4" t="str">
        <f t="shared" si="1"/>
        <v>Gonzalo Espinoza Rojas</v>
      </c>
      <c r="M457" s="6" t="str">
        <f t="shared" si="2"/>
        <v>19.321.865-5</v>
      </c>
      <c r="N457" s="6" t="str">
        <f t="shared" si="3"/>
        <v>Maipú - Santiago - Región Metropolitana</v>
      </c>
      <c r="O457" s="4"/>
    </row>
    <row r="458">
      <c r="A458" s="1" t="s">
        <v>3350</v>
      </c>
      <c r="B458" s="1" t="s">
        <v>3351</v>
      </c>
      <c r="C458" s="1" t="s">
        <v>3352</v>
      </c>
      <c r="D458" s="1" t="s">
        <v>3353</v>
      </c>
      <c r="E458" s="1" t="s">
        <v>56</v>
      </c>
      <c r="F458" s="1" t="s">
        <v>39</v>
      </c>
      <c r="G458" s="1" t="s">
        <v>40</v>
      </c>
      <c r="H458" s="2">
        <v>1.141E7</v>
      </c>
      <c r="I458" s="1">
        <v>60.0</v>
      </c>
      <c r="J458" s="1" t="s">
        <v>20</v>
      </c>
      <c r="K458" s="5">
        <v>46186.0</v>
      </c>
      <c r="L458" s="4" t="str">
        <f t="shared" si="1"/>
        <v>Paula Morales Muñoz</v>
      </c>
      <c r="M458" s="6" t="str">
        <f t="shared" si="2"/>
        <v>14.530.108-8</v>
      </c>
      <c r="N458" s="6" t="str">
        <f t="shared" si="3"/>
        <v>Talcahuano - Concepción - Región del Biobío</v>
      </c>
      <c r="O458" s="4"/>
    </row>
    <row r="459">
      <c r="A459" s="1" t="s">
        <v>3354</v>
      </c>
      <c r="B459" s="1" t="s">
        <v>3355</v>
      </c>
      <c r="C459" s="1" t="s">
        <v>3356</v>
      </c>
      <c r="D459" s="1" t="s">
        <v>3357</v>
      </c>
      <c r="E459" s="1" t="s">
        <v>45</v>
      </c>
      <c r="F459" s="1" t="s">
        <v>45</v>
      </c>
      <c r="G459" s="1" t="s">
        <v>46</v>
      </c>
      <c r="H459" s="2">
        <v>2.038E7</v>
      </c>
      <c r="I459" s="1">
        <v>30.0</v>
      </c>
      <c r="J459" s="1" t="s">
        <v>47</v>
      </c>
      <c r="K459" s="5">
        <v>46143.0</v>
      </c>
      <c r="L459" s="4" t="str">
        <f t="shared" si="1"/>
        <v>Gonzalo López Vergara</v>
      </c>
      <c r="M459" s="6" t="str">
        <f t="shared" si="2"/>
        <v>17.556.280-2</v>
      </c>
      <c r="N459" s="6" t="str">
        <f t="shared" si="3"/>
        <v>Temuco - Temuco - Región de la Araucanía</v>
      </c>
      <c r="O459" s="4"/>
    </row>
    <row r="460">
      <c r="A460" s="1" t="s">
        <v>3358</v>
      </c>
      <c r="B460" s="1" t="s">
        <v>3359</v>
      </c>
      <c r="C460" s="1" t="s">
        <v>3360</v>
      </c>
      <c r="D460" s="1" t="s">
        <v>3361</v>
      </c>
      <c r="E460" s="1" t="s">
        <v>18</v>
      </c>
      <c r="F460" s="1" t="s">
        <v>18</v>
      </c>
      <c r="G460" s="1" t="s">
        <v>19</v>
      </c>
      <c r="H460" s="2">
        <v>3780000.0</v>
      </c>
      <c r="I460" s="1">
        <v>90.0</v>
      </c>
      <c r="J460" s="1" t="s">
        <v>28</v>
      </c>
      <c r="K460" s="5">
        <v>46048.0</v>
      </c>
      <c r="L460" s="4" t="str">
        <f t="shared" si="1"/>
        <v>Francisca Rodríguez Rodríguez</v>
      </c>
      <c r="M460" s="6" t="str">
        <f t="shared" si="2"/>
        <v>13.677.685-7</v>
      </c>
      <c r="N460" s="6" t="str">
        <f t="shared" si="3"/>
        <v>La Serena - La Serena - Región de Coquimbo</v>
      </c>
      <c r="O460" s="4"/>
    </row>
    <row r="461">
      <c r="A461" s="1" t="s">
        <v>3362</v>
      </c>
      <c r="B461" s="1" t="s">
        <v>3363</v>
      </c>
      <c r="C461" s="1" t="s">
        <v>3364</v>
      </c>
      <c r="D461" s="1" t="s">
        <v>3365</v>
      </c>
      <c r="E461" s="1" t="s">
        <v>72</v>
      </c>
      <c r="F461" s="1" t="s">
        <v>62</v>
      </c>
      <c r="G461" s="1" t="s">
        <v>63</v>
      </c>
      <c r="H461" s="2">
        <v>8650000.0</v>
      </c>
      <c r="I461" s="1">
        <v>0.0</v>
      </c>
      <c r="J461" s="1" t="s">
        <v>28</v>
      </c>
      <c r="K461" s="5">
        <v>46095.0</v>
      </c>
      <c r="L461" s="4" t="str">
        <f t="shared" si="1"/>
        <v>Javier Fuentes Vergara</v>
      </c>
      <c r="M461" s="6" t="str">
        <f t="shared" si="2"/>
        <v>21.978.377-3</v>
      </c>
      <c r="N461" s="6" t="str">
        <f t="shared" si="3"/>
        <v>Providencia - Santiago - Región Metropolitana</v>
      </c>
      <c r="O461" s="4"/>
    </row>
    <row r="462">
      <c r="A462" s="1" t="s">
        <v>3366</v>
      </c>
      <c r="B462" s="1" t="s">
        <v>3367</v>
      </c>
      <c r="C462" s="1" t="s">
        <v>3368</v>
      </c>
      <c r="D462" s="1" t="s">
        <v>3369</v>
      </c>
      <c r="E462" s="1" t="s">
        <v>25</v>
      </c>
      <c r="F462" s="1" t="s">
        <v>26</v>
      </c>
      <c r="G462" s="1" t="s">
        <v>27</v>
      </c>
      <c r="H462" s="2">
        <v>1.556E7</v>
      </c>
      <c r="I462" s="1">
        <v>90.0</v>
      </c>
      <c r="J462" s="1" t="s">
        <v>28</v>
      </c>
      <c r="K462" s="5">
        <v>46084.0</v>
      </c>
      <c r="L462" s="4" t="str">
        <f t="shared" si="1"/>
        <v>Loreto Muñoz Morales</v>
      </c>
      <c r="M462" s="6" t="str">
        <f t="shared" si="2"/>
        <v>18765805-3</v>
      </c>
      <c r="N462" s="6" t="str">
        <f t="shared" si="3"/>
        <v>Viña del Mar - Valparaíso - Región de Valparaíso</v>
      </c>
      <c r="O462" s="4"/>
    </row>
    <row r="463">
      <c r="A463" s="1" t="s">
        <v>2473</v>
      </c>
      <c r="B463" s="1" t="s">
        <v>2474</v>
      </c>
      <c r="C463" s="1" t="s">
        <v>3370</v>
      </c>
      <c r="D463" s="1" t="s">
        <v>2476</v>
      </c>
      <c r="E463" s="1" t="s">
        <v>72</v>
      </c>
      <c r="F463" s="1" t="s">
        <v>62</v>
      </c>
      <c r="G463" s="1" t="s">
        <v>63</v>
      </c>
      <c r="H463" s="2">
        <v>1.173E7</v>
      </c>
      <c r="I463" s="1">
        <v>90.0</v>
      </c>
      <c r="J463" s="1" t="s">
        <v>20</v>
      </c>
      <c r="K463" s="5">
        <v>46197.0</v>
      </c>
      <c r="L463" s="4" t="str">
        <f t="shared" si="1"/>
        <v>Claudio Contreras Rodríguez</v>
      </c>
      <c r="M463" s="6" t="str">
        <f t="shared" si="2"/>
        <v>22.496.173-1</v>
      </c>
      <c r="N463" s="6" t="str">
        <f t="shared" si="3"/>
        <v>Providencia - Santiago - Región Metropolitana</v>
      </c>
      <c r="O463" s="4"/>
    </row>
    <row r="464">
      <c r="A464" s="1" t="s">
        <v>3371</v>
      </c>
      <c r="B464" s="1" t="s">
        <v>3372</v>
      </c>
      <c r="C464" s="1" t="s">
        <v>3373</v>
      </c>
      <c r="D464" s="1" t="s">
        <v>3374</v>
      </c>
      <c r="E464" s="1" t="s">
        <v>25</v>
      </c>
      <c r="F464" s="1" t="s">
        <v>26</v>
      </c>
      <c r="G464" s="1" t="s">
        <v>27</v>
      </c>
      <c r="H464" s="2">
        <v>7250000.0</v>
      </c>
      <c r="I464" s="1">
        <v>120.0</v>
      </c>
      <c r="J464" s="1" t="s">
        <v>97</v>
      </c>
      <c r="K464" s="5">
        <v>46125.0</v>
      </c>
      <c r="L464" s="4" t="str">
        <f t="shared" si="1"/>
        <v>Javiera Rodríguez Rojas</v>
      </c>
      <c r="M464" s="6" t="str">
        <f t="shared" si="2"/>
        <v>12080467-K</v>
      </c>
      <c r="N464" s="6" t="str">
        <f t="shared" si="3"/>
        <v>Viña del Mar - Valparaíso - Región de Valparaíso</v>
      </c>
      <c r="O464" s="4"/>
    </row>
    <row r="465">
      <c r="A465" s="1" t="s">
        <v>3375</v>
      </c>
      <c r="B465" s="1" t="s">
        <v>3376</v>
      </c>
      <c r="C465" s="1" t="s">
        <v>3377</v>
      </c>
      <c r="D465" s="1" t="s">
        <v>3378</v>
      </c>
      <c r="E465" s="1" t="s">
        <v>26</v>
      </c>
      <c r="F465" s="1" t="s">
        <v>26</v>
      </c>
      <c r="G465" s="1" t="s">
        <v>27</v>
      </c>
      <c r="H465" s="2">
        <v>1.308E7</v>
      </c>
      <c r="I465" s="1">
        <v>60.0</v>
      </c>
      <c r="J465" s="1" t="s">
        <v>20</v>
      </c>
      <c r="K465" s="5">
        <v>46146.0</v>
      </c>
      <c r="L465" s="4" t="str">
        <f t="shared" si="1"/>
        <v>Esteban Morales Muñoz</v>
      </c>
      <c r="M465" s="6" t="str">
        <f t="shared" si="2"/>
        <v>22.205.910-K</v>
      </c>
      <c r="N465" s="6" t="str">
        <f t="shared" si="3"/>
        <v>Valparaíso - Valparaíso - Región de Valparaíso</v>
      </c>
      <c r="O465" s="4"/>
    </row>
    <row r="466">
      <c r="A466" s="1" t="s">
        <v>3382</v>
      </c>
      <c r="B466" s="1" t="s">
        <v>3383</v>
      </c>
      <c r="C466" s="1" t="s">
        <v>3384</v>
      </c>
      <c r="D466" s="1" t="s">
        <v>3385</v>
      </c>
      <c r="E466" s="1" t="s">
        <v>33</v>
      </c>
      <c r="F466" s="1" t="s">
        <v>33</v>
      </c>
      <c r="G466" s="1" t="s">
        <v>34</v>
      </c>
      <c r="H466" s="2">
        <v>1.262E7</v>
      </c>
      <c r="I466" s="1">
        <v>15.0</v>
      </c>
      <c r="J466" s="1" t="s">
        <v>73</v>
      </c>
      <c r="K466" s="5">
        <v>46122.0</v>
      </c>
      <c r="L466" s="4" t="str">
        <f t="shared" si="1"/>
        <v>Loreto Rodríguez Díaz</v>
      </c>
      <c r="M466" s="6" t="str">
        <f t="shared" si="2"/>
        <v>20.227.925-4</v>
      </c>
      <c r="N466" s="6" t="str">
        <f t="shared" si="3"/>
        <v>Puerto Montt - Puerto Montt - Región de Los Lagos</v>
      </c>
      <c r="O466" s="4"/>
    </row>
    <row r="467">
      <c r="A467" s="1" t="s">
        <v>3390</v>
      </c>
      <c r="B467" s="1" t="s">
        <v>3391</v>
      </c>
      <c r="C467" s="1" t="s">
        <v>3392</v>
      </c>
      <c r="D467" s="1" t="s">
        <v>3393</v>
      </c>
      <c r="E467" s="1" t="s">
        <v>194</v>
      </c>
      <c r="F467" s="1" t="s">
        <v>62</v>
      </c>
      <c r="G467" s="1" t="s">
        <v>63</v>
      </c>
      <c r="H467" s="2">
        <v>6670000.0</v>
      </c>
      <c r="I467" s="1">
        <v>90.0</v>
      </c>
      <c r="J467" s="1" t="s">
        <v>47</v>
      </c>
      <c r="K467" s="5">
        <v>46127.0</v>
      </c>
      <c r="L467" s="4" t="str">
        <f t="shared" si="1"/>
        <v>Javier Soto Vergara</v>
      </c>
      <c r="M467" s="6" t="str">
        <f t="shared" si="2"/>
        <v>19.767.846-K</v>
      </c>
      <c r="N467" s="6" t="str">
        <f t="shared" si="3"/>
        <v>Las Condes - Santiago - Región Metropolitana</v>
      </c>
      <c r="O467" s="4"/>
    </row>
    <row r="468">
      <c r="A468" s="1" t="s">
        <v>3397</v>
      </c>
      <c r="B468" s="1" t="s">
        <v>3398</v>
      </c>
      <c r="C468" s="1" t="s">
        <v>3399</v>
      </c>
      <c r="D468" s="1" t="s">
        <v>3400</v>
      </c>
      <c r="E468" s="1" t="s">
        <v>61</v>
      </c>
      <c r="F468" s="1" t="s">
        <v>62</v>
      </c>
      <c r="G468" s="1" t="s">
        <v>63</v>
      </c>
      <c r="H468" s="2">
        <v>1.873E7</v>
      </c>
      <c r="I468" s="1">
        <v>15.0</v>
      </c>
      <c r="J468" s="1" t="s">
        <v>47</v>
      </c>
      <c r="K468" s="5">
        <v>46124.0</v>
      </c>
      <c r="L468" s="4" t="str">
        <f t="shared" si="1"/>
        <v>Valentina Muñoz Díaz</v>
      </c>
      <c r="M468" s="6" t="str">
        <f t="shared" si="2"/>
        <v>14.863.931-1</v>
      </c>
      <c r="N468" s="6" t="str">
        <f t="shared" si="3"/>
        <v>Santiago Centro - Santiago - Región Metropolitana</v>
      </c>
      <c r="O468" s="4"/>
    </row>
    <row r="469">
      <c r="A469" s="1" t="s">
        <v>3405</v>
      </c>
      <c r="B469" s="1" t="s">
        <v>3406</v>
      </c>
      <c r="C469" s="1" t="s">
        <v>3407</v>
      </c>
      <c r="D469" s="1" t="s">
        <v>1305</v>
      </c>
      <c r="E469" s="1" t="s">
        <v>61</v>
      </c>
      <c r="F469" s="1" t="s">
        <v>62</v>
      </c>
      <c r="G469" s="1" t="s">
        <v>63</v>
      </c>
      <c r="H469" s="2">
        <v>3170000.0</v>
      </c>
      <c r="I469" s="1">
        <v>0.0</v>
      </c>
      <c r="J469" s="1" t="s">
        <v>47</v>
      </c>
      <c r="K469" s="5">
        <v>46068.0</v>
      </c>
      <c r="L469" s="4" t="str">
        <f t="shared" si="1"/>
        <v>Hernán Tapia Espinoza</v>
      </c>
      <c r="M469" s="6" t="str">
        <f t="shared" si="2"/>
        <v>21.727.277-4</v>
      </c>
      <c r="N469" s="6" t="str">
        <f t="shared" si="3"/>
        <v>Santiago Centro - Santiago - Región Metropolitana</v>
      </c>
      <c r="O469" s="4"/>
    </row>
    <row r="470">
      <c r="A470" s="1" t="s">
        <v>3413</v>
      </c>
      <c r="B470" s="1" t="s">
        <v>3414</v>
      </c>
      <c r="C470" s="1" t="s">
        <v>3415</v>
      </c>
      <c r="D470" s="1" t="s">
        <v>3416</v>
      </c>
      <c r="E470" s="1" t="s">
        <v>33</v>
      </c>
      <c r="F470" s="1" t="s">
        <v>33</v>
      </c>
      <c r="G470" s="1" t="s">
        <v>34</v>
      </c>
      <c r="H470" s="2">
        <v>1950000.0</v>
      </c>
      <c r="I470" s="1">
        <v>120.0</v>
      </c>
      <c r="J470" s="1" t="s">
        <v>47</v>
      </c>
      <c r="K470" s="5">
        <v>46161.0</v>
      </c>
      <c r="L470" s="4" t="str">
        <f t="shared" si="1"/>
        <v>Valentina Silva Pérez</v>
      </c>
      <c r="M470" s="6" t="str">
        <f t="shared" si="2"/>
        <v>12.150.969-1</v>
      </c>
      <c r="N470" s="6" t="str">
        <f t="shared" si="3"/>
        <v>Puerto Montt - Puerto Montt - Región de Los Lagos</v>
      </c>
      <c r="O470" s="4"/>
    </row>
    <row r="471">
      <c r="A471" s="1" t="s">
        <v>3421</v>
      </c>
      <c r="B471" s="1" t="s">
        <v>3422</v>
      </c>
      <c r="C471" s="1" t="s">
        <v>3423</v>
      </c>
      <c r="D471" s="1" t="s">
        <v>1175</v>
      </c>
      <c r="E471" s="1" t="s">
        <v>45</v>
      </c>
      <c r="F471" s="1" t="s">
        <v>45</v>
      </c>
      <c r="G471" s="1" t="s">
        <v>46</v>
      </c>
      <c r="H471" s="2">
        <v>6430000.0</v>
      </c>
      <c r="I471" s="1">
        <v>90.0</v>
      </c>
      <c r="J471" s="1" t="s">
        <v>73</v>
      </c>
      <c r="K471" s="5">
        <v>46098.0</v>
      </c>
      <c r="L471" s="4" t="str">
        <f t="shared" si="1"/>
        <v>Matías Valenzuela Tapia</v>
      </c>
      <c r="M471" s="6" t="str">
        <f t="shared" si="2"/>
        <v>22.089.634-3</v>
      </c>
      <c r="N471" s="6" t="str">
        <f t="shared" si="3"/>
        <v>Temuco - Temuco - Región de la Araucanía</v>
      </c>
      <c r="O471" s="4"/>
    </row>
    <row r="472">
      <c r="A472" s="1" t="s">
        <v>1142</v>
      </c>
      <c r="B472" s="1" t="s">
        <v>1144</v>
      </c>
      <c r="C472" s="1" t="s">
        <v>1145</v>
      </c>
      <c r="D472" s="1" t="s">
        <v>1146</v>
      </c>
      <c r="E472" s="1" t="s">
        <v>194</v>
      </c>
      <c r="F472" s="1" t="s">
        <v>62</v>
      </c>
      <c r="G472" s="1" t="s">
        <v>63</v>
      </c>
      <c r="H472" s="2">
        <v>9790000.0</v>
      </c>
      <c r="I472" s="1">
        <v>120.0</v>
      </c>
      <c r="J472" s="1" t="s">
        <v>97</v>
      </c>
      <c r="K472" s="5">
        <v>46066.0</v>
      </c>
      <c r="L472" s="4" t="str">
        <f t="shared" si="1"/>
        <v>Beatriz González Sepúlveda</v>
      </c>
      <c r="M472" s="6" t="str">
        <f t="shared" si="2"/>
        <v>19.083.668-6</v>
      </c>
      <c r="N472" s="6" t="str">
        <f t="shared" si="3"/>
        <v>Las Condes - Santiago - Región Metropolitana</v>
      </c>
      <c r="O472" s="4"/>
    </row>
    <row r="473">
      <c r="A473" s="1" t="s">
        <v>3339</v>
      </c>
      <c r="B473" s="1" t="s">
        <v>3340</v>
      </c>
      <c r="C473" s="1" t="s">
        <v>3341</v>
      </c>
      <c r="D473" s="1" t="s">
        <v>3342</v>
      </c>
      <c r="E473" s="1" t="s">
        <v>72</v>
      </c>
      <c r="F473" s="1" t="s">
        <v>62</v>
      </c>
      <c r="G473" s="1" t="s">
        <v>63</v>
      </c>
      <c r="H473" s="2">
        <v>1.799E7</v>
      </c>
      <c r="I473" s="1">
        <v>0.0</v>
      </c>
      <c r="J473" s="1" t="s">
        <v>73</v>
      </c>
      <c r="K473" s="5">
        <v>46104.0</v>
      </c>
      <c r="L473" s="4" t="str">
        <f t="shared" si="1"/>
        <v>Diego Rojas Vergara</v>
      </c>
      <c r="M473" s="6" t="str">
        <f t="shared" si="2"/>
        <v>12.218.638-K</v>
      </c>
      <c r="N473" s="6" t="str">
        <f t="shared" si="3"/>
        <v>Providencia - Santiago - Región Metropolitana</v>
      </c>
      <c r="O473" s="4"/>
    </row>
    <row r="474">
      <c r="A474" s="1" t="s">
        <v>3435</v>
      </c>
      <c r="B474" s="1" t="s">
        <v>3436</v>
      </c>
      <c r="C474" s="1" t="s">
        <v>3437</v>
      </c>
      <c r="D474" s="1" t="s">
        <v>3438</v>
      </c>
      <c r="E474" s="1" t="s">
        <v>18</v>
      </c>
      <c r="F474" s="1" t="s">
        <v>18</v>
      </c>
      <c r="G474" s="1" t="s">
        <v>19</v>
      </c>
      <c r="H474" s="2">
        <v>7900000.0</v>
      </c>
      <c r="I474" s="1">
        <v>30.0</v>
      </c>
      <c r="J474" s="1" t="s">
        <v>73</v>
      </c>
      <c r="K474" s="5">
        <v>46072.0</v>
      </c>
      <c r="L474" s="4" t="str">
        <f t="shared" si="1"/>
        <v>Fernanda Rodríguez Fuentes</v>
      </c>
      <c r="M474" s="6" t="str">
        <f t="shared" si="2"/>
        <v>21.856.829-7</v>
      </c>
      <c r="N474" s="6" t="str">
        <f t="shared" si="3"/>
        <v>La Serena - La Serena - Región de Coquimbo</v>
      </c>
      <c r="O474" s="4"/>
    </row>
    <row r="475">
      <c r="A475" s="1" t="s">
        <v>2712</v>
      </c>
      <c r="B475" s="1" t="s">
        <v>2714</v>
      </c>
      <c r="C475" s="1" t="s">
        <v>3442</v>
      </c>
      <c r="D475" s="1" t="s">
        <v>2720</v>
      </c>
      <c r="E475" s="1" t="s">
        <v>118</v>
      </c>
      <c r="F475" s="1" t="s">
        <v>62</v>
      </c>
      <c r="G475" s="1" t="s">
        <v>63</v>
      </c>
      <c r="H475" s="2">
        <v>1.706E7</v>
      </c>
      <c r="I475" s="1">
        <v>0.0</v>
      </c>
      <c r="J475" s="1" t="s">
        <v>20</v>
      </c>
      <c r="K475" s="5">
        <v>46196.0</v>
      </c>
      <c r="L475" s="4" t="str">
        <f t="shared" si="1"/>
        <v>Claudio Valenzuela López</v>
      </c>
      <c r="M475" s="6" t="str">
        <f t="shared" si="2"/>
        <v>16989738-2</v>
      </c>
      <c r="N475" s="6" t="str">
        <f t="shared" si="3"/>
        <v>Maipú - Santiago - Región Metropolitana</v>
      </c>
      <c r="O475" s="4"/>
    </row>
    <row r="476">
      <c r="A476" s="1" t="s">
        <v>3447</v>
      </c>
      <c r="B476" s="1" t="s">
        <v>3448</v>
      </c>
      <c r="C476" s="1" t="s">
        <v>3449</v>
      </c>
      <c r="D476" s="1" t="s">
        <v>3450</v>
      </c>
      <c r="E476" s="1" t="s">
        <v>26</v>
      </c>
      <c r="F476" s="1" t="s">
        <v>26</v>
      </c>
      <c r="G476" s="1" t="s">
        <v>27</v>
      </c>
      <c r="H476" s="2">
        <v>1.432E7</v>
      </c>
      <c r="I476" s="1">
        <v>0.0</v>
      </c>
      <c r="J476" s="1" t="s">
        <v>28</v>
      </c>
      <c r="K476" s="5">
        <v>46229.0</v>
      </c>
      <c r="L476" s="4" t="str">
        <f t="shared" si="1"/>
        <v>Marcela Valenzuela Vergara</v>
      </c>
      <c r="M476" s="6" t="str">
        <f t="shared" si="2"/>
        <v>14.508.733-0</v>
      </c>
      <c r="N476" s="6" t="str">
        <f t="shared" si="3"/>
        <v>Valparaíso - Valparaíso - Región de Valparaíso</v>
      </c>
      <c r="O476" s="4"/>
    </row>
    <row r="477">
      <c r="A477" s="1" t="s">
        <v>3452</v>
      </c>
      <c r="B477" s="1" t="s">
        <v>3453</v>
      </c>
      <c r="C477" s="1" t="s">
        <v>3454</v>
      </c>
      <c r="D477" s="1" t="s">
        <v>3455</v>
      </c>
      <c r="E477" s="1" t="s">
        <v>25</v>
      </c>
      <c r="F477" s="1" t="s">
        <v>26</v>
      </c>
      <c r="G477" s="1" t="s">
        <v>27</v>
      </c>
      <c r="H477" s="2">
        <v>1.707E7</v>
      </c>
      <c r="I477" s="1">
        <v>0.0</v>
      </c>
      <c r="J477" s="1" t="s">
        <v>97</v>
      </c>
      <c r="K477" s="5">
        <v>46152.0</v>
      </c>
      <c r="L477" s="4" t="str">
        <f t="shared" si="1"/>
        <v>Javier Soto Silva</v>
      </c>
      <c r="M477" s="6" t="str">
        <f t="shared" si="2"/>
        <v>15.017.305-3</v>
      </c>
      <c r="N477" s="6" t="str">
        <f t="shared" si="3"/>
        <v>Viña del Mar - Valparaíso - Región de Valparaíso</v>
      </c>
      <c r="O477" s="4"/>
    </row>
    <row r="478">
      <c r="A478" s="1" t="s">
        <v>3458</v>
      </c>
      <c r="B478" s="1" t="s">
        <v>3460</v>
      </c>
      <c r="C478" s="1" t="s">
        <v>3461</v>
      </c>
      <c r="D478" s="1" t="s">
        <v>3462</v>
      </c>
      <c r="E478" s="1" t="s">
        <v>33</v>
      </c>
      <c r="F478" s="1" t="s">
        <v>33</v>
      </c>
      <c r="G478" s="1" t="s">
        <v>34</v>
      </c>
      <c r="H478" s="2">
        <v>1.166E7</v>
      </c>
      <c r="I478" s="1">
        <v>15.0</v>
      </c>
      <c r="J478" s="1" t="s">
        <v>97</v>
      </c>
      <c r="K478" s="5">
        <v>46205.0</v>
      </c>
      <c r="L478" s="4" t="str">
        <f t="shared" si="1"/>
        <v>Macarena Espinoza Espinoza</v>
      </c>
      <c r="M478" s="6" t="str">
        <f t="shared" si="2"/>
        <v>14.114.949-7</v>
      </c>
      <c r="N478" s="6" t="str">
        <f t="shared" si="3"/>
        <v>Puerto Montt - Puerto Montt - Región de Los Lagos</v>
      </c>
      <c r="O478" s="4"/>
    </row>
    <row r="479">
      <c r="A479" s="1" t="s">
        <v>3463</v>
      </c>
      <c r="B479" s="1" t="s">
        <v>3464</v>
      </c>
      <c r="C479" s="1" t="s">
        <v>3465</v>
      </c>
      <c r="D479" s="1" t="s">
        <v>3466</v>
      </c>
      <c r="E479" s="1" t="s">
        <v>25</v>
      </c>
      <c r="F479" s="1" t="s">
        <v>26</v>
      </c>
      <c r="G479" s="1" t="s">
        <v>27</v>
      </c>
      <c r="H479" s="2">
        <v>8820000.0</v>
      </c>
      <c r="I479" s="1">
        <v>0.0</v>
      </c>
      <c r="J479" s="1" t="s">
        <v>20</v>
      </c>
      <c r="K479" s="5">
        <v>46149.0</v>
      </c>
      <c r="L479" s="4" t="str">
        <f t="shared" si="1"/>
        <v>Matías Soto Vergara</v>
      </c>
      <c r="M479" s="6" t="str">
        <f t="shared" si="2"/>
        <v>16.919.998-8</v>
      </c>
      <c r="N479" s="6" t="str">
        <f t="shared" si="3"/>
        <v>Viña del Mar - Valparaíso - Región de Valparaíso</v>
      </c>
      <c r="O479" s="4"/>
    </row>
    <row r="480">
      <c r="A480" s="1" t="s">
        <v>3467</v>
      </c>
      <c r="B480" s="1" t="s">
        <v>3468</v>
      </c>
      <c r="C480" s="1" t="s">
        <v>3470</v>
      </c>
      <c r="D480" s="1" t="s">
        <v>2623</v>
      </c>
      <c r="E480" s="1" t="s">
        <v>56</v>
      </c>
      <c r="F480" s="1" t="s">
        <v>39</v>
      </c>
      <c r="G480" s="1" t="s">
        <v>40</v>
      </c>
      <c r="H480" s="2">
        <v>9040000.0</v>
      </c>
      <c r="I480" s="1">
        <v>45.0</v>
      </c>
      <c r="J480" s="1" t="s">
        <v>73</v>
      </c>
      <c r="K480" s="5">
        <v>46230.0</v>
      </c>
      <c r="L480" s="4" t="str">
        <f t="shared" si="1"/>
        <v>Valentina Pérez Espinoza</v>
      </c>
      <c r="M480" s="6" t="str">
        <f t="shared" si="2"/>
        <v>13.940.643-3</v>
      </c>
      <c r="N480" s="6" t="str">
        <f t="shared" si="3"/>
        <v>Talcahuano - Concepción - Región del Biobío</v>
      </c>
      <c r="O480" s="4"/>
    </row>
    <row r="481">
      <c r="A481" s="1" t="s">
        <v>3474</v>
      </c>
      <c r="B481" s="1" t="s">
        <v>3475</v>
      </c>
      <c r="C481" s="1" t="s">
        <v>3476</v>
      </c>
      <c r="D481" s="1" t="s">
        <v>3477</v>
      </c>
      <c r="E481" s="1" t="s">
        <v>33</v>
      </c>
      <c r="F481" s="1" t="s">
        <v>33</v>
      </c>
      <c r="G481" s="1" t="s">
        <v>34</v>
      </c>
      <c r="H481" s="2">
        <v>5620000.0</v>
      </c>
      <c r="I481" s="1">
        <v>0.0</v>
      </c>
      <c r="J481" s="1" t="s">
        <v>20</v>
      </c>
      <c r="K481" s="5">
        <v>46060.0</v>
      </c>
      <c r="L481" s="4" t="str">
        <f t="shared" si="1"/>
        <v>Gabriel Sepúlveda Araya</v>
      </c>
      <c r="M481" s="6" t="str">
        <f t="shared" si="2"/>
        <v>17082484-5</v>
      </c>
      <c r="N481" s="6" t="str">
        <f t="shared" si="3"/>
        <v>Puerto Montt - Puerto Montt - Región de Los Lagos</v>
      </c>
      <c r="O481" s="4"/>
    </row>
    <row r="482">
      <c r="A482" s="1" t="s">
        <v>3479</v>
      </c>
      <c r="B482" s="1" t="s">
        <v>3480</v>
      </c>
      <c r="C482" s="1" t="s">
        <v>3481</v>
      </c>
      <c r="D482" s="1" t="s">
        <v>3482</v>
      </c>
      <c r="E482" s="1" t="s">
        <v>33</v>
      </c>
      <c r="F482" s="1" t="s">
        <v>33</v>
      </c>
      <c r="G482" s="1" t="s">
        <v>34</v>
      </c>
      <c r="H482" s="2">
        <v>9270000.0</v>
      </c>
      <c r="I482" s="1">
        <v>15.0</v>
      </c>
      <c r="J482" s="1" t="s">
        <v>20</v>
      </c>
      <c r="K482" s="5">
        <v>46095.0</v>
      </c>
      <c r="L482" s="4" t="str">
        <f t="shared" si="1"/>
        <v>Francisca Rojas Sepúlveda</v>
      </c>
      <c r="M482" s="6" t="str">
        <f t="shared" si="2"/>
        <v>17530160-K</v>
      </c>
      <c r="N482" s="6" t="str">
        <f t="shared" si="3"/>
        <v>Puerto Montt - Puerto Montt - Región de Los Lagos</v>
      </c>
      <c r="O482" s="4"/>
    </row>
    <row r="483">
      <c r="A483" s="1" t="s">
        <v>3483</v>
      </c>
      <c r="B483" s="1" t="s">
        <v>3484</v>
      </c>
      <c r="C483" s="1" t="s">
        <v>3485</v>
      </c>
      <c r="D483" s="1" t="s">
        <v>3486</v>
      </c>
      <c r="E483" s="1" t="s">
        <v>39</v>
      </c>
      <c r="F483" s="1" t="s">
        <v>39</v>
      </c>
      <c r="G483" s="1" t="s">
        <v>40</v>
      </c>
      <c r="H483" s="2">
        <v>8540000.0</v>
      </c>
      <c r="I483" s="1">
        <v>120.0</v>
      </c>
      <c r="J483" s="1" t="s">
        <v>47</v>
      </c>
      <c r="K483" s="5">
        <v>46094.0</v>
      </c>
      <c r="L483" s="4" t="str">
        <f t="shared" si="1"/>
        <v>Felipe Fuentes Tapia</v>
      </c>
      <c r="M483" s="6" t="str">
        <f t="shared" si="2"/>
        <v>11.634.869-2</v>
      </c>
      <c r="N483" s="6" t="str">
        <f t="shared" si="3"/>
        <v>Concepción - Concepción - Región del Biobío</v>
      </c>
      <c r="O483" s="4"/>
    </row>
    <row r="484">
      <c r="A484" s="1" t="s">
        <v>3491</v>
      </c>
      <c r="B484" s="1" t="s">
        <v>3492</v>
      </c>
      <c r="C484" s="1" t="s">
        <v>3493</v>
      </c>
      <c r="D484" s="1" t="s">
        <v>3494</v>
      </c>
      <c r="E484" s="1" t="s">
        <v>25</v>
      </c>
      <c r="F484" s="1" t="s">
        <v>26</v>
      </c>
      <c r="G484" s="1" t="s">
        <v>27</v>
      </c>
      <c r="H484" s="2">
        <v>8570000.0</v>
      </c>
      <c r="I484" s="1">
        <v>90.0</v>
      </c>
      <c r="J484" s="1" t="s">
        <v>28</v>
      </c>
      <c r="K484" s="5">
        <v>46223.0</v>
      </c>
      <c r="L484" s="4" t="str">
        <f t="shared" si="1"/>
        <v>Marcela Díaz Soto</v>
      </c>
      <c r="M484" s="6" t="str">
        <f t="shared" si="2"/>
        <v>19.242.265-4</v>
      </c>
      <c r="N484" s="6" t="str">
        <f t="shared" si="3"/>
        <v>Viña del Mar - Valparaíso - Región de Valparaíso</v>
      </c>
      <c r="O484" s="4"/>
    </row>
    <row r="485">
      <c r="A485" s="1" t="s">
        <v>3499</v>
      </c>
      <c r="B485" s="1" t="s">
        <v>3500</v>
      </c>
      <c r="C485" s="1" t="s">
        <v>3501</v>
      </c>
      <c r="D485" s="1" t="s">
        <v>3502</v>
      </c>
      <c r="E485" s="1" t="s">
        <v>109</v>
      </c>
      <c r="F485" s="1" t="s">
        <v>62</v>
      </c>
      <c r="G485" s="1" t="s">
        <v>63</v>
      </c>
      <c r="H485" s="2">
        <v>1500000.0</v>
      </c>
      <c r="I485" s="1">
        <v>90.0</v>
      </c>
      <c r="J485" s="1" t="s">
        <v>73</v>
      </c>
      <c r="K485" s="5">
        <v>46147.0</v>
      </c>
      <c r="L485" s="4" t="str">
        <f t="shared" si="1"/>
        <v>Sebastián Fuentes Soto</v>
      </c>
      <c r="M485" s="6" t="str">
        <f t="shared" si="2"/>
        <v>17976596-0</v>
      </c>
      <c r="N485" s="6" t="str">
        <f t="shared" si="3"/>
        <v>Ñuñoa - Santiago - Región Metropolitana</v>
      </c>
      <c r="O485" s="4"/>
    </row>
    <row r="486">
      <c r="A486" s="1" t="s">
        <v>3089</v>
      </c>
      <c r="B486" s="1" t="s">
        <v>3090</v>
      </c>
      <c r="C486" s="1" t="s">
        <v>3504</v>
      </c>
      <c r="D486" s="1" t="s">
        <v>3096</v>
      </c>
      <c r="E486" s="1" t="s">
        <v>39</v>
      </c>
      <c r="F486" s="1" t="s">
        <v>39</v>
      </c>
      <c r="G486" s="1" t="s">
        <v>40</v>
      </c>
      <c r="H486" s="2">
        <v>1.359E7</v>
      </c>
      <c r="I486" s="1">
        <v>0.0</v>
      </c>
      <c r="J486" s="1" t="s">
        <v>20</v>
      </c>
      <c r="K486" s="5">
        <v>46210.0</v>
      </c>
      <c r="L486" s="4" t="str">
        <f t="shared" si="1"/>
        <v>Daniela González Vergara</v>
      </c>
      <c r="M486" s="6" t="str">
        <f t="shared" si="2"/>
        <v>18.012.616-2</v>
      </c>
      <c r="N486" s="6" t="str">
        <f t="shared" si="3"/>
        <v>Concepción - Concepción - Región del Biobío</v>
      </c>
      <c r="O486" s="4"/>
    </row>
    <row r="487">
      <c r="A487" s="1" t="s">
        <v>3508</v>
      </c>
      <c r="B487" s="1" t="s">
        <v>3509</v>
      </c>
      <c r="C487" s="1" t="s">
        <v>3510</v>
      </c>
      <c r="D487" s="1" t="s">
        <v>3511</v>
      </c>
      <c r="E487" s="1" t="s">
        <v>33</v>
      </c>
      <c r="F487" s="1" t="s">
        <v>33</v>
      </c>
      <c r="G487" s="1" t="s">
        <v>34</v>
      </c>
      <c r="H487" s="2">
        <v>1820000.0</v>
      </c>
      <c r="I487" s="1">
        <v>60.0</v>
      </c>
      <c r="J487" s="1" t="s">
        <v>73</v>
      </c>
      <c r="K487" s="5">
        <v>46230.0</v>
      </c>
      <c r="L487" s="4" t="str">
        <f t="shared" si="1"/>
        <v>Javier Rodríguez Vergara</v>
      </c>
      <c r="M487" s="6" t="str">
        <f t="shared" si="2"/>
        <v>12653236-K</v>
      </c>
      <c r="N487" s="6" t="str">
        <f t="shared" si="3"/>
        <v>Puerto Montt - Puerto Montt - Región de Los Lagos</v>
      </c>
      <c r="O487" s="4"/>
    </row>
    <row r="488">
      <c r="A488" s="1" t="s">
        <v>3516</v>
      </c>
      <c r="B488" s="1" t="s">
        <v>3517</v>
      </c>
      <c r="C488" s="1" t="s">
        <v>3518</v>
      </c>
      <c r="D488" s="1" t="s">
        <v>3519</v>
      </c>
      <c r="E488" s="1" t="s">
        <v>26</v>
      </c>
      <c r="F488" s="1" t="s">
        <v>26</v>
      </c>
      <c r="G488" s="1" t="s">
        <v>27</v>
      </c>
      <c r="H488" s="2">
        <v>1.768E7</v>
      </c>
      <c r="I488" s="1">
        <v>45.0</v>
      </c>
      <c r="J488" s="1" t="s">
        <v>47</v>
      </c>
      <c r="K488" s="5">
        <v>46205.0</v>
      </c>
      <c r="L488" s="4" t="str">
        <f t="shared" si="1"/>
        <v>Valentina Valenzuela Araya</v>
      </c>
      <c r="M488" s="6" t="str">
        <f t="shared" si="2"/>
        <v>17.871.403-2</v>
      </c>
      <c r="N488" s="6" t="str">
        <f t="shared" si="3"/>
        <v>Valparaíso - Valparaíso - Región de Valparaíso</v>
      </c>
      <c r="O488" s="4"/>
    </row>
    <row r="489">
      <c r="A489" s="1" t="s">
        <v>3524</v>
      </c>
      <c r="B489" s="1" t="s">
        <v>3525</v>
      </c>
      <c r="C489" s="1" t="s">
        <v>3526</v>
      </c>
      <c r="D489" s="1" t="s">
        <v>3527</v>
      </c>
      <c r="E489" s="1" t="s">
        <v>25</v>
      </c>
      <c r="F489" s="1" t="s">
        <v>26</v>
      </c>
      <c r="G489" s="1" t="s">
        <v>27</v>
      </c>
      <c r="H489" s="2">
        <v>1.481E7</v>
      </c>
      <c r="I489" s="1">
        <v>15.0</v>
      </c>
      <c r="J489" s="1" t="s">
        <v>47</v>
      </c>
      <c r="K489" s="5">
        <v>46062.0</v>
      </c>
      <c r="L489" s="4" t="str">
        <f t="shared" si="1"/>
        <v>Tomas Soto González</v>
      </c>
      <c r="M489" s="6" t="str">
        <f t="shared" si="2"/>
        <v>11768210-4</v>
      </c>
      <c r="N489" s="6" t="str">
        <f t="shared" si="3"/>
        <v>Viña del Mar - Valparaíso - Región de Valparaíso</v>
      </c>
      <c r="O489" s="4"/>
    </row>
    <row r="490">
      <c r="A490" s="1" t="s">
        <v>3167</v>
      </c>
      <c r="B490" s="1" t="s">
        <v>3169</v>
      </c>
      <c r="C490" s="1" t="s">
        <v>2048</v>
      </c>
      <c r="D490" s="1" t="s">
        <v>3171</v>
      </c>
      <c r="E490" s="1" t="s">
        <v>26</v>
      </c>
      <c r="F490" s="1" t="s">
        <v>26</v>
      </c>
      <c r="G490" s="1" t="s">
        <v>27</v>
      </c>
      <c r="H490" s="2">
        <v>1.318E7</v>
      </c>
      <c r="I490" s="1">
        <v>15.0</v>
      </c>
      <c r="J490" s="1" t="s">
        <v>73</v>
      </c>
      <c r="K490" s="5">
        <v>46167.0</v>
      </c>
      <c r="L490" s="4" t="str">
        <f t="shared" si="1"/>
        <v>Daniela Rodríguez Muñoz</v>
      </c>
      <c r="M490" s="6" t="str">
        <f t="shared" si="2"/>
        <v>14106242-5</v>
      </c>
      <c r="N490" s="6" t="str">
        <f t="shared" si="3"/>
        <v>Valparaíso - Valparaíso - Región de Valparaíso</v>
      </c>
      <c r="O490" s="4"/>
    </row>
    <row r="491">
      <c r="A491" s="1" t="s">
        <v>3528</v>
      </c>
      <c r="B491" s="1" t="s">
        <v>3529</v>
      </c>
      <c r="C491" s="1" t="s">
        <v>3530</v>
      </c>
      <c r="D491" s="1" t="s">
        <v>300</v>
      </c>
      <c r="E491" s="1" t="s">
        <v>39</v>
      </c>
      <c r="F491" s="1" t="s">
        <v>39</v>
      </c>
      <c r="G491" s="1" t="s">
        <v>40</v>
      </c>
      <c r="H491" s="2">
        <v>5060000.0</v>
      </c>
      <c r="I491" s="1">
        <v>120.0</v>
      </c>
      <c r="J491" s="1" t="s">
        <v>47</v>
      </c>
      <c r="K491" s="5">
        <v>46190.0</v>
      </c>
      <c r="L491" s="4" t="str">
        <f t="shared" si="1"/>
        <v>Sebastián López Morales</v>
      </c>
      <c r="M491" s="6" t="str">
        <f t="shared" si="2"/>
        <v>20.266.622-8</v>
      </c>
      <c r="N491" s="6" t="str">
        <f t="shared" si="3"/>
        <v>Concepción - Concepción - Región del Biobío</v>
      </c>
      <c r="O491" s="4"/>
    </row>
    <row r="492">
      <c r="A492" s="1" t="s">
        <v>2791</v>
      </c>
      <c r="B492" s="1" t="s">
        <v>2793</v>
      </c>
      <c r="C492" s="1" t="s">
        <v>3531</v>
      </c>
      <c r="D492" s="1" t="s">
        <v>2796</v>
      </c>
      <c r="E492" s="1" t="s">
        <v>158</v>
      </c>
      <c r="F492" s="1" t="s">
        <v>158</v>
      </c>
      <c r="G492" s="1" t="s">
        <v>159</v>
      </c>
      <c r="H492" s="2">
        <v>1.407E7</v>
      </c>
      <c r="I492" s="1">
        <v>120.0</v>
      </c>
      <c r="J492" s="1" t="s">
        <v>47</v>
      </c>
      <c r="K492" s="5">
        <v>46068.0</v>
      </c>
      <c r="L492" s="4" t="str">
        <f t="shared" si="1"/>
        <v>Constanza Morales López</v>
      </c>
      <c r="M492" s="6" t="str">
        <f t="shared" si="2"/>
        <v>15089448-8</v>
      </c>
      <c r="N492" s="6" t="str">
        <f t="shared" si="3"/>
        <v>Antofagasta - Antofagasta - Región de Antofagasta</v>
      </c>
      <c r="O492" s="4"/>
    </row>
    <row r="493">
      <c r="A493" s="1" t="s">
        <v>3532</v>
      </c>
      <c r="B493" s="1" t="s">
        <v>3533</v>
      </c>
      <c r="C493" s="1" t="s">
        <v>3534</v>
      </c>
      <c r="D493" s="1" t="s">
        <v>3535</v>
      </c>
      <c r="E493" s="1" t="s">
        <v>26</v>
      </c>
      <c r="F493" s="1" t="s">
        <v>26</v>
      </c>
      <c r="G493" s="1" t="s">
        <v>27</v>
      </c>
      <c r="H493" s="2">
        <v>1.82E7</v>
      </c>
      <c r="I493" s="1">
        <v>0.0</v>
      </c>
      <c r="J493" s="1" t="s">
        <v>20</v>
      </c>
      <c r="K493" s="5">
        <v>46210.0</v>
      </c>
      <c r="L493" s="4" t="str">
        <f t="shared" si="1"/>
        <v>Gonzalo Pérez Díaz</v>
      </c>
      <c r="M493" s="6" t="str">
        <f t="shared" si="2"/>
        <v>13.317.013-0</v>
      </c>
      <c r="N493" s="6" t="str">
        <f t="shared" si="3"/>
        <v>Valparaíso - Valparaíso - Región de Valparaíso</v>
      </c>
      <c r="O493" s="4"/>
    </row>
    <row r="494">
      <c r="A494" s="1" t="s">
        <v>2396</v>
      </c>
      <c r="B494" s="1" t="s">
        <v>2397</v>
      </c>
      <c r="C494" s="1" t="s">
        <v>2398</v>
      </c>
      <c r="D494" s="1" t="s">
        <v>2400</v>
      </c>
      <c r="E494" s="1" t="s">
        <v>158</v>
      </c>
      <c r="F494" s="1" t="s">
        <v>158</v>
      </c>
      <c r="G494" s="1" t="s">
        <v>159</v>
      </c>
      <c r="H494" s="2">
        <v>1.867E7</v>
      </c>
      <c r="I494" s="1">
        <v>0.0</v>
      </c>
      <c r="J494" s="1" t="s">
        <v>73</v>
      </c>
      <c r="K494" s="5">
        <v>46197.0</v>
      </c>
      <c r="L494" s="4" t="str">
        <f t="shared" si="1"/>
        <v>Catalina Silva Díaz</v>
      </c>
      <c r="M494" s="6" t="str">
        <f t="shared" si="2"/>
        <v>21725442-1</v>
      </c>
      <c r="N494" s="6" t="str">
        <f t="shared" si="3"/>
        <v>Antofagasta - Antofagasta - Región de Antofagasta</v>
      </c>
      <c r="O494" s="4"/>
    </row>
    <row r="495">
      <c r="A495" s="1" t="s">
        <v>3537</v>
      </c>
      <c r="B495" s="1" t="s">
        <v>3538</v>
      </c>
      <c r="C495" s="1" t="s">
        <v>2592</v>
      </c>
      <c r="D495" s="1" t="s">
        <v>3540</v>
      </c>
      <c r="E495" s="1" t="s">
        <v>194</v>
      </c>
      <c r="F495" s="1" t="s">
        <v>62</v>
      </c>
      <c r="G495" s="1" t="s">
        <v>63</v>
      </c>
      <c r="H495" s="2">
        <v>8170000.0</v>
      </c>
      <c r="I495" s="1">
        <v>90.0</v>
      </c>
      <c r="J495" s="1" t="s">
        <v>28</v>
      </c>
      <c r="K495" s="5">
        <v>46054.0</v>
      </c>
      <c r="L495" s="4" t="str">
        <f t="shared" si="1"/>
        <v>Javier Araya Pérez</v>
      </c>
      <c r="M495" s="6" t="str">
        <f t="shared" si="2"/>
        <v>12.587.011-9</v>
      </c>
      <c r="N495" s="6" t="str">
        <f t="shared" si="3"/>
        <v>Las Condes - Santiago - Región Metropolitana</v>
      </c>
      <c r="O495" s="4"/>
    </row>
    <row r="496">
      <c r="A496" s="1" t="s">
        <v>726</v>
      </c>
      <c r="B496" s="1" t="s">
        <v>728</v>
      </c>
      <c r="C496" s="1" t="s">
        <v>3544</v>
      </c>
      <c r="D496" s="1" t="s">
        <v>732</v>
      </c>
      <c r="E496" s="1" t="s">
        <v>109</v>
      </c>
      <c r="F496" s="1" t="s">
        <v>62</v>
      </c>
      <c r="G496" s="1" t="s">
        <v>63</v>
      </c>
      <c r="H496" s="2">
        <v>1.159E7</v>
      </c>
      <c r="I496" s="1">
        <v>15.0</v>
      </c>
      <c r="J496" s="1" t="s">
        <v>47</v>
      </c>
      <c r="K496" s="5">
        <v>46116.0</v>
      </c>
      <c r="L496" s="4" t="str">
        <f t="shared" si="1"/>
        <v>Andrea López Rojas</v>
      </c>
      <c r="M496" s="6" t="str">
        <f t="shared" si="2"/>
        <v>20.881.696-6</v>
      </c>
      <c r="N496" s="6" t="str">
        <f t="shared" si="3"/>
        <v>Ñuñoa - Santiago - Región Metropolitana</v>
      </c>
      <c r="O496" s="4"/>
    </row>
    <row r="497">
      <c r="A497" s="1" t="s">
        <v>3549</v>
      </c>
      <c r="B497" s="1" t="s">
        <v>3550</v>
      </c>
      <c r="C497" s="1" t="s">
        <v>3551</v>
      </c>
      <c r="D497" s="1" t="s">
        <v>3552</v>
      </c>
      <c r="E497" s="1" t="s">
        <v>109</v>
      </c>
      <c r="F497" s="1" t="s">
        <v>62</v>
      </c>
      <c r="G497" s="1" t="s">
        <v>63</v>
      </c>
      <c r="H497" s="2">
        <v>5330000.0</v>
      </c>
      <c r="I497" s="1">
        <v>0.0</v>
      </c>
      <c r="J497" s="1" t="s">
        <v>47</v>
      </c>
      <c r="K497" s="5">
        <v>46220.0</v>
      </c>
      <c r="L497" s="4" t="str">
        <f t="shared" si="1"/>
        <v>Hernán Silva Muñoz</v>
      </c>
      <c r="M497" s="6" t="str">
        <f t="shared" si="2"/>
        <v>17.187.426-6</v>
      </c>
      <c r="N497" s="6" t="str">
        <f t="shared" si="3"/>
        <v>Ñuñoa - Santiago - Región Metropolitana</v>
      </c>
      <c r="O497" s="4"/>
    </row>
    <row r="498">
      <c r="A498" s="1" t="s">
        <v>3136</v>
      </c>
      <c r="B498" s="1" t="s">
        <v>3137</v>
      </c>
      <c r="C498" s="1" t="s">
        <v>2347</v>
      </c>
      <c r="D498" s="1" t="s">
        <v>3138</v>
      </c>
      <c r="E498" s="1" t="s">
        <v>18</v>
      </c>
      <c r="F498" s="1" t="s">
        <v>18</v>
      </c>
      <c r="G498" s="1" t="s">
        <v>19</v>
      </c>
      <c r="H498" s="2">
        <v>1.872E7</v>
      </c>
      <c r="I498" s="1">
        <v>0.0</v>
      </c>
      <c r="J498" s="1" t="s">
        <v>28</v>
      </c>
      <c r="K498" s="5">
        <v>46076.0</v>
      </c>
      <c r="L498" s="4" t="str">
        <f t="shared" si="1"/>
        <v>Daniela Muñoz Valenzuela</v>
      </c>
      <c r="M498" s="6" t="str">
        <f t="shared" si="2"/>
        <v>20.120.349-K</v>
      </c>
      <c r="N498" s="6" t="str">
        <f t="shared" si="3"/>
        <v>La Serena - La Serena - Región de Coquimbo</v>
      </c>
      <c r="O498" s="4"/>
    </row>
    <row r="499">
      <c r="A499" s="1" t="s">
        <v>3557</v>
      </c>
      <c r="B499" s="1" t="s">
        <v>3558</v>
      </c>
      <c r="C499" s="1" t="s">
        <v>3559</v>
      </c>
      <c r="D499" s="1" t="s">
        <v>3560</v>
      </c>
      <c r="E499" s="1" t="s">
        <v>158</v>
      </c>
      <c r="F499" s="1" t="s">
        <v>158</v>
      </c>
      <c r="G499" s="1" t="s">
        <v>159</v>
      </c>
      <c r="H499" s="2">
        <v>5790000.0</v>
      </c>
      <c r="I499" s="1">
        <v>15.0</v>
      </c>
      <c r="J499" s="1" t="s">
        <v>73</v>
      </c>
      <c r="K499" s="5">
        <v>46144.0</v>
      </c>
      <c r="L499" s="4" t="str">
        <f t="shared" si="1"/>
        <v>Gabriel Vergara Araya</v>
      </c>
      <c r="M499" s="6" t="str">
        <f t="shared" si="2"/>
        <v>13.327.454-4</v>
      </c>
      <c r="N499" s="6" t="str">
        <f t="shared" si="3"/>
        <v>Antofagasta - Antofagasta - Región de Antofagasta</v>
      </c>
      <c r="O499" s="4"/>
    </row>
    <row r="500">
      <c r="A500" s="1" t="s">
        <v>3112</v>
      </c>
      <c r="B500" s="1" t="s">
        <v>3113</v>
      </c>
      <c r="C500" s="1" t="s">
        <v>3115</v>
      </c>
      <c r="D500" s="1" t="s">
        <v>3116</v>
      </c>
      <c r="E500" s="1" t="s">
        <v>61</v>
      </c>
      <c r="F500" s="1" t="s">
        <v>62</v>
      </c>
      <c r="G500" s="1" t="s">
        <v>63</v>
      </c>
      <c r="H500" s="2">
        <v>1.154E7</v>
      </c>
      <c r="I500" s="1">
        <v>90.0</v>
      </c>
      <c r="J500" s="1" t="s">
        <v>97</v>
      </c>
      <c r="K500" s="5">
        <v>46185.0</v>
      </c>
      <c r="L500" s="4" t="str">
        <f t="shared" si="1"/>
        <v>Daniela Muñoz Araya</v>
      </c>
      <c r="M500" s="6" t="str">
        <f t="shared" si="2"/>
        <v>19.819.983-0</v>
      </c>
      <c r="N500" s="6" t="str">
        <f t="shared" si="3"/>
        <v>Santiago Centro - Santiago - Región Metropolitana</v>
      </c>
      <c r="O500" s="4"/>
    </row>
    <row r="501">
      <c r="A501" s="1" t="s">
        <v>3566</v>
      </c>
      <c r="B501" s="1" t="s">
        <v>3567</v>
      </c>
      <c r="C501" s="1" t="s">
        <v>3568</v>
      </c>
      <c r="D501" s="1" t="s">
        <v>3088</v>
      </c>
      <c r="E501" s="1" t="s">
        <v>25</v>
      </c>
      <c r="F501" s="1" t="s">
        <v>26</v>
      </c>
      <c r="G501" s="1" t="s">
        <v>27</v>
      </c>
      <c r="H501" s="2">
        <v>670000.0</v>
      </c>
      <c r="I501" s="1">
        <v>45.0</v>
      </c>
      <c r="J501" s="1" t="s">
        <v>47</v>
      </c>
      <c r="K501" s="5">
        <v>46123.0</v>
      </c>
      <c r="L501" s="4" t="str">
        <f t="shared" si="1"/>
        <v>Rodrigo Soto González</v>
      </c>
      <c r="M501" s="6" t="str">
        <f t="shared" si="2"/>
        <v>15999628-0</v>
      </c>
      <c r="N501" s="6" t="str">
        <f t="shared" si="3"/>
        <v>Viña del Mar - Valparaíso - Región de Valparaíso</v>
      </c>
      <c r="O501" s="4"/>
    </row>
    <row r="502">
      <c r="A502" s="1" t="s">
        <v>1438</v>
      </c>
      <c r="B502" s="1" t="s">
        <v>1440</v>
      </c>
      <c r="C502" s="1" t="s">
        <v>3569</v>
      </c>
      <c r="D502" s="1" t="s">
        <v>1444</v>
      </c>
      <c r="E502" s="1" t="s">
        <v>61</v>
      </c>
      <c r="F502" s="1" t="s">
        <v>62</v>
      </c>
      <c r="G502" s="1" t="s">
        <v>63</v>
      </c>
      <c r="H502" s="2">
        <v>1.29E7</v>
      </c>
      <c r="I502" s="1">
        <v>0.0</v>
      </c>
      <c r="J502" s="1" t="s">
        <v>47</v>
      </c>
      <c r="K502" s="5">
        <v>46040.0</v>
      </c>
      <c r="L502" s="4" t="str">
        <f t="shared" si="1"/>
        <v>Camila Díaz Fuentes</v>
      </c>
      <c r="M502" s="6" t="str">
        <f t="shared" si="2"/>
        <v>19.855.454-8</v>
      </c>
      <c r="N502" s="6" t="str">
        <f t="shared" si="3"/>
        <v>Santiago Centro - Santiago - Región Metropolitana</v>
      </c>
      <c r="O502" s="4"/>
    </row>
    <row r="503">
      <c r="A503" s="1" t="s">
        <v>3570</v>
      </c>
      <c r="B503" s="1" t="s">
        <v>3571</v>
      </c>
      <c r="C503" s="1" t="s">
        <v>3572</v>
      </c>
      <c r="D503" s="1" t="s">
        <v>3574</v>
      </c>
      <c r="E503" s="1" t="s">
        <v>158</v>
      </c>
      <c r="F503" s="1" t="s">
        <v>158</v>
      </c>
      <c r="G503" s="1" t="s">
        <v>159</v>
      </c>
      <c r="H503" s="2">
        <v>8170000.0</v>
      </c>
      <c r="I503" s="1">
        <v>30.0</v>
      </c>
      <c r="J503" s="1" t="s">
        <v>47</v>
      </c>
      <c r="K503" s="5">
        <v>46174.0</v>
      </c>
      <c r="L503" s="4" t="str">
        <f t="shared" si="1"/>
        <v>Sebastián Araya Valenzuela</v>
      </c>
      <c r="M503" s="6" t="str">
        <f t="shared" si="2"/>
        <v>14838575-4</v>
      </c>
      <c r="N503" s="6" t="str">
        <f t="shared" si="3"/>
        <v>Antofagasta - Antofagasta - Región de Antofagasta</v>
      </c>
      <c r="O503" s="4"/>
    </row>
    <row r="504">
      <c r="A504" s="1" t="s">
        <v>3578</v>
      </c>
      <c r="B504" s="1" t="s">
        <v>3579</v>
      </c>
      <c r="C504" s="1" t="s">
        <v>3580</v>
      </c>
      <c r="D504" s="1" t="s">
        <v>1027</v>
      </c>
      <c r="E504" s="1" t="s">
        <v>45</v>
      </c>
      <c r="F504" s="1" t="s">
        <v>45</v>
      </c>
      <c r="G504" s="1" t="s">
        <v>46</v>
      </c>
      <c r="H504" s="2">
        <v>1.536E7</v>
      </c>
      <c r="I504" s="1">
        <v>0.0</v>
      </c>
      <c r="J504" s="1" t="s">
        <v>97</v>
      </c>
      <c r="K504" s="5">
        <v>46182.0</v>
      </c>
      <c r="L504" s="4" t="str">
        <f t="shared" si="1"/>
        <v>Marcela Pérez López</v>
      </c>
      <c r="M504" s="6" t="str">
        <f t="shared" si="2"/>
        <v>18.203.155-2</v>
      </c>
      <c r="N504" s="6" t="str">
        <f t="shared" si="3"/>
        <v>Temuco - Temuco - Región de la Araucanía</v>
      </c>
      <c r="O504" s="4"/>
    </row>
    <row r="505">
      <c r="A505" s="1" t="s">
        <v>3581</v>
      </c>
      <c r="B505" s="1" t="s">
        <v>3582</v>
      </c>
      <c r="C505" s="1" t="s">
        <v>3583</v>
      </c>
      <c r="D505" s="1" t="s">
        <v>3584</v>
      </c>
      <c r="E505" s="1" t="s">
        <v>25</v>
      </c>
      <c r="F505" s="1" t="s">
        <v>26</v>
      </c>
      <c r="G505" s="1" t="s">
        <v>27</v>
      </c>
      <c r="H505" s="2">
        <v>1.029E7</v>
      </c>
      <c r="I505" s="1">
        <v>15.0</v>
      </c>
      <c r="J505" s="1" t="s">
        <v>97</v>
      </c>
      <c r="K505" s="5">
        <v>46229.0</v>
      </c>
      <c r="L505" s="4" t="str">
        <f t="shared" si="1"/>
        <v>Tomas González Morales</v>
      </c>
      <c r="M505" s="6" t="str">
        <f t="shared" si="2"/>
        <v>13.117.339-5</v>
      </c>
      <c r="N505" s="6" t="str">
        <f t="shared" si="3"/>
        <v>Viña del Mar - Valparaíso - Región de Valparaíso</v>
      </c>
      <c r="O505" s="4"/>
    </row>
    <row r="506">
      <c r="A506" s="1" t="s">
        <v>1784</v>
      </c>
      <c r="B506" s="1" t="s">
        <v>1785</v>
      </c>
      <c r="C506" s="1" t="s">
        <v>1786</v>
      </c>
      <c r="D506" s="1" t="s">
        <v>1787</v>
      </c>
      <c r="E506" s="1" t="s">
        <v>109</v>
      </c>
      <c r="F506" s="1" t="s">
        <v>62</v>
      </c>
      <c r="G506" s="1" t="s">
        <v>63</v>
      </c>
      <c r="H506" s="2">
        <v>1.489E7</v>
      </c>
      <c r="I506" s="1">
        <v>90.0</v>
      </c>
      <c r="J506" s="1" t="s">
        <v>28</v>
      </c>
      <c r="K506" s="5">
        <v>46170.0</v>
      </c>
      <c r="L506" s="4" t="str">
        <f t="shared" si="1"/>
        <v>Carolina Fuentes Valenzuela</v>
      </c>
      <c r="M506" s="6" t="str">
        <f t="shared" si="2"/>
        <v>20033907-7</v>
      </c>
      <c r="N506" s="6" t="str">
        <f t="shared" si="3"/>
        <v>Ñuñoa - Santiago - Región Metropolitana</v>
      </c>
      <c r="O506" s="4"/>
    </row>
    <row r="507">
      <c r="A507" s="1" t="s">
        <v>3495</v>
      </c>
      <c r="B507" s="1" t="s">
        <v>3496</v>
      </c>
      <c r="C507" s="1" t="s">
        <v>3497</v>
      </c>
      <c r="D507" s="1" t="s">
        <v>3498</v>
      </c>
      <c r="E507" s="1" t="s">
        <v>33</v>
      </c>
      <c r="F507" s="1" t="s">
        <v>33</v>
      </c>
      <c r="G507" s="1" t="s">
        <v>34</v>
      </c>
      <c r="H507" s="2">
        <v>1.687E7</v>
      </c>
      <c r="I507" s="1">
        <v>30.0</v>
      </c>
      <c r="J507" s="1" t="s">
        <v>73</v>
      </c>
      <c r="K507" s="5">
        <v>46065.0</v>
      </c>
      <c r="L507" s="4" t="str">
        <f t="shared" si="1"/>
        <v>Esteban Rodríguez Morales</v>
      </c>
      <c r="M507" s="6" t="str">
        <f t="shared" si="2"/>
        <v>15.319.162-9</v>
      </c>
      <c r="N507" s="6" t="str">
        <f t="shared" si="3"/>
        <v>Puerto Montt - Puerto Montt - Región de Los Lagos</v>
      </c>
      <c r="O507" s="4"/>
    </row>
    <row r="508">
      <c r="A508" s="1" t="s">
        <v>3585</v>
      </c>
      <c r="B508" s="1" t="s">
        <v>3586</v>
      </c>
      <c r="C508" s="1" t="s">
        <v>3587</v>
      </c>
      <c r="D508" s="1" t="s">
        <v>3588</v>
      </c>
      <c r="E508" s="1" t="s">
        <v>33</v>
      </c>
      <c r="F508" s="1" t="s">
        <v>33</v>
      </c>
      <c r="G508" s="1" t="s">
        <v>34</v>
      </c>
      <c r="H508" s="2">
        <v>1.918E7</v>
      </c>
      <c r="I508" s="1">
        <v>15.0</v>
      </c>
      <c r="J508" s="1" t="s">
        <v>47</v>
      </c>
      <c r="K508" s="5">
        <v>46213.0</v>
      </c>
      <c r="L508" s="4" t="str">
        <f t="shared" si="1"/>
        <v>Fernanda Rojas Araya</v>
      </c>
      <c r="M508" s="6" t="str">
        <f t="shared" si="2"/>
        <v>17.104.152-7</v>
      </c>
      <c r="N508" s="6" t="str">
        <f t="shared" si="3"/>
        <v>Puerto Montt - Puerto Montt - Región de Los Lagos</v>
      </c>
      <c r="O508" s="4"/>
    </row>
    <row r="509">
      <c r="A509" s="1" t="s">
        <v>2486</v>
      </c>
      <c r="B509" s="1" t="s">
        <v>2487</v>
      </c>
      <c r="C509" s="1" t="s">
        <v>2488</v>
      </c>
      <c r="D509" s="1" t="s">
        <v>2490</v>
      </c>
      <c r="E509" s="1" t="s">
        <v>158</v>
      </c>
      <c r="F509" s="1" t="s">
        <v>158</v>
      </c>
      <c r="G509" s="1" t="s">
        <v>159</v>
      </c>
      <c r="H509" s="2">
        <v>7320000.0</v>
      </c>
      <c r="I509" s="1">
        <v>15.0</v>
      </c>
      <c r="J509" s="1" t="s">
        <v>28</v>
      </c>
      <c r="K509" s="5">
        <v>46144.0</v>
      </c>
      <c r="L509" s="4" t="str">
        <f t="shared" si="1"/>
        <v>Claudio Espinoza Valenzuela</v>
      </c>
      <c r="M509" s="6" t="str">
        <f t="shared" si="2"/>
        <v>16568024-6</v>
      </c>
      <c r="N509" s="6" t="str">
        <f t="shared" si="3"/>
        <v>Antofagasta - Antofagasta - Región de Antofagasta</v>
      </c>
      <c r="O509" s="4"/>
    </row>
    <row r="510">
      <c r="A510" s="1" t="s">
        <v>3590</v>
      </c>
      <c r="B510" s="1" t="s">
        <v>3591</v>
      </c>
      <c r="C510" s="1" t="s">
        <v>3592</v>
      </c>
      <c r="D510" s="1" t="s">
        <v>3594</v>
      </c>
      <c r="E510" s="1" t="s">
        <v>39</v>
      </c>
      <c r="F510" s="1" t="s">
        <v>39</v>
      </c>
      <c r="G510" s="1" t="s">
        <v>40</v>
      </c>
      <c r="H510" s="2">
        <v>2750000.0</v>
      </c>
      <c r="I510" s="1">
        <v>0.0</v>
      </c>
      <c r="J510" s="1" t="s">
        <v>47</v>
      </c>
      <c r="K510" s="5">
        <v>46208.0</v>
      </c>
      <c r="L510" s="4" t="str">
        <f t="shared" si="1"/>
        <v>Paula González Espinoza</v>
      </c>
      <c r="M510" s="6" t="str">
        <f t="shared" si="2"/>
        <v>12.905.286-7</v>
      </c>
      <c r="N510" s="6" t="str">
        <f t="shared" si="3"/>
        <v>Concepción - Concepción - Región del Biobío</v>
      </c>
      <c r="O510" s="4"/>
    </row>
    <row r="511">
      <c r="A511" s="1" t="s">
        <v>3431</v>
      </c>
      <c r="B511" s="1" t="s">
        <v>3432</v>
      </c>
      <c r="C511" s="1" t="s">
        <v>3433</v>
      </c>
      <c r="D511" s="1" t="s">
        <v>3434</v>
      </c>
      <c r="E511" s="1" t="s">
        <v>194</v>
      </c>
      <c r="F511" s="1" t="s">
        <v>62</v>
      </c>
      <c r="G511" s="1" t="s">
        <v>63</v>
      </c>
      <c r="H511" s="2">
        <v>1.654E7</v>
      </c>
      <c r="I511" s="1">
        <v>0.0</v>
      </c>
      <c r="J511" s="1" t="s">
        <v>73</v>
      </c>
      <c r="K511" s="5">
        <v>46157.0</v>
      </c>
      <c r="L511" s="4" t="str">
        <f t="shared" si="1"/>
        <v>Esteban Contreras Morales</v>
      </c>
      <c r="M511" s="6" t="str">
        <f t="shared" si="2"/>
        <v>13.365.982-4</v>
      </c>
      <c r="N511" s="6" t="str">
        <f t="shared" si="3"/>
        <v>Las Condes - Santiago - Región Metropolitana</v>
      </c>
      <c r="O511" s="4"/>
    </row>
    <row r="512">
      <c r="A512" s="1" t="s">
        <v>3598</v>
      </c>
      <c r="B512" s="1" t="s">
        <v>3599</v>
      </c>
      <c r="C512" s="1" t="s">
        <v>3601</v>
      </c>
      <c r="D512" s="1" t="s">
        <v>2152</v>
      </c>
      <c r="E512" s="1" t="s">
        <v>109</v>
      </c>
      <c r="F512" s="1" t="s">
        <v>62</v>
      </c>
      <c r="G512" s="1" t="s">
        <v>63</v>
      </c>
      <c r="H512" s="2">
        <v>6470000.0</v>
      </c>
      <c r="I512" s="1">
        <v>0.0</v>
      </c>
      <c r="J512" s="1" t="s">
        <v>20</v>
      </c>
      <c r="K512" s="5">
        <v>46209.0</v>
      </c>
      <c r="L512" s="4" t="str">
        <f t="shared" si="1"/>
        <v>Javiera Sepúlveda Sepúlveda</v>
      </c>
      <c r="M512" s="6" t="str">
        <f t="shared" si="2"/>
        <v>11.837.195-9</v>
      </c>
      <c r="N512" s="6" t="str">
        <f t="shared" si="3"/>
        <v>Ñuñoa - Santiago - Región Metropolitana</v>
      </c>
      <c r="O512" s="4"/>
    </row>
    <row r="513">
      <c r="A513" s="1" t="s">
        <v>3605</v>
      </c>
      <c r="B513" s="1" t="s">
        <v>3606</v>
      </c>
      <c r="C513" s="1" t="s">
        <v>3607</v>
      </c>
      <c r="D513" s="1" t="s">
        <v>1593</v>
      </c>
      <c r="E513" s="1" t="s">
        <v>61</v>
      </c>
      <c r="F513" s="1" t="s">
        <v>62</v>
      </c>
      <c r="G513" s="1" t="s">
        <v>63</v>
      </c>
      <c r="H513" s="2">
        <v>7970000.0</v>
      </c>
      <c r="I513" s="1">
        <v>120.0</v>
      </c>
      <c r="J513" s="1" t="s">
        <v>97</v>
      </c>
      <c r="K513" s="5">
        <v>46137.0</v>
      </c>
      <c r="L513" s="4" t="str">
        <f t="shared" si="1"/>
        <v>Javier Rojas Espinoza</v>
      </c>
      <c r="M513" s="6" t="str">
        <f t="shared" si="2"/>
        <v>14.590.258-1</v>
      </c>
      <c r="N513" s="6" t="str">
        <f t="shared" si="3"/>
        <v>Santiago Centro - Santiago - Región Metropolitana</v>
      </c>
      <c r="O513" s="4"/>
    </row>
    <row r="514">
      <c r="A514" s="1" t="s">
        <v>1970</v>
      </c>
      <c r="B514" s="1" t="s">
        <v>1971</v>
      </c>
      <c r="C514" s="1" t="s">
        <v>3610</v>
      </c>
      <c r="D514" s="1" t="s">
        <v>1973</v>
      </c>
      <c r="E514" s="1" t="s">
        <v>118</v>
      </c>
      <c r="F514" s="1" t="s">
        <v>62</v>
      </c>
      <c r="G514" s="1" t="s">
        <v>63</v>
      </c>
      <c r="H514" s="2">
        <v>5920000.0</v>
      </c>
      <c r="I514" s="1">
        <v>0.0</v>
      </c>
      <c r="J514" s="1" t="s">
        <v>28</v>
      </c>
      <c r="K514" s="5">
        <v>46152.0</v>
      </c>
      <c r="L514" s="4" t="str">
        <f t="shared" si="1"/>
        <v>Carolina Tapia Rodríguez</v>
      </c>
      <c r="M514" s="6" t="str">
        <f t="shared" si="2"/>
        <v>16.790.585-1</v>
      </c>
      <c r="N514" s="6" t="str">
        <f t="shared" si="3"/>
        <v>Maipú - Santiago - Región Metropolitana</v>
      </c>
      <c r="O514" s="4"/>
    </row>
    <row r="515">
      <c r="A515" s="1" t="s">
        <v>3613</v>
      </c>
      <c r="B515" s="1" t="s">
        <v>3614</v>
      </c>
      <c r="C515" s="1" t="s">
        <v>3615</v>
      </c>
      <c r="D515" s="1" t="s">
        <v>3616</v>
      </c>
      <c r="E515" s="1" t="s">
        <v>72</v>
      </c>
      <c r="F515" s="1" t="s">
        <v>62</v>
      </c>
      <c r="G515" s="1" t="s">
        <v>63</v>
      </c>
      <c r="H515" s="2">
        <v>1.887E7</v>
      </c>
      <c r="I515" s="1">
        <v>15.0</v>
      </c>
      <c r="J515" s="1" t="s">
        <v>73</v>
      </c>
      <c r="K515" s="5">
        <v>46029.0</v>
      </c>
      <c r="L515" s="4" t="str">
        <f t="shared" si="1"/>
        <v>Matías Rojas Rodríguez</v>
      </c>
      <c r="M515" s="6" t="str">
        <f t="shared" si="2"/>
        <v>19.362.264-8</v>
      </c>
      <c r="N515" s="6" t="str">
        <f t="shared" si="3"/>
        <v>Providencia - Santiago - Región Metropolitana</v>
      </c>
      <c r="O515" s="4"/>
    </row>
    <row r="516">
      <c r="A516" s="1" t="s">
        <v>1293</v>
      </c>
      <c r="B516" s="1" t="s">
        <v>1294</v>
      </c>
      <c r="C516" s="1" t="s">
        <v>3618</v>
      </c>
      <c r="D516" s="1" t="s">
        <v>271</v>
      </c>
      <c r="E516" s="1" t="s">
        <v>25</v>
      </c>
      <c r="F516" s="1" t="s">
        <v>26</v>
      </c>
      <c r="G516" s="1" t="s">
        <v>27</v>
      </c>
      <c r="H516" s="2">
        <v>9950000.0</v>
      </c>
      <c r="I516" s="1">
        <v>120.0</v>
      </c>
      <c r="J516" s="1" t="s">
        <v>97</v>
      </c>
      <c r="K516" s="5">
        <v>46097.0</v>
      </c>
      <c r="L516" s="4" t="str">
        <f t="shared" si="1"/>
        <v>Beatriz Tapia Morales</v>
      </c>
      <c r="M516" s="6" t="str">
        <f t="shared" si="2"/>
        <v>13.832.868-7</v>
      </c>
      <c r="N516" s="6" t="str">
        <f t="shared" si="3"/>
        <v>Viña del Mar - Valparaíso - Región de Valparaíso</v>
      </c>
      <c r="O516" s="4"/>
    </row>
    <row r="517">
      <c r="A517" s="1" t="s">
        <v>3620</v>
      </c>
      <c r="B517" s="1" t="s">
        <v>3622</v>
      </c>
      <c r="C517" s="1" t="s">
        <v>3624</v>
      </c>
      <c r="D517" s="1" t="s">
        <v>3626</v>
      </c>
      <c r="E517" s="1" t="s">
        <v>109</v>
      </c>
      <c r="F517" s="1" t="s">
        <v>62</v>
      </c>
      <c r="G517" s="1" t="s">
        <v>63</v>
      </c>
      <c r="H517" s="2">
        <v>4810000.0</v>
      </c>
      <c r="I517" s="1">
        <v>15.0</v>
      </c>
      <c r="J517" s="1" t="s">
        <v>20</v>
      </c>
      <c r="K517" s="5">
        <v>46028.0</v>
      </c>
      <c r="L517" s="4" t="str">
        <f t="shared" si="1"/>
        <v>Ignacio Pérez Tapia</v>
      </c>
      <c r="M517" s="6" t="str">
        <f t="shared" si="2"/>
        <v>11.685.287-7</v>
      </c>
      <c r="N517" s="6" t="str">
        <f t="shared" si="3"/>
        <v>Ñuñoa - Santiago - Región Metropolitana</v>
      </c>
      <c r="O517" s="4"/>
    </row>
    <row r="518">
      <c r="A518" s="1" t="s">
        <v>3627</v>
      </c>
      <c r="B518" s="1" t="s">
        <v>3629</v>
      </c>
      <c r="C518" s="1" t="s">
        <v>3631</v>
      </c>
      <c r="D518" s="1" t="s">
        <v>3634</v>
      </c>
      <c r="E518" s="1" t="s">
        <v>33</v>
      </c>
      <c r="F518" s="1" t="s">
        <v>33</v>
      </c>
      <c r="G518" s="1" t="s">
        <v>34</v>
      </c>
      <c r="H518" s="2">
        <v>1.801E7</v>
      </c>
      <c r="I518" s="1">
        <v>60.0</v>
      </c>
      <c r="J518" s="1" t="s">
        <v>47</v>
      </c>
      <c r="K518" s="5">
        <v>46161.0</v>
      </c>
      <c r="L518" s="4" t="str">
        <f t="shared" si="1"/>
        <v>Sofia Morales González</v>
      </c>
      <c r="M518" s="6" t="str">
        <f t="shared" si="2"/>
        <v>14.055.883-K</v>
      </c>
      <c r="N518" s="6" t="str">
        <f t="shared" si="3"/>
        <v>Puerto Montt - Puerto Montt - Región de Los Lagos</v>
      </c>
      <c r="O518" s="4"/>
    </row>
    <row r="519">
      <c r="A519" s="1" t="s">
        <v>3635</v>
      </c>
      <c r="B519" s="1" t="s">
        <v>3636</v>
      </c>
      <c r="C519" s="1" t="s">
        <v>3637</v>
      </c>
      <c r="D519" s="1" t="s">
        <v>3638</v>
      </c>
      <c r="E519" s="1" t="s">
        <v>61</v>
      </c>
      <c r="F519" s="1" t="s">
        <v>62</v>
      </c>
      <c r="G519" s="1" t="s">
        <v>63</v>
      </c>
      <c r="H519" s="2">
        <v>5560000.0</v>
      </c>
      <c r="I519" s="1">
        <v>0.0</v>
      </c>
      <c r="J519" s="1" t="s">
        <v>20</v>
      </c>
      <c r="K519" s="5">
        <v>46209.0</v>
      </c>
      <c r="L519" s="4" t="str">
        <f t="shared" si="1"/>
        <v>Gabriel Soto Valenzuela</v>
      </c>
      <c r="M519" s="6" t="str">
        <f t="shared" si="2"/>
        <v>14.290.806-6</v>
      </c>
      <c r="N519" s="6" t="str">
        <f t="shared" si="3"/>
        <v>Santiago Centro - Santiago - Región Metropolitana</v>
      </c>
      <c r="O519" s="4"/>
    </row>
    <row r="520">
      <c r="A520" s="1" t="s">
        <v>3640</v>
      </c>
      <c r="B520" s="1" t="s">
        <v>3641</v>
      </c>
      <c r="C520" s="1" t="s">
        <v>3642</v>
      </c>
      <c r="D520" s="1" t="s">
        <v>3643</v>
      </c>
      <c r="E520" s="1" t="s">
        <v>25</v>
      </c>
      <c r="F520" s="1" t="s">
        <v>26</v>
      </c>
      <c r="G520" s="1" t="s">
        <v>27</v>
      </c>
      <c r="H520" s="2">
        <v>1.176E7</v>
      </c>
      <c r="I520" s="1">
        <v>45.0</v>
      </c>
      <c r="J520" s="1" t="s">
        <v>97</v>
      </c>
      <c r="K520" s="5">
        <v>46178.0</v>
      </c>
      <c r="L520" s="4" t="str">
        <f t="shared" si="1"/>
        <v>Javiera Díaz Muñoz</v>
      </c>
      <c r="M520" s="6" t="str">
        <f t="shared" si="2"/>
        <v>20.767.455-0</v>
      </c>
      <c r="N520" s="6" t="str">
        <f t="shared" si="3"/>
        <v>Viña del Mar - Valparaíso - Región de Valparaíso</v>
      </c>
      <c r="O520" s="4"/>
    </row>
    <row r="521">
      <c r="A521" s="1" t="s">
        <v>3648</v>
      </c>
      <c r="B521" s="1" t="s">
        <v>3649</v>
      </c>
      <c r="C521" s="1" t="s">
        <v>3650</v>
      </c>
      <c r="D521" s="1" t="s">
        <v>3651</v>
      </c>
      <c r="E521" s="1" t="s">
        <v>194</v>
      </c>
      <c r="F521" s="1" t="s">
        <v>62</v>
      </c>
      <c r="G521" s="1" t="s">
        <v>63</v>
      </c>
      <c r="H521" s="2">
        <v>7550000.0</v>
      </c>
      <c r="I521" s="1">
        <v>15.0</v>
      </c>
      <c r="J521" s="1" t="s">
        <v>20</v>
      </c>
      <c r="K521" s="5">
        <v>46100.0</v>
      </c>
      <c r="L521" s="4" t="str">
        <f t="shared" si="1"/>
        <v>Mauricio Soto Pérez</v>
      </c>
      <c r="M521" s="6" t="str">
        <f t="shared" si="2"/>
        <v>11.115.623-8</v>
      </c>
      <c r="N521" s="6" t="str">
        <f t="shared" si="3"/>
        <v>Las Condes - Santiago - Región Metropolitana</v>
      </c>
      <c r="O521" s="4"/>
    </row>
    <row r="522">
      <c r="A522" s="1" t="s">
        <v>3655</v>
      </c>
      <c r="B522" s="1" t="s">
        <v>3656</v>
      </c>
      <c r="C522" s="1" t="s">
        <v>3657</v>
      </c>
      <c r="D522" s="1" t="s">
        <v>3658</v>
      </c>
      <c r="E522" s="1" t="s">
        <v>72</v>
      </c>
      <c r="F522" s="1" t="s">
        <v>62</v>
      </c>
      <c r="G522" s="1" t="s">
        <v>63</v>
      </c>
      <c r="H522" s="2">
        <v>7700000.0</v>
      </c>
      <c r="I522" s="1">
        <v>0.0</v>
      </c>
      <c r="J522" s="1" t="s">
        <v>97</v>
      </c>
      <c r="K522" s="5">
        <v>46034.0</v>
      </c>
      <c r="L522" s="4" t="str">
        <f t="shared" si="1"/>
        <v>Marcela Pérez López</v>
      </c>
      <c r="M522" s="6" t="str">
        <f t="shared" si="2"/>
        <v>21.373.232-6</v>
      </c>
      <c r="N522" s="6" t="str">
        <f t="shared" si="3"/>
        <v>Providencia - Santiago - Región Metropolitana</v>
      </c>
      <c r="O522" s="4"/>
    </row>
    <row r="523">
      <c r="A523" s="1" t="s">
        <v>3661</v>
      </c>
      <c r="B523" s="1" t="s">
        <v>3662</v>
      </c>
      <c r="C523" s="1" t="s">
        <v>3663</v>
      </c>
      <c r="D523" s="1" t="s">
        <v>3626</v>
      </c>
      <c r="E523" s="1" t="s">
        <v>45</v>
      </c>
      <c r="F523" s="1" t="s">
        <v>45</v>
      </c>
      <c r="G523" s="1" t="s">
        <v>46</v>
      </c>
      <c r="H523" s="2">
        <v>2.066E7</v>
      </c>
      <c r="I523" s="1">
        <v>90.0</v>
      </c>
      <c r="J523" s="1" t="s">
        <v>97</v>
      </c>
      <c r="K523" s="5">
        <v>46228.0</v>
      </c>
      <c r="L523" s="4" t="str">
        <f t="shared" si="1"/>
        <v>Ignacio Pérez Vergara</v>
      </c>
      <c r="M523" s="6" t="str">
        <f t="shared" si="2"/>
        <v>16.734.602-0</v>
      </c>
      <c r="N523" s="6" t="str">
        <f t="shared" si="3"/>
        <v>Temuco - Temuco - Región de la Araucanía</v>
      </c>
      <c r="O523" s="4"/>
    </row>
    <row r="524">
      <c r="A524" s="1" t="s">
        <v>3664</v>
      </c>
      <c r="B524" s="1" t="s">
        <v>3665</v>
      </c>
      <c r="C524" s="1" t="s">
        <v>3666</v>
      </c>
      <c r="D524" s="1" t="s">
        <v>3668</v>
      </c>
      <c r="E524" s="1" t="s">
        <v>194</v>
      </c>
      <c r="F524" s="1" t="s">
        <v>62</v>
      </c>
      <c r="G524" s="1" t="s">
        <v>63</v>
      </c>
      <c r="H524" s="2">
        <v>1.494E7</v>
      </c>
      <c r="I524" s="1">
        <v>0.0</v>
      </c>
      <c r="J524" s="1" t="s">
        <v>97</v>
      </c>
      <c r="K524" s="5">
        <v>46130.0</v>
      </c>
      <c r="L524" s="4" t="str">
        <f t="shared" si="1"/>
        <v>Paula Silva Rodríguez</v>
      </c>
      <c r="M524" s="6" t="str">
        <f t="shared" si="2"/>
        <v>15.160.951-5</v>
      </c>
      <c r="N524" s="6" t="str">
        <f t="shared" si="3"/>
        <v>Las Condes - Santiago - Región Metropolitana</v>
      </c>
      <c r="O524" s="4"/>
    </row>
    <row r="525">
      <c r="A525" s="1" t="s">
        <v>3669</v>
      </c>
      <c r="B525" s="1" t="s">
        <v>3670</v>
      </c>
      <c r="C525" s="1" t="s">
        <v>3671</v>
      </c>
      <c r="D525" s="1" t="s">
        <v>3672</v>
      </c>
      <c r="E525" s="1" t="s">
        <v>56</v>
      </c>
      <c r="F525" s="1" t="s">
        <v>39</v>
      </c>
      <c r="G525" s="1" t="s">
        <v>40</v>
      </c>
      <c r="H525" s="2">
        <v>5470000.0</v>
      </c>
      <c r="I525" s="1">
        <v>15.0</v>
      </c>
      <c r="J525" s="1" t="s">
        <v>97</v>
      </c>
      <c r="K525" s="5">
        <v>46088.0</v>
      </c>
      <c r="L525" s="4" t="str">
        <f t="shared" si="1"/>
        <v>Sebastián Contreras Sepúlveda</v>
      </c>
      <c r="M525" s="6" t="str">
        <f t="shared" si="2"/>
        <v>17.279.773-9</v>
      </c>
      <c r="N525" s="6" t="str">
        <f t="shared" si="3"/>
        <v>Talcahuano - Concepción - Región del Biobío</v>
      </c>
      <c r="O525" s="4"/>
    </row>
    <row r="526">
      <c r="A526" s="1" t="s">
        <v>743</v>
      </c>
      <c r="B526" s="1" t="s">
        <v>744</v>
      </c>
      <c r="C526" s="1" t="s">
        <v>745</v>
      </c>
      <c r="D526" s="1" t="s">
        <v>746</v>
      </c>
      <c r="E526" s="1" t="s">
        <v>18</v>
      </c>
      <c r="F526" s="1" t="s">
        <v>18</v>
      </c>
      <c r="G526" s="1" t="s">
        <v>19</v>
      </c>
      <c r="H526" s="2">
        <v>2460000.0</v>
      </c>
      <c r="I526" s="1">
        <v>30.0</v>
      </c>
      <c r="J526" s="1" t="s">
        <v>47</v>
      </c>
      <c r="K526" s="5">
        <v>46134.0</v>
      </c>
      <c r="L526" s="4" t="str">
        <f t="shared" si="1"/>
        <v>Andrea Morales Díaz</v>
      </c>
      <c r="M526" s="6" t="str">
        <f t="shared" si="2"/>
        <v>17.148.986-5</v>
      </c>
      <c r="N526" s="6" t="str">
        <f t="shared" si="3"/>
        <v>La Serena - La Serena - Región de Coquimbo</v>
      </c>
      <c r="O526" s="4"/>
    </row>
    <row r="527">
      <c r="A527" s="1" t="s">
        <v>3237</v>
      </c>
      <c r="B527" s="1" t="s">
        <v>3238</v>
      </c>
      <c r="C527" s="1" t="s">
        <v>3239</v>
      </c>
      <c r="D527" s="1" t="s">
        <v>3240</v>
      </c>
      <c r="E527" s="1" t="s">
        <v>194</v>
      </c>
      <c r="F527" s="1" t="s">
        <v>62</v>
      </c>
      <c r="G527" s="1" t="s">
        <v>63</v>
      </c>
      <c r="H527" s="2">
        <v>2.193E7</v>
      </c>
      <c r="I527" s="1">
        <v>15.0</v>
      </c>
      <c r="J527" s="1" t="s">
        <v>97</v>
      </c>
      <c r="K527" s="5">
        <v>46220.0</v>
      </c>
      <c r="L527" s="4" t="str">
        <f t="shared" si="1"/>
        <v>Diego Araya Morales</v>
      </c>
      <c r="M527" s="6" t="str">
        <f t="shared" si="2"/>
        <v>15.570.317-9</v>
      </c>
      <c r="N527" s="6" t="str">
        <f t="shared" si="3"/>
        <v>Las Condes - Santiago - Región Metropolitana</v>
      </c>
      <c r="O527" s="4"/>
    </row>
    <row r="528">
      <c r="A528" s="1" t="s">
        <v>3067</v>
      </c>
      <c r="B528" s="1" t="s">
        <v>3069</v>
      </c>
      <c r="C528" s="1" t="s">
        <v>3678</v>
      </c>
      <c r="D528" s="1" t="s">
        <v>3073</v>
      </c>
      <c r="E528" s="1" t="s">
        <v>39</v>
      </c>
      <c r="F528" s="1" t="s">
        <v>39</v>
      </c>
      <c r="G528" s="1" t="s">
        <v>40</v>
      </c>
      <c r="H528" s="2">
        <v>1.227E7</v>
      </c>
      <c r="I528" s="1">
        <v>120.0</v>
      </c>
      <c r="J528" s="1" t="s">
        <v>20</v>
      </c>
      <c r="K528" s="5">
        <v>46145.0</v>
      </c>
      <c r="L528" s="4" t="str">
        <f t="shared" si="1"/>
        <v>Daniela Contreras Rodríguez</v>
      </c>
      <c r="M528" s="6" t="str">
        <f t="shared" si="2"/>
        <v>18.477.147-3</v>
      </c>
      <c r="N528" s="6" t="str">
        <f t="shared" si="3"/>
        <v>Concepción - Concepción - Región del Biobío</v>
      </c>
      <c r="O528" s="4"/>
    </row>
    <row r="529">
      <c r="A529" s="1" t="s">
        <v>3520</v>
      </c>
      <c r="B529" s="1" t="s">
        <v>3521</v>
      </c>
      <c r="C529" s="1" t="s">
        <v>3681</v>
      </c>
      <c r="D529" s="1" t="s">
        <v>3523</v>
      </c>
      <c r="E529" s="1" t="s">
        <v>33</v>
      </c>
      <c r="F529" s="1" t="s">
        <v>33</v>
      </c>
      <c r="G529" s="1" t="s">
        <v>34</v>
      </c>
      <c r="H529" s="2">
        <v>4740000.0</v>
      </c>
      <c r="I529" s="1">
        <v>60.0</v>
      </c>
      <c r="J529" s="1" t="s">
        <v>20</v>
      </c>
      <c r="K529" s="5">
        <v>46184.0</v>
      </c>
      <c r="L529" s="4" t="str">
        <f t="shared" si="1"/>
        <v>Esteban Soto Vergara</v>
      </c>
      <c r="M529" s="6" t="str">
        <f t="shared" si="2"/>
        <v>21.792.962-8</v>
      </c>
      <c r="N529" s="6" t="str">
        <f t="shared" si="3"/>
        <v>Puerto Montt - Puerto Montt - Región de Los Lagos</v>
      </c>
      <c r="O529" s="4"/>
    </row>
    <row r="530">
      <c r="A530" s="1" t="s">
        <v>2744</v>
      </c>
      <c r="B530" s="1" t="s">
        <v>2745</v>
      </c>
      <c r="C530" s="1" t="s">
        <v>2746</v>
      </c>
      <c r="D530" s="1" t="s">
        <v>2747</v>
      </c>
      <c r="E530" s="1" t="s">
        <v>56</v>
      </c>
      <c r="F530" s="1" t="s">
        <v>39</v>
      </c>
      <c r="G530" s="1" t="s">
        <v>40</v>
      </c>
      <c r="H530" s="2">
        <v>1.484E7</v>
      </c>
      <c r="I530" s="1">
        <v>15.0</v>
      </c>
      <c r="J530" s="1" t="s">
        <v>28</v>
      </c>
      <c r="K530" s="5">
        <v>46130.0</v>
      </c>
      <c r="L530" s="4" t="str">
        <f t="shared" si="1"/>
        <v>Constanza Araya Silva</v>
      </c>
      <c r="M530" s="6" t="str">
        <f t="shared" si="2"/>
        <v>11.109.485-6</v>
      </c>
      <c r="N530" s="6" t="str">
        <f t="shared" si="3"/>
        <v>Talcahuano - Concepción - Región del Biobío</v>
      </c>
      <c r="O530" s="4"/>
    </row>
    <row r="531">
      <c r="A531" s="1" t="s">
        <v>3684</v>
      </c>
      <c r="B531" s="1" t="s">
        <v>3685</v>
      </c>
      <c r="C531" s="1" t="s">
        <v>1735</v>
      </c>
      <c r="D531" s="1" t="s">
        <v>3686</v>
      </c>
      <c r="E531" s="1" t="s">
        <v>61</v>
      </c>
      <c r="F531" s="1" t="s">
        <v>62</v>
      </c>
      <c r="G531" s="1" t="s">
        <v>63</v>
      </c>
      <c r="H531" s="2">
        <v>1.802E7</v>
      </c>
      <c r="I531" s="1">
        <v>15.0</v>
      </c>
      <c r="J531" s="1" t="s">
        <v>97</v>
      </c>
      <c r="K531" s="5">
        <v>46074.0</v>
      </c>
      <c r="L531" s="4" t="str">
        <f t="shared" si="1"/>
        <v>Mauricio Morales González</v>
      </c>
      <c r="M531" s="6" t="str">
        <f t="shared" si="2"/>
        <v>16.210.224-6</v>
      </c>
      <c r="N531" s="6" t="str">
        <f t="shared" si="3"/>
        <v>Santiago Centro - Santiago - Región Metropolitana</v>
      </c>
      <c r="O531" s="4"/>
    </row>
    <row r="532">
      <c r="A532" s="1" t="s">
        <v>3687</v>
      </c>
      <c r="B532" s="1" t="s">
        <v>3688</v>
      </c>
      <c r="C532" s="1" t="s">
        <v>3689</v>
      </c>
      <c r="D532" s="1" t="s">
        <v>3690</v>
      </c>
      <c r="E532" s="1" t="s">
        <v>18</v>
      </c>
      <c r="F532" s="1" t="s">
        <v>18</v>
      </c>
      <c r="G532" s="1" t="s">
        <v>19</v>
      </c>
      <c r="H532" s="2">
        <v>2.059E7</v>
      </c>
      <c r="I532" s="1">
        <v>0.0</v>
      </c>
      <c r="J532" s="1" t="s">
        <v>28</v>
      </c>
      <c r="K532" s="5">
        <v>46097.0</v>
      </c>
      <c r="L532" s="4" t="str">
        <f t="shared" si="1"/>
        <v>Loreto Sepúlveda Sepúlveda</v>
      </c>
      <c r="M532" s="6" t="str">
        <f t="shared" si="2"/>
        <v>22.006.541-5</v>
      </c>
      <c r="N532" s="6" t="str">
        <f t="shared" si="3"/>
        <v>La Serena - La Serena - Región de Coquimbo</v>
      </c>
      <c r="O532" s="4"/>
    </row>
    <row r="533">
      <c r="A533" s="1" t="s">
        <v>3691</v>
      </c>
      <c r="B533" s="1" t="s">
        <v>3692</v>
      </c>
      <c r="C533" s="1" t="s">
        <v>3693</v>
      </c>
      <c r="D533" s="1" t="s">
        <v>3694</v>
      </c>
      <c r="E533" s="1" t="s">
        <v>18</v>
      </c>
      <c r="F533" s="1" t="s">
        <v>18</v>
      </c>
      <c r="G533" s="1" t="s">
        <v>19</v>
      </c>
      <c r="H533" s="2">
        <v>1.01E7</v>
      </c>
      <c r="I533" s="1">
        <v>0.0</v>
      </c>
      <c r="J533" s="1" t="s">
        <v>28</v>
      </c>
      <c r="K533" s="5">
        <v>46059.0</v>
      </c>
      <c r="L533" s="4" t="str">
        <f t="shared" si="1"/>
        <v>Rodrigo Espinoza Vergara</v>
      </c>
      <c r="M533" s="6" t="str">
        <f t="shared" si="2"/>
        <v>14.693.736-7</v>
      </c>
      <c r="N533" s="6" t="str">
        <f t="shared" si="3"/>
        <v>La Serena - La Serena - Región de Coquimbo</v>
      </c>
      <c r="O533" s="4"/>
    </row>
    <row r="534">
      <c r="A534" s="1" t="s">
        <v>3695</v>
      </c>
      <c r="B534" s="1" t="s">
        <v>3696</v>
      </c>
      <c r="C534" s="1" t="s">
        <v>3697</v>
      </c>
      <c r="D534" s="1" t="s">
        <v>3698</v>
      </c>
      <c r="E534" s="1" t="s">
        <v>158</v>
      </c>
      <c r="F534" s="1" t="s">
        <v>158</v>
      </c>
      <c r="G534" s="1" t="s">
        <v>159</v>
      </c>
      <c r="H534" s="2">
        <v>1.388E7</v>
      </c>
      <c r="I534" s="1">
        <v>0.0</v>
      </c>
      <c r="J534" s="1" t="s">
        <v>73</v>
      </c>
      <c r="K534" s="5">
        <v>46106.0</v>
      </c>
      <c r="L534" s="4" t="str">
        <f t="shared" si="1"/>
        <v>Francisca Vergara Valenzuela</v>
      </c>
      <c r="M534" s="6" t="str">
        <f t="shared" si="2"/>
        <v>13.968.025-9</v>
      </c>
      <c r="N534" s="6" t="str">
        <f t="shared" si="3"/>
        <v>Antofagasta - Antofagasta - Región de Antofagasta</v>
      </c>
      <c r="O534" s="4"/>
    </row>
    <row r="535">
      <c r="A535" s="1" t="s">
        <v>3699</v>
      </c>
      <c r="B535" s="1" t="s">
        <v>3700</v>
      </c>
      <c r="C535" s="1" t="s">
        <v>3701</v>
      </c>
      <c r="D535" s="1" t="s">
        <v>3702</v>
      </c>
      <c r="E535" s="1" t="s">
        <v>56</v>
      </c>
      <c r="F535" s="1" t="s">
        <v>39</v>
      </c>
      <c r="G535" s="1" t="s">
        <v>40</v>
      </c>
      <c r="H535" s="2">
        <v>4600000.0</v>
      </c>
      <c r="I535" s="1">
        <v>0.0</v>
      </c>
      <c r="J535" s="1" t="s">
        <v>28</v>
      </c>
      <c r="K535" s="5">
        <v>46161.0</v>
      </c>
      <c r="L535" s="4" t="str">
        <f t="shared" si="1"/>
        <v>Hernán Espinoza Soto</v>
      </c>
      <c r="M535" s="6" t="str">
        <f t="shared" si="2"/>
        <v>18798805-9</v>
      </c>
      <c r="N535" s="6" t="str">
        <f t="shared" si="3"/>
        <v>Talcahuano - Concepción - Región del Biobío</v>
      </c>
      <c r="O535" s="4"/>
    </row>
    <row r="536">
      <c r="A536" s="1" t="s">
        <v>697</v>
      </c>
      <c r="B536" s="1" t="s">
        <v>698</v>
      </c>
      <c r="C536" s="1" t="s">
        <v>3707</v>
      </c>
      <c r="D536" s="1" t="s">
        <v>701</v>
      </c>
      <c r="E536" s="1" t="s">
        <v>109</v>
      </c>
      <c r="F536" s="1" t="s">
        <v>62</v>
      </c>
      <c r="G536" s="1" t="s">
        <v>63</v>
      </c>
      <c r="H536" s="2">
        <v>1.147E7</v>
      </c>
      <c r="I536" s="1">
        <v>45.0</v>
      </c>
      <c r="J536" s="1" t="s">
        <v>97</v>
      </c>
      <c r="K536" s="5">
        <v>46223.0</v>
      </c>
      <c r="L536" s="4" t="str">
        <f t="shared" si="1"/>
        <v>Andrea López Fuentes</v>
      </c>
      <c r="M536" s="6" t="str">
        <f t="shared" si="2"/>
        <v>21204928-8</v>
      </c>
      <c r="N536" s="6" t="str">
        <f t="shared" si="3"/>
        <v>Ñuñoa - Santiago - Región Metropolitana</v>
      </c>
      <c r="O536" s="4"/>
    </row>
    <row r="537">
      <c r="A537" s="1" t="s">
        <v>304</v>
      </c>
      <c r="B537" s="1" t="s">
        <v>306</v>
      </c>
      <c r="C537" s="1" t="s">
        <v>307</v>
      </c>
      <c r="D537" s="1" t="s">
        <v>308</v>
      </c>
      <c r="E537" s="1" t="s">
        <v>158</v>
      </c>
      <c r="F537" s="1" t="s">
        <v>158</v>
      </c>
      <c r="G537" s="1" t="s">
        <v>159</v>
      </c>
      <c r="H537" s="2">
        <v>2.122E7</v>
      </c>
      <c r="I537" s="1">
        <v>0.0</v>
      </c>
      <c r="J537" s="1" t="s">
        <v>47</v>
      </c>
      <c r="K537" s="5">
        <v>46094.0</v>
      </c>
      <c r="L537" s="4" t="str">
        <f t="shared" si="1"/>
        <v>Álvaro Pérez Vergara</v>
      </c>
      <c r="M537" s="6" t="str">
        <f t="shared" si="2"/>
        <v>17.286.867-9</v>
      </c>
      <c r="N537" s="6" t="str">
        <f t="shared" si="3"/>
        <v>Antofagasta - Antofagasta - Región de Antofagasta</v>
      </c>
      <c r="O537" s="4"/>
    </row>
    <row r="538">
      <c r="A538" s="1" t="s">
        <v>3709</v>
      </c>
      <c r="B538" s="1" t="s">
        <v>3710</v>
      </c>
      <c r="C538" s="1" t="s">
        <v>3711</v>
      </c>
      <c r="D538" s="1" t="s">
        <v>3712</v>
      </c>
      <c r="E538" s="1" t="s">
        <v>25</v>
      </c>
      <c r="F538" s="1" t="s">
        <v>26</v>
      </c>
      <c r="G538" s="1" t="s">
        <v>27</v>
      </c>
      <c r="H538" s="2">
        <v>1.126E7</v>
      </c>
      <c r="I538" s="1">
        <v>0.0</v>
      </c>
      <c r="J538" s="1" t="s">
        <v>28</v>
      </c>
      <c r="K538" s="5">
        <v>46098.0</v>
      </c>
      <c r="L538" s="4" t="str">
        <f t="shared" si="1"/>
        <v>Loreto Sepúlveda Rojas</v>
      </c>
      <c r="M538" s="6" t="str">
        <f t="shared" si="2"/>
        <v>18115354-6</v>
      </c>
      <c r="N538" s="6" t="str">
        <f t="shared" si="3"/>
        <v>Viña del Mar - Valparaíso - Región de Valparaíso</v>
      </c>
      <c r="O538" s="4"/>
    </row>
    <row r="539">
      <c r="A539" s="1" t="s">
        <v>3713</v>
      </c>
      <c r="B539" s="1" t="s">
        <v>3714</v>
      </c>
      <c r="C539" s="1" t="s">
        <v>3715</v>
      </c>
      <c r="D539" s="1" t="s">
        <v>3716</v>
      </c>
      <c r="E539" s="1" t="s">
        <v>26</v>
      </c>
      <c r="F539" s="1" t="s">
        <v>26</v>
      </c>
      <c r="G539" s="1" t="s">
        <v>27</v>
      </c>
      <c r="H539" s="2">
        <v>1.732E7</v>
      </c>
      <c r="I539" s="1">
        <v>15.0</v>
      </c>
      <c r="J539" s="1" t="s">
        <v>47</v>
      </c>
      <c r="K539" s="5">
        <v>46105.0</v>
      </c>
      <c r="L539" s="4" t="str">
        <f t="shared" si="1"/>
        <v>Gabriel Rojas Rojas</v>
      </c>
      <c r="M539" s="6" t="str">
        <f t="shared" si="2"/>
        <v>11.455.790-3</v>
      </c>
      <c r="N539" s="6" t="str">
        <f t="shared" si="3"/>
        <v>Valparaíso - Valparaíso - Región de Valparaíso</v>
      </c>
      <c r="O539" s="4"/>
    </row>
    <row r="540">
      <c r="A540" s="1" t="s">
        <v>3718</v>
      </c>
      <c r="B540" s="1" t="s">
        <v>3719</v>
      </c>
      <c r="C540" s="1" t="s">
        <v>3720</v>
      </c>
      <c r="D540" s="1" t="s">
        <v>3721</v>
      </c>
      <c r="E540" s="1" t="s">
        <v>61</v>
      </c>
      <c r="F540" s="1" t="s">
        <v>62</v>
      </c>
      <c r="G540" s="1" t="s">
        <v>63</v>
      </c>
      <c r="H540" s="2">
        <v>1.301E7</v>
      </c>
      <c r="I540" s="1">
        <v>60.0</v>
      </c>
      <c r="J540" s="1" t="s">
        <v>73</v>
      </c>
      <c r="K540" s="5">
        <v>46150.0</v>
      </c>
      <c r="L540" s="4" t="str">
        <f t="shared" si="1"/>
        <v>Francisca Valenzuela Valenzuela</v>
      </c>
      <c r="M540" s="6" t="str">
        <f t="shared" si="2"/>
        <v>19.734.827-9</v>
      </c>
      <c r="N540" s="6" t="str">
        <f t="shared" si="3"/>
        <v>Santiago Centro - Santiago - Región Metropolitana</v>
      </c>
      <c r="O540" s="4"/>
    </row>
    <row r="541">
      <c r="A541" s="1" t="s">
        <v>3722</v>
      </c>
      <c r="B541" s="1" t="s">
        <v>3723</v>
      </c>
      <c r="C541" s="1" t="s">
        <v>3724</v>
      </c>
      <c r="D541" s="1" t="s">
        <v>3725</v>
      </c>
      <c r="E541" s="1" t="s">
        <v>25</v>
      </c>
      <c r="F541" s="1" t="s">
        <v>26</v>
      </c>
      <c r="G541" s="1" t="s">
        <v>27</v>
      </c>
      <c r="H541" s="2">
        <v>1.652E7</v>
      </c>
      <c r="I541" s="1">
        <v>45.0</v>
      </c>
      <c r="J541" s="1" t="s">
        <v>97</v>
      </c>
      <c r="K541" s="5">
        <v>46220.0</v>
      </c>
      <c r="L541" s="4" t="str">
        <f t="shared" si="1"/>
        <v>Tomas Contreras Muñoz</v>
      </c>
      <c r="M541" s="6" t="str">
        <f t="shared" si="2"/>
        <v>22.221.584-1</v>
      </c>
      <c r="N541" s="6" t="str">
        <f t="shared" si="3"/>
        <v>Viña del Mar - Valparaíso - Región de Valparaíso</v>
      </c>
      <c r="O541" s="4"/>
    </row>
    <row r="542">
      <c r="A542" s="1" t="s">
        <v>3726</v>
      </c>
      <c r="B542" s="1" t="s">
        <v>3728</v>
      </c>
      <c r="C542" s="1" t="s">
        <v>3730</v>
      </c>
      <c r="D542" s="1" t="s">
        <v>3732</v>
      </c>
      <c r="E542" s="1" t="s">
        <v>72</v>
      </c>
      <c r="F542" s="1" t="s">
        <v>62</v>
      </c>
      <c r="G542" s="1" t="s">
        <v>63</v>
      </c>
      <c r="H542" s="2">
        <v>1.497E7</v>
      </c>
      <c r="I542" s="1">
        <v>0.0</v>
      </c>
      <c r="J542" s="1" t="s">
        <v>97</v>
      </c>
      <c r="K542" s="5">
        <v>46207.0</v>
      </c>
      <c r="L542" s="4" t="str">
        <f t="shared" si="1"/>
        <v>Macarena Tapia Valenzuela</v>
      </c>
      <c r="M542" s="6" t="str">
        <f t="shared" si="2"/>
        <v>12.665.727-0</v>
      </c>
      <c r="N542" s="6" t="str">
        <f t="shared" si="3"/>
        <v>Providencia - Santiago - Región Metropolitana</v>
      </c>
      <c r="O542" s="4"/>
    </row>
    <row r="543">
      <c r="A543" s="1" t="s">
        <v>3733</v>
      </c>
      <c r="B543" s="1" t="s">
        <v>3734</v>
      </c>
      <c r="C543" s="1" t="s">
        <v>3735</v>
      </c>
      <c r="D543" s="1" t="s">
        <v>3736</v>
      </c>
      <c r="E543" s="1" t="s">
        <v>109</v>
      </c>
      <c r="F543" s="1" t="s">
        <v>62</v>
      </c>
      <c r="G543" s="1" t="s">
        <v>63</v>
      </c>
      <c r="H543" s="2">
        <v>1.395E7</v>
      </c>
      <c r="I543" s="1">
        <v>45.0</v>
      </c>
      <c r="J543" s="1" t="s">
        <v>73</v>
      </c>
      <c r="K543" s="5">
        <v>46062.0</v>
      </c>
      <c r="L543" s="4" t="str">
        <f t="shared" si="1"/>
        <v>Tomas Rodríguez Muñoz</v>
      </c>
      <c r="M543" s="6" t="str">
        <f t="shared" si="2"/>
        <v>14.746.278-4</v>
      </c>
      <c r="N543" s="6" t="str">
        <f t="shared" si="3"/>
        <v>Ñuñoa - Santiago - Región Metropolitana</v>
      </c>
      <c r="O543" s="4"/>
    </row>
    <row r="544">
      <c r="A544" s="1" t="s">
        <v>807</v>
      </c>
      <c r="B544" s="1" t="s">
        <v>809</v>
      </c>
      <c r="C544" s="1" t="s">
        <v>811</v>
      </c>
      <c r="D544" s="1" t="s">
        <v>813</v>
      </c>
      <c r="E544" s="1" t="s">
        <v>45</v>
      </c>
      <c r="F544" s="1" t="s">
        <v>45</v>
      </c>
      <c r="G544" s="1" t="s">
        <v>46</v>
      </c>
      <c r="H544" s="2">
        <v>8130000.0</v>
      </c>
      <c r="I544" s="1">
        <v>120.0</v>
      </c>
      <c r="J544" s="1" t="s">
        <v>73</v>
      </c>
      <c r="K544" s="5">
        <v>46140.0</v>
      </c>
      <c r="L544" s="4" t="str">
        <f t="shared" si="1"/>
        <v>Andrea Pérez López</v>
      </c>
      <c r="M544" s="6" t="str">
        <f t="shared" si="2"/>
        <v>18.580.834-7</v>
      </c>
      <c r="N544" s="6" t="str">
        <f t="shared" si="3"/>
        <v>Temuco - Temuco - Región de la Araucanía</v>
      </c>
      <c r="O544" s="4"/>
    </row>
    <row r="545">
      <c r="A545" s="1" t="s">
        <v>3741</v>
      </c>
      <c r="B545" s="1" t="s">
        <v>3742</v>
      </c>
      <c r="C545" s="1" t="s">
        <v>3743</v>
      </c>
      <c r="D545" s="1" t="s">
        <v>1443</v>
      </c>
      <c r="E545" s="1" t="s">
        <v>18</v>
      </c>
      <c r="F545" s="1" t="s">
        <v>18</v>
      </c>
      <c r="G545" s="1" t="s">
        <v>19</v>
      </c>
      <c r="H545" s="2">
        <v>1.814E7</v>
      </c>
      <c r="I545" s="1">
        <v>30.0</v>
      </c>
      <c r="J545" s="1" t="s">
        <v>28</v>
      </c>
      <c r="K545" s="5">
        <v>46224.0</v>
      </c>
      <c r="L545" s="4" t="str">
        <f t="shared" si="1"/>
        <v>Gabriel López Vergara</v>
      </c>
      <c r="M545" s="6" t="str">
        <f t="shared" si="2"/>
        <v>12.308.398-2</v>
      </c>
      <c r="N545" s="6" t="str">
        <f t="shared" si="3"/>
        <v>La Serena - La Serena - Región de Coquimbo</v>
      </c>
      <c r="O545" s="4"/>
    </row>
    <row r="546">
      <c r="A546" s="1" t="s">
        <v>3744</v>
      </c>
      <c r="B546" s="1" t="s">
        <v>3745</v>
      </c>
      <c r="C546" s="1" t="s">
        <v>3746</v>
      </c>
      <c r="D546" s="1" t="s">
        <v>3747</v>
      </c>
      <c r="E546" s="1" t="s">
        <v>194</v>
      </c>
      <c r="F546" s="1" t="s">
        <v>62</v>
      </c>
      <c r="G546" s="1" t="s">
        <v>63</v>
      </c>
      <c r="H546" s="2">
        <v>1.686E7</v>
      </c>
      <c r="I546" s="1">
        <v>120.0</v>
      </c>
      <c r="J546" s="1" t="s">
        <v>28</v>
      </c>
      <c r="K546" s="5">
        <v>46185.0</v>
      </c>
      <c r="L546" s="4" t="str">
        <f t="shared" si="1"/>
        <v>Francisca Silva Rodríguez</v>
      </c>
      <c r="M546" s="6" t="str">
        <f t="shared" si="2"/>
        <v>11.855.680-0</v>
      </c>
      <c r="N546" s="6" t="str">
        <f t="shared" si="3"/>
        <v>Las Condes - Santiago - Región Metropolitana</v>
      </c>
      <c r="O546" s="4"/>
    </row>
    <row r="547">
      <c r="A547" s="1" t="s">
        <v>3748</v>
      </c>
      <c r="B547" s="1" t="s">
        <v>3749</v>
      </c>
      <c r="C547" s="1" t="s">
        <v>3750</v>
      </c>
      <c r="D547" s="1" t="s">
        <v>3751</v>
      </c>
      <c r="E547" s="1" t="s">
        <v>18</v>
      </c>
      <c r="F547" s="1" t="s">
        <v>18</v>
      </c>
      <c r="G547" s="1" t="s">
        <v>19</v>
      </c>
      <c r="H547" s="2">
        <v>1.821E7</v>
      </c>
      <c r="I547" s="1">
        <v>0.0</v>
      </c>
      <c r="J547" s="1" t="s">
        <v>20</v>
      </c>
      <c r="K547" s="5">
        <v>46131.0</v>
      </c>
      <c r="L547" s="4" t="str">
        <f t="shared" si="1"/>
        <v>Ignacio González Fuentes</v>
      </c>
      <c r="M547" s="6" t="str">
        <f t="shared" si="2"/>
        <v>22262140-4</v>
      </c>
      <c r="N547" s="6" t="str">
        <f t="shared" si="3"/>
        <v>La Serena - La Serena - Región de Coquimbo</v>
      </c>
      <c r="O547" s="4"/>
    </row>
    <row r="548">
      <c r="A548" s="1" t="s">
        <v>3756</v>
      </c>
      <c r="B548" s="1" t="s">
        <v>3757</v>
      </c>
      <c r="C548" s="1" t="s">
        <v>3758</v>
      </c>
      <c r="D548" s="1" t="s">
        <v>2180</v>
      </c>
      <c r="E548" s="1" t="s">
        <v>56</v>
      </c>
      <c r="F548" s="1" t="s">
        <v>39</v>
      </c>
      <c r="G548" s="1" t="s">
        <v>40</v>
      </c>
      <c r="H548" s="2">
        <v>1.516E7</v>
      </c>
      <c r="I548" s="1">
        <v>15.0</v>
      </c>
      <c r="J548" s="1" t="s">
        <v>20</v>
      </c>
      <c r="K548" s="5">
        <v>46063.0</v>
      </c>
      <c r="L548" s="4" t="str">
        <f t="shared" si="1"/>
        <v>Valentina Araya Araya</v>
      </c>
      <c r="M548" s="6" t="str">
        <f t="shared" si="2"/>
        <v>11894967-4</v>
      </c>
      <c r="N548" s="6" t="str">
        <f t="shared" si="3"/>
        <v>Talcahuano - Concepción - Región del Biobío</v>
      </c>
      <c r="O548" s="4"/>
    </row>
    <row r="549">
      <c r="A549" s="1" t="s">
        <v>3759</v>
      </c>
      <c r="B549" s="1" t="s">
        <v>3760</v>
      </c>
      <c r="C549" s="1" t="s">
        <v>3762</v>
      </c>
      <c r="D549" s="1" t="s">
        <v>3763</v>
      </c>
      <c r="E549" s="1" t="s">
        <v>39</v>
      </c>
      <c r="F549" s="1" t="s">
        <v>39</v>
      </c>
      <c r="G549" s="1" t="s">
        <v>40</v>
      </c>
      <c r="H549" s="2">
        <v>1670000.0</v>
      </c>
      <c r="I549" s="1">
        <v>120.0</v>
      </c>
      <c r="J549" s="1" t="s">
        <v>20</v>
      </c>
      <c r="K549" s="5">
        <v>46108.0</v>
      </c>
      <c r="L549" s="4" t="str">
        <f t="shared" si="1"/>
        <v>Tomas Vergara Rodríguez</v>
      </c>
      <c r="M549" s="6" t="str">
        <f t="shared" si="2"/>
        <v>11.496.340-5</v>
      </c>
      <c r="N549" s="6" t="str">
        <f t="shared" si="3"/>
        <v>Concepción - Concepción - Región del Biobío</v>
      </c>
      <c r="O549" s="4"/>
    </row>
    <row r="550">
      <c r="A550" s="1" t="s">
        <v>3764</v>
      </c>
      <c r="B550" s="1" t="s">
        <v>3765</v>
      </c>
      <c r="C550" s="1" t="s">
        <v>3766</v>
      </c>
      <c r="D550" s="1" t="s">
        <v>3767</v>
      </c>
      <c r="E550" s="1" t="s">
        <v>194</v>
      </c>
      <c r="F550" s="1" t="s">
        <v>62</v>
      </c>
      <c r="G550" s="1" t="s">
        <v>63</v>
      </c>
      <c r="H550" s="2">
        <v>1.754E7</v>
      </c>
      <c r="I550" s="1">
        <v>0.0</v>
      </c>
      <c r="J550" s="1" t="s">
        <v>28</v>
      </c>
      <c r="K550" s="5">
        <v>46136.0</v>
      </c>
      <c r="L550" s="4" t="str">
        <f t="shared" si="1"/>
        <v>Macarena Sepúlveda Vergara</v>
      </c>
      <c r="M550" s="6" t="str">
        <f t="shared" si="2"/>
        <v>16714058-4</v>
      </c>
      <c r="N550" s="6" t="str">
        <f t="shared" si="3"/>
        <v>Las Condes - Santiago - Región Metropolitana</v>
      </c>
      <c r="O550" s="4"/>
    </row>
    <row r="551">
      <c r="A551" s="1" t="s">
        <v>3772</v>
      </c>
      <c r="B551" s="1" t="s">
        <v>3773</v>
      </c>
      <c r="C551" s="1" t="s">
        <v>3774</v>
      </c>
      <c r="D551" s="1" t="s">
        <v>3775</v>
      </c>
      <c r="E551" s="1" t="s">
        <v>18</v>
      </c>
      <c r="F551" s="1" t="s">
        <v>18</v>
      </c>
      <c r="G551" s="1" t="s">
        <v>19</v>
      </c>
      <c r="H551" s="2">
        <v>7740000.0</v>
      </c>
      <c r="I551" s="1">
        <v>0.0</v>
      </c>
      <c r="J551" s="1" t="s">
        <v>97</v>
      </c>
      <c r="K551" s="5">
        <v>46125.0</v>
      </c>
      <c r="L551" s="4" t="str">
        <f t="shared" si="1"/>
        <v>Javier Vergara Araya</v>
      </c>
      <c r="M551" s="6" t="str">
        <f t="shared" si="2"/>
        <v>21.818.532-4</v>
      </c>
      <c r="N551" s="6" t="str">
        <f t="shared" si="3"/>
        <v>La Serena - La Serena - Región de Coquimbo</v>
      </c>
      <c r="O551" s="4"/>
    </row>
    <row r="552">
      <c r="A552" s="1" t="s">
        <v>3780</v>
      </c>
      <c r="B552" s="1" t="s">
        <v>3781</v>
      </c>
      <c r="C552" s="1" t="s">
        <v>3782</v>
      </c>
      <c r="D552" s="1" t="s">
        <v>3783</v>
      </c>
      <c r="E552" s="1" t="s">
        <v>25</v>
      </c>
      <c r="F552" s="1" t="s">
        <v>26</v>
      </c>
      <c r="G552" s="1" t="s">
        <v>27</v>
      </c>
      <c r="H552" s="2">
        <v>2.198E7</v>
      </c>
      <c r="I552" s="1">
        <v>30.0</v>
      </c>
      <c r="J552" s="1" t="s">
        <v>20</v>
      </c>
      <c r="K552" s="5">
        <v>46208.0</v>
      </c>
      <c r="L552" s="4" t="str">
        <f t="shared" si="1"/>
        <v>Sofia Espinoza Pérez</v>
      </c>
      <c r="M552" s="6" t="str">
        <f t="shared" si="2"/>
        <v>16.677.110-8</v>
      </c>
      <c r="N552" s="6" t="str">
        <f t="shared" si="3"/>
        <v>Viña del Mar - Valparaíso - Región de Valparaíso</v>
      </c>
      <c r="O552" s="4"/>
    </row>
    <row r="553">
      <c r="A553" s="1" t="s">
        <v>3784</v>
      </c>
      <c r="B553" s="1" t="s">
        <v>3786</v>
      </c>
      <c r="C553" s="1" t="s">
        <v>3788</v>
      </c>
      <c r="D553" s="1" t="s">
        <v>3790</v>
      </c>
      <c r="E553" s="1" t="s">
        <v>39</v>
      </c>
      <c r="F553" s="1" t="s">
        <v>39</v>
      </c>
      <c r="G553" s="1" t="s">
        <v>40</v>
      </c>
      <c r="H553" s="2">
        <v>9260000.0</v>
      </c>
      <c r="I553" s="1">
        <v>120.0</v>
      </c>
      <c r="J553" s="1" t="s">
        <v>47</v>
      </c>
      <c r="K553" s="5">
        <v>46075.0</v>
      </c>
      <c r="L553" s="4" t="str">
        <f t="shared" si="1"/>
        <v>Gonzalo Silva Silva</v>
      </c>
      <c r="M553" s="6" t="str">
        <f t="shared" si="2"/>
        <v>13.503.749-2</v>
      </c>
      <c r="N553" s="6" t="str">
        <f t="shared" si="3"/>
        <v>Concepción - Concepción - Región del Biobío</v>
      </c>
      <c r="O553" s="4"/>
    </row>
    <row r="554">
      <c r="A554" s="1" t="s">
        <v>2380</v>
      </c>
      <c r="B554" s="1" t="s">
        <v>2382</v>
      </c>
      <c r="C554" s="1" t="s">
        <v>2384</v>
      </c>
      <c r="D554" s="1" t="s">
        <v>2385</v>
      </c>
      <c r="E554" s="1" t="s">
        <v>56</v>
      </c>
      <c r="F554" s="1" t="s">
        <v>39</v>
      </c>
      <c r="G554" s="1" t="s">
        <v>40</v>
      </c>
      <c r="H554" s="2">
        <v>1670000.0</v>
      </c>
      <c r="I554" s="1">
        <v>30.0</v>
      </c>
      <c r="J554" s="1" t="s">
        <v>20</v>
      </c>
      <c r="K554" s="5">
        <v>46126.0</v>
      </c>
      <c r="L554" s="4" t="str">
        <f t="shared" si="1"/>
        <v>Catalina Silva Araya</v>
      </c>
      <c r="M554" s="6" t="str">
        <f t="shared" si="2"/>
        <v>11.371.492-K</v>
      </c>
      <c r="N554" s="6" t="str">
        <f t="shared" si="3"/>
        <v>Talcahuano - Concepción - Región del Biobío</v>
      </c>
      <c r="O554" s="4"/>
    </row>
    <row r="555">
      <c r="A555" s="1" t="s">
        <v>3796</v>
      </c>
      <c r="B555" s="1" t="s">
        <v>3797</v>
      </c>
      <c r="C555" s="1" t="s">
        <v>3798</v>
      </c>
      <c r="D555" s="1" t="s">
        <v>2971</v>
      </c>
      <c r="E555" s="1" t="s">
        <v>72</v>
      </c>
      <c r="F555" s="1" t="s">
        <v>62</v>
      </c>
      <c r="G555" s="1" t="s">
        <v>63</v>
      </c>
      <c r="H555" s="2">
        <v>1.346E7</v>
      </c>
      <c r="I555" s="1">
        <v>15.0</v>
      </c>
      <c r="J555" s="1" t="s">
        <v>97</v>
      </c>
      <c r="K555" s="5">
        <v>46207.0</v>
      </c>
      <c r="L555" s="4" t="str">
        <f t="shared" si="1"/>
        <v>Mauricio Rodríguez Sepúlveda</v>
      </c>
      <c r="M555" s="6" t="str">
        <f t="shared" si="2"/>
        <v>18349367-1</v>
      </c>
      <c r="N555" s="6" t="str">
        <f t="shared" si="3"/>
        <v>Providencia - Santiago - Región Metropolitana</v>
      </c>
      <c r="O555" s="4"/>
    </row>
    <row r="556">
      <c r="A556" s="1" t="s">
        <v>3802</v>
      </c>
      <c r="B556" s="1" t="s">
        <v>3803</v>
      </c>
      <c r="C556" s="1" t="s">
        <v>3804</v>
      </c>
      <c r="D556" s="1" t="s">
        <v>3805</v>
      </c>
      <c r="E556" s="1" t="s">
        <v>109</v>
      </c>
      <c r="F556" s="1" t="s">
        <v>62</v>
      </c>
      <c r="G556" s="1" t="s">
        <v>63</v>
      </c>
      <c r="H556" s="2">
        <v>5500000.0</v>
      </c>
      <c r="I556" s="1">
        <v>30.0</v>
      </c>
      <c r="J556" s="1" t="s">
        <v>97</v>
      </c>
      <c r="K556" s="5">
        <v>46039.0</v>
      </c>
      <c r="L556" s="4" t="str">
        <f t="shared" si="1"/>
        <v>Francisca González Espinoza</v>
      </c>
      <c r="M556" s="6" t="str">
        <f t="shared" si="2"/>
        <v>17.658.967-3</v>
      </c>
      <c r="N556" s="6" t="str">
        <f t="shared" si="3"/>
        <v>Ñuñoa - Santiago - Región Metropolitana</v>
      </c>
      <c r="O556" s="4"/>
    </row>
    <row r="557">
      <c r="A557" s="1" t="s">
        <v>3806</v>
      </c>
      <c r="B557" s="1" t="s">
        <v>3807</v>
      </c>
      <c r="C557" s="1" t="s">
        <v>3808</v>
      </c>
      <c r="D557" s="1" t="s">
        <v>3809</v>
      </c>
      <c r="E557" s="1" t="s">
        <v>72</v>
      </c>
      <c r="F557" s="1" t="s">
        <v>62</v>
      </c>
      <c r="G557" s="1" t="s">
        <v>63</v>
      </c>
      <c r="H557" s="2">
        <v>1.732E7</v>
      </c>
      <c r="I557" s="1">
        <v>0.0</v>
      </c>
      <c r="J557" s="1" t="s">
        <v>20</v>
      </c>
      <c r="K557" s="5">
        <v>46091.0</v>
      </c>
      <c r="L557" s="4" t="str">
        <f t="shared" si="1"/>
        <v>Gonzalo Vergara Rojas</v>
      </c>
      <c r="M557" s="6" t="str">
        <f t="shared" si="2"/>
        <v>19427433-5</v>
      </c>
      <c r="N557" s="6" t="str">
        <f t="shared" si="3"/>
        <v>Providencia - Santiago - Región Metropolitana</v>
      </c>
      <c r="O557" s="4"/>
    </row>
    <row r="558">
      <c r="A558" s="1" t="s">
        <v>591</v>
      </c>
      <c r="B558" s="1" t="s">
        <v>592</v>
      </c>
      <c r="C558" s="1" t="s">
        <v>594</v>
      </c>
      <c r="D558" s="1" t="s">
        <v>595</v>
      </c>
      <c r="E558" s="1" t="s">
        <v>194</v>
      </c>
      <c r="F558" s="1" t="s">
        <v>62</v>
      </c>
      <c r="G558" s="1" t="s">
        <v>63</v>
      </c>
      <c r="H558" s="2">
        <v>1.171E7</v>
      </c>
      <c r="I558" s="1">
        <v>15.0</v>
      </c>
      <c r="J558" s="1" t="s">
        <v>28</v>
      </c>
      <c r="K558" s="5">
        <v>46197.0</v>
      </c>
      <c r="L558" s="4" t="str">
        <f t="shared" si="1"/>
        <v>Andrea Contreras Morales</v>
      </c>
      <c r="M558" s="6" t="str">
        <f t="shared" si="2"/>
        <v>21409726-8</v>
      </c>
      <c r="N558" s="6" t="str">
        <f t="shared" si="3"/>
        <v>Las Condes - Santiago - Región Metropolitana</v>
      </c>
      <c r="O558" s="4"/>
    </row>
    <row r="559">
      <c r="A559" s="1" t="s">
        <v>2959</v>
      </c>
      <c r="B559" s="1" t="s">
        <v>2960</v>
      </c>
      <c r="C559" s="1" t="s">
        <v>3814</v>
      </c>
      <c r="D559" s="1" t="s">
        <v>2962</v>
      </c>
      <c r="E559" s="1" t="s">
        <v>118</v>
      </c>
      <c r="F559" s="1" t="s">
        <v>62</v>
      </c>
      <c r="G559" s="1" t="s">
        <v>63</v>
      </c>
      <c r="H559" s="2">
        <v>3910000.0</v>
      </c>
      <c r="I559" s="1">
        <v>0.0</v>
      </c>
      <c r="J559" s="1" t="s">
        <v>28</v>
      </c>
      <c r="K559" s="5">
        <v>46175.0</v>
      </c>
      <c r="L559" s="4" t="str">
        <f t="shared" si="1"/>
        <v>Cristián López Vergara</v>
      </c>
      <c r="M559" s="6" t="str">
        <f t="shared" si="2"/>
        <v>14.592.281-K</v>
      </c>
      <c r="N559" s="6" t="str">
        <f t="shared" si="3"/>
        <v>Maipú - Santiago - Región Metropolitana</v>
      </c>
      <c r="O559" s="4"/>
    </row>
    <row r="560">
      <c r="A560" s="1" t="s">
        <v>2016</v>
      </c>
      <c r="B560" s="1" t="s">
        <v>2018</v>
      </c>
      <c r="C560" s="1" t="s">
        <v>3815</v>
      </c>
      <c r="D560" s="1" t="s">
        <v>2020</v>
      </c>
      <c r="E560" s="1" t="s">
        <v>61</v>
      </c>
      <c r="F560" s="1" t="s">
        <v>62</v>
      </c>
      <c r="G560" s="1" t="s">
        <v>63</v>
      </c>
      <c r="H560" s="2">
        <v>1.976E7</v>
      </c>
      <c r="I560" s="1">
        <v>120.0</v>
      </c>
      <c r="J560" s="1" t="s">
        <v>20</v>
      </c>
      <c r="K560" s="5">
        <v>46231.0</v>
      </c>
      <c r="L560" s="4" t="str">
        <f t="shared" si="1"/>
        <v>Catalina Araya Morales</v>
      </c>
      <c r="M560" s="6" t="str">
        <f t="shared" si="2"/>
        <v>16.570.174-3</v>
      </c>
      <c r="N560" s="6" t="str">
        <f t="shared" si="3"/>
        <v>Santiago Centro - Santiago - Región Metropolitana</v>
      </c>
      <c r="O560" s="4"/>
    </row>
    <row r="561">
      <c r="A561" s="1" t="s">
        <v>3512</v>
      </c>
      <c r="B561" s="1" t="s">
        <v>3513</v>
      </c>
      <c r="C561" s="1" t="s">
        <v>3514</v>
      </c>
      <c r="D561" s="1" t="s">
        <v>3515</v>
      </c>
      <c r="E561" s="1" t="s">
        <v>18</v>
      </c>
      <c r="F561" s="1" t="s">
        <v>18</v>
      </c>
      <c r="G561" s="1" t="s">
        <v>19</v>
      </c>
      <c r="H561" s="2">
        <v>3390000.0</v>
      </c>
      <c r="I561" s="1">
        <v>0.0</v>
      </c>
      <c r="J561" s="1" t="s">
        <v>28</v>
      </c>
      <c r="K561" s="5">
        <v>46098.0</v>
      </c>
      <c r="L561" s="4" t="str">
        <f t="shared" si="1"/>
        <v>Esteban Sepúlveda Morales</v>
      </c>
      <c r="M561" s="6" t="str">
        <f t="shared" si="2"/>
        <v>14.320.931-0</v>
      </c>
      <c r="N561" s="6" t="str">
        <f t="shared" si="3"/>
        <v>La Serena - La Serena - Región de Coquimbo</v>
      </c>
      <c r="O561" s="4"/>
    </row>
    <row r="562">
      <c r="A562" s="1" t="s">
        <v>3184</v>
      </c>
      <c r="B562" s="1" t="s">
        <v>3186</v>
      </c>
      <c r="C562" s="1" t="s">
        <v>3188</v>
      </c>
      <c r="D562" s="1" t="s">
        <v>3189</v>
      </c>
      <c r="E562" s="1" t="s">
        <v>61</v>
      </c>
      <c r="F562" s="1" t="s">
        <v>62</v>
      </c>
      <c r="G562" s="1" t="s">
        <v>63</v>
      </c>
      <c r="H562" s="2">
        <v>1.911E7</v>
      </c>
      <c r="I562" s="1">
        <v>30.0</v>
      </c>
      <c r="J562" s="1" t="s">
        <v>28</v>
      </c>
      <c r="K562" s="5">
        <v>46126.0</v>
      </c>
      <c r="L562" s="4" t="str">
        <f t="shared" si="1"/>
        <v>Daniela Sepúlveda Morales</v>
      </c>
      <c r="M562" s="6" t="str">
        <f t="shared" si="2"/>
        <v>14.622.252-K</v>
      </c>
      <c r="N562" s="6" t="str">
        <f t="shared" si="3"/>
        <v>Santiago Centro - Santiago - Región Metropolitana</v>
      </c>
      <c r="O562" s="4"/>
    </row>
    <row r="563">
      <c r="A563" s="1" t="s">
        <v>2659</v>
      </c>
      <c r="B563" s="1" t="s">
        <v>2660</v>
      </c>
      <c r="C563" s="1" t="s">
        <v>3820</v>
      </c>
      <c r="D563" s="1" t="s">
        <v>2662</v>
      </c>
      <c r="E563" s="1" t="s">
        <v>194</v>
      </c>
      <c r="F563" s="1" t="s">
        <v>62</v>
      </c>
      <c r="G563" s="1" t="s">
        <v>63</v>
      </c>
      <c r="H563" s="2">
        <v>1090000.0</v>
      </c>
      <c r="I563" s="1">
        <v>0.0</v>
      </c>
      <c r="J563" s="1" t="s">
        <v>73</v>
      </c>
      <c r="K563" s="5">
        <v>46147.0</v>
      </c>
      <c r="L563" s="4" t="str">
        <f t="shared" si="1"/>
        <v>Claudio Silva González</v>
      </c>
      <c r="M563" s="6" t="str">
        <f t="shared" si="2"/>
        <v>17.564.282-1</v>
      </c>
      <c r="N563" s="6" t="str">
        <f t="shared" si="3"/>
        <v>Las Condes - Santiago - Región Metropolitana</v>
      </c>
      <c r="O563" s="4"/>
    </row>
    <row r="564">
      <c r="A564" s="1" t="s">
        <v>1486</v>
      </c>
      <c r="B564" s="1" t="s">
        <v>1487</v>
      </c>
      <c r="C564" s="1" t="s">
        <v>1488</v>
      </c>
      <c r="D564" s="1" t="s">
        <v>1489</v>
      </c>
      <c r="E564" s="1" t="s">
        <v>25</v>
      </c>
      <c r="F564" s="1" t="s">
        <v>26</v>
      </c>
      <c r="G564" s="1" t="s">
        <v>27</v>
      </c>
      <c r="H564" s="2">
        <v>7110000.0</v>
      </c>
      <c r="I564" s="1">
        <v>45.0</v>
      </c>
      <c r="J564" s="1" t="s">
        <v>97</v>
      </c>
      <c r="K564" s="5">
        <v>46146.0</v>
      </c>
      <c r="L564" s="4" t="str">
        <f t="shared" si="1"/>
        <v>Camila Morales González</v>
      </c>
      <c r="M564" s="6" t="str">
        <f t="shared" si="2"/>
        <v>13.994.580-1</v>
      </c>
      <c r="N564" s="6" t="str">
        <f t="shared" si="3"/>
        <v>Viña del Mar - Valparaíso - Región de Valparaíso</v>
      </c>
      <c r="O564" s="4"/>
    </row>
    <row r="565">
      <c r="A565" s="1" t="s">
        <v>3825</v>
      </c>
      <c r="B565" s="1" t="s">
        <v>3826</v>
      </c>
      <c r="C565" s="1" t="s">
        <v>2098</v>
      </c>
      <c r="D565" s="1" t="s">
        <v>3827</v>
      </c>
      <c r="E565" s="1" t="s">
        <v>45</v>
      </c>
      <c r="F565" s="1" t="s">
        <v>45</v>
      </c>
      <c r="G565" s="1" t="s">
        <v>46</v>
      </c>
      <c r="H565" s="2">
        <v>1050000.0</v>
      </c>
      <c r="I565" s="1">
        <v>15.0</v>
      </c>
      <c r="J565" s="1" t="s">
        <v>73</v>
      </c>
      <c r="K565" s="5">
        <v>46182.0</v>
      </c>
      <c r="L565" s="4" t="str">
        <f t="shared" si="1"/>
        <v>Gonzalo Araya Sepúlveda</v>
      </c>
      <c r="M565" s="6" t="str">
        <f t="shared" si="2"/>
        <v>13.044.924-9</v>
      </c>
      <c r="N565" s="6" t="str">
        <f t="shared" si="3"/>
        <v>Temuco - Temuco - Región de la Araucanía</v>
      </c>
      <c r="O565" s="4"/>
    </row>
    <row r="566">
      <c r="A566" s="1" t="s">
        <v>3828</v>
      </c>
      <c r="B566" s="1" t="s">
        <v>3829</v>
      </c>
      <c r="C566" s="1" t="s">
        <v>3830</v>
      </c>
      <c r="D566" s="1" t="s">
        <v>3831</v>
      </c>
      <c r="E566" s="1" t="s">
        <v>25</v>
      </c>
      <c r="F566" s="1" t="s">
        <v>26</v>
      </c>
      <c r="G566" s="1" t="s">
        <v>27</v>
      </c>
      <c r="H566" s="2">
        <v>1.029E7</v>
      </c>
      <c r="I566" s="1">
        <v>60.0</v>
      </c>
      <c r="J566" s="1" t="s">
        <v>20</v>
      </c>
      <c r="K566" s="5">
        <v>46205.0</v>
      </c>
      <c r="L566" s="4" t="str">
        <f t="shared" si="1"/>
        <v>Loreto Silva Araya</v>
      </c>
      <c r="M566" s="6" t="str">
        <f t="shared" si="2"/>
        <v>20.589.402-2</v>
      </c>
      <c r="N566" s="6" t="str">
        <f t="shared" si="3"/>
        <v>Viña del Mar - Valparaíso - Región de Valparaíso</v>
      </c>
      <c r="O566" s="4"/>
    </row>
    <row r="567">
      <c r="A567" s="1" t="s">
        <v>3835</v>
      </c>
      <c r="B567" s="1" t="s">
        <v>3837</v>
      </c>
      <c r="C567" s="1" t="s">
        <v>3838</v>
      </c>
      <c r="D567" s="1" t="s">
        <v>3839</v>
      </c>
      <c r="E567" s="1" t="s">
        <v>72</v>
      </c>
      <c r="F567" s="1" t="s">
        <v>62</v>
      </c>
      <c r="G567" s="1" t="s">
        <v>63</v>
      </c>
      <c r="H567" s="2">
        <v>8600000.0</v>
      </c>
      <c r="I567" s="1">
        <v>45.0</v>
      </c>
      <c r="J567" s="1" t="s">
        <v>73</v>
      </c>
      <c r="K567" s="5">
        <v>46189.0</v>
      </c>
      <c r="L567" s="4" t="str">
        <f t="shared" si="1"/>
        <v>Ignacio Araya Rojas</v>
      </c>
      <c r="M567" s="6" t="str">
        <f t="shared" si="2"/>
        <v>18.519.776-2</v>
      </c>
      <c r="N567" s="6" t="str">
        <f t="shared" si="3"/>
        <v>Providencia - Santiago - Región Metropolitana</v>
      </c>
      <c r="O567" s="4"/>
    </row>
    <row r="568">
      <c r="A568" s="1" t="s">
        <v>2260</v>
      </c>
      <c r="B568" s="1" t="s">
        <v>2261</v>
      </c>
      <c r="C568" s="1" t="s">
        <v>2262</v>
      </c>
      <c r="D568" s="1" t="s">
        <v>2222</v>
      </c>
      <c r="E568" s="1" t="s">
        <v>18</v>
      </c>
      <c r="F568" s="1" t="s">
        <v>18</v>
      </c>
      <c r="G568" s="1" t="s">
        <v>19</v>
      </c>
      <c r="H568" s="2">
        <v>700000.0</v>
      </c>
      <c r="I568" s="1">
        <v>0.0</v>
      </c>
      <c r="J568" s="1" t="s">
        <v>47</v>
      </c>
      <c r="K568" s="5">
        <v>46059.0</v>
      </c>
      <c r="L568" s="4" t="str">
        <f t="shared" si="1"/>
        <v>Catalina Muñoz Muñoz</v>
      </c>
      <c r="M568" s="6" t="str">
        <f t="shared" si="2"/>
        <v>18.568.719-4</v>
      </c>
      <c r="N568" s="6" t="str">
        <f t="shared" si="3"/>
        <v>La Serena - La Serena - Región de Coquimbo</v>
      </c>
      <c r="O568" s="4"/>
    </row>
    <row r="569">
      <c r="A569" s="1" t="s">
        <v>3608</v>
      </c>
      <c r="B569" s="1" t="s">
        <v>3609</v>
      </c>
      <c r="C569" s="1" t="s">
        <v>3611</v>
      </c>
      <c r="D569" s="1" t="s">
        <v>3612</v>
      </c>
      <c r="E569" s="1" t="s">
        <v>45</v>
      </c>
      <c r="F569" s="1" t="s">
        <v>45</v>
      </c>
      <c r="G569" s="1" t="s">
        <v>46</v>
      </c>
      <c r="H569" s="2">
        <v>1.583E7</v>
      </c>
      <c r="I569" s="1">
        <v>60.0</v>
      </c>
      <c r="J569" s="1" t="s">
        <v>73</v>
      </c>
      <c r="K569" s="5">
        <v>46198.0</v>
      </c>
      <c r="L569" s="4" t="str">
        <f t="shared" si="1"/>
        <v>Felipe Silva Morales</v>
      </c>
      <c r="M569" s="6" t="str">
        <f t="shared" si="2"/>
        <v>20.692.778-7</v>
      </c>
      <c r="N569" s="6" t="str">
        <f t="shared" si="3"/>
        <v>Temuco - Temuco - Región de la Araucanía</v>
      </c>
      <c r="O569" s="4"/>
    </row>
    <row r="570">
      <c r="A570" s="1" t="s">
        <v>3840</v>
      </c>
      <c r="B570" s="1" t="s">
        <v>3841</v>
      </c>
      <c r="C570" s="1" t="s">
        <v>3842</v>
      </c>
      <c r="D570" s="1" t="s">
        <v>3844</v>
      </c>
      <c r="E570" s="1" t="s">
        <v>109</v>
      </c>
      <c r="F570" s="1" t="s">
        <v>62</v>
      </c>
      <c r="G570" s="1" t="s">
        <v>63</v>
      </c>
      <c r="H570" s="2">
        <v>1.027E7</v>
      </c>
      <c r="I570" s="1">
        <v>90.0</v>
      </c>
      <c r="J570" s="1" t="s">
        <v>20</v>
      </c>
      <c r="K570" s="5">
        <v>46197.0</v>
      </c>
      <c r="L570" s="4" t="str">
        <f t="shared" si="1"/>
        <v>Marcela Morales Rodríguez</v>
      </c>
      <c r="M570" s="6" t="str">
        <f t="shared" si="2"/>
        <v>12.592.312-3</v>
      </c>
      <c r="N570" s="6" t="str">
        <f t="shared" si="3"/>
        <v>Ñuñoa - Santiago - Región Metropolitana</v>
      </c>
      <c r="O570" s="4"/>
    </row>
    <row r="571">
      <c r="A571" s="1" t="s">
        <v>455</v>
      </c>
      <c r="B571" s="1" t="s">
        <v>457</v>
      </c>
      <c r="C571" s="1" t="s">
        <v>3845</v>
      </c>
      <c r="D571" s="1" t="s">
        <v>408</v>
      </c>
      <c r="E571" s="1" t="s">
        <v>118</v>
      </c>
      <c r="F571" s="1" t="s">
        <v>62</v>
      </c>
      <c r="G571" s="1" t="s">
        <v>63</v>
      </c>
      <c r="H571" s="2">
        <v>2.106E7</v>
      </c>
      <c r="I571" s="1">
        <v>0.0</v>
      </c>
      <c r="J571" s="1" t="s">
        <v>73</v>
      </c>
      <c r="K571" s="5">
        <v>46023.0</v>
      </c>
      <c r="L571" s="4" t="str">
        <f t="shared" si="1"/>
        <v>Álvaro Tapia Morales</v>
      </c>
      <c r="M571" s="6" t="str">
        <f t="shared" si="2"/>
        <v>21384372-2</v>
      </c>
      <c r="N571" s="6" t="str">
        <f t="shared" si="3"/>
        <v>Maipú - Santiago - Región Metropolitana</v>
      </c>
      <c r="O571" s="4"/>
    </row>
    <row r="572">
      <c r="A572" s="1" t="s">
        <v>1772</v>
      </c>
      <c r="B572" s="1" t="s">
        <v>1773</v>
      </c>
      <c r="C572" s="1" t="s">
        <v>1774</v>
      </c>
      <c r="D572" s="1" t="s">
        <v>1775</v>
      </c>
      <c r="E572" s="1" t="s">
        <v>45</v>
      </c>
      <c r="F572" s="1" t="s">
        <v>45</v>
      </c>
      <c r="G572" s="1" t="s">
        <v>46</v>
      </c>
      <c r="H572" s="2">
        <v>1.698E7</v>
      </c>
      <c r="I572" s="1">
        <v>15.0</v>
      </c>
      <c r="J572" s="1" t="s">
        <v>97</v>
      </c>
      <c r="K572" s="5">
        <v>46074.0</v>
      </c>
      <c r="L572" s="4" t="str">
        <f t="shared" si="1"/>
        <v>Carolina Espinoza Espinoza</v>
      </c>
      <c r="M572" s="6" t="str">
        <f t="shared" si="2"/>
        <v>11.817.630-6</v>
      </c>
      <c r="N572" s="6" t="str">
        <f t="shared" si="3"/>
        <v>Temuco - Temuco - Región de la Araucanía</v>
      </c>
      <c r="O572" s="4"/>
    </row>
    <row r="573">
      <c r="A573" s="1" t="s">
        <v>3851</v>
      </c>
      <c r="B573" s="1" t="s">
        <v>3852</v>
      </c>
      <c r="C573" s="1" t="s">
        <v>3853</v>
      </c>
      <c r="D573" s="1" t="s">
        <v>3854</v>
      </c>
      <c r="E573" s="1" t="s">
        <v>61</v>
      </c>
      <c r="F573" s="1" t="s">
        <v>62</v>
      </c>
      <c r="G573" s="1" t="s">
        <v>63</v>
      </c>
      <c r="H573" s="2">
        <v>1.787E7</v>
      </c>
      <c r="I573" s="1">
        <v>30.0</v>
      </c>
      <c r="J573" s="1" t="s">
        <v>28</v>
      </c>
      <c r="K573" s="5">
        <v>46068.0</v>
      </c>
      <c r="L573" s="4" t="str">
        <f t="shared" si="1"/>
        <v>Tomas Silva Soto</v>
      </c>
      <c r="M573" s="6" t="str">
        <f t="shared" si="2"/>
        <v>20.122.214-9</v>
      </c>
      <c r="N573" s="6" t="str">
        <f t="shared" si="3"/>
        <v>Santiago Centro - Santiago - Región Metropolitana</v>
      </c>
      <c r="O573" s="4"/>
    </row>
    <row r="574">
      <c r="A574" s="1" t="s">
        <v>3859</v>
      </c>
      <c r="B574" s="1" t="s">
        <v>3860</v>
      </c>
      <c r="C574" s="1" t="s">
        <v>3861</v>
      </c>
      <c r="D574" s="1" t="s">
        <v>3862</v>
      </c>
      <c r="E574" s="1" t="s">
        <v>61</v>
      </c>
      <c r="F574" s="1" t="s">
        <v>62</v>
      </c>
      <c r="G574" s="1" t="s">
        <v>63</v>
      </c>
      <c r="H574" s="2">
        <v>6410000.0</v>
      </c>
      <c r="I574" s="1">
        <v>0.0</v>
      </c>
      <c r="J574" s="1" t="s">
        <v>73</v>
      </c>
      <c r="K574" s="5">
        <v>46035.0</v>
      </c>
      <c r="L574" s="4" t="str">
        <f t="shared" si="1"/>
        <v>Loreto Araya Pérez</v>
      </c>
      <c r="M574" s="6" t="str">
        <f t="shared" si="2"/>
        <v>16510482-0</v>
      </c>
      <c r="N574" s="6" t="str">
        <f t="shared" si="3"/>
        <v>Santiago Centro - Santiago - Región Metropolitana</v>
      </c>
      <c r="O574" s="4"/>
    </row>
    <row r="575">
      <c r="A575" s="1" t="s">
        <v>3864</v>
      </c>
      <c r="B575" s="1" t="s">
        <v>3867</v>
      </c>
      <c r="C575" s="1" t="s">
        <v>3869</v>
      </c>
      <c r="D575" s="1" t="s">
        <v>3870</v>
      </c>
      <c r="E575" s="1" t="s">
        <v>118</v>
      </c>
      <c r="F575" s="1" t="s">
        <v>62</v>
      </c>
      <c r="G575" s="1" t="s">
        <v>63</v>
      </c>
      <c r="H575" s="2">
        <v>8780000.0</v>
      </c>
      <c r="I575" s="1">
        <v>15.0</v>
      </c>
      <c r="J575" s="1" t="s">
        <v>97</v>
      </c>
      <c r="K575" s="5">
        <v>46070.0</v>
      </c>
      <c r="L575" s="4" t="str">
        <f t="shared" si="1"/>
        <v>Rodrigo Soto Sepúlveda</v>
      </c>
      <c r="M575" s="6" t="str">
        <f t="shared" si="2"/>
        <v>18.156.584-1</v>
      </c>
      <c r="N575" s="6" t="str">
        <f t="shared" si="3"/>
        <v>Maipú - Santiago - Región Metropolitana</v>
      </c>
      <c r="O575" s="4"/>
    </row>
    <row r="576">
      <c r="A576" s="1" t="s">
        <v>1258</v>
      </c>
      <c r="B576" s="1" t="s">
        <v>1260</v>
      </c>
      <c r="C576" s="1" t="s">
        <v>3871</v>
      </c>
      <c r="D576" s="1" t="s">
        <v>1263</v>
      </c>
      <c r="E576" s="1" t="s">
        <v>109</v>
      </c>
      <c r="F576" s="1" t="s">
        <v>62</v>
      </c>
      <c r="G576" s="1" t="s">
        <v>63</v>
      </c>
      <c r="H576" s="2">
        <v>1.236E7</v>
      </c>
      <c r="I576" s="1">
        <v>0.0</v>
      </c>
      <c r="J576" s="1" t="s">
        <v>28</v>
      </c>
      <c r="K576" s="5">
        <v>46067.0</v>
      </c>
      <c r="L576" s="4" t="str">
        <f t="shared" si="1"/>
        <v>Beatriz Silva Díaz</v>
      </c>
      <c r="M576" s="6" t="str">
        <f t="shared" si="2"/>
        <v>14042889-8</v>
      </c>
      <c r="N576" s="6" t="str">
        <f t="shared" si="3"/>
        <v>Ñuñoa - Santiago - Región Metropolitana</v>
      </c>
      <c r="O576" s="4"/>
    </row>
    <row r="577">
      <c r="A577" s="1" t="s">
        <v>2481</v>
      </c>
      <c r="B577" s="1" t="s">
        <v>2482</v>
      </c>
      <c r="C577" s="1" t="s">
        <v>2483</v>
      </c>
      <c r="D577" s="1" t="s">
        <v>2484</v>
      </c>
      <c r="E577" s="1" t="s">
        <v>25</v>
      </c>
      <c r="F577" s="1" t="s">
        <v>26</v>
      </c>
      <c r="G577" s="1" t="s">
        <v>27</v>
      </c>
      <c r="H577" s="2">
        <v>1.484E7</v>
      </c>
      <c r="I577" s="1">
        <v>0.0</v>
      </c>
      <c r="J577" s="1" t="s">
        <v>47</v>
      </c>
      <c r="K577" s="5">
        <v>46155.0</v>
      </c>
      <c r="L577" s="4" t="str">
        <f t="shared" si="1"/>
        <v>Claudio Díaz Tapia</v>
      </c>
      <c r="M577" s="6" t="str">
        <f t="shared" si="2"/>
        <v>18.401.624-8</v>
      </c>
      <c r="N577" s="6" t="str">
        <f t="shared" si="3"/>
        <v>Viña del Mar - Valparaíso - Región de Valparaíso</v>
      </c>
      <c r="O577" s="4"/>
    </row>
    <row r="578">
      <c r="A578" s="1" t="s">
        <v>3785</v>
      </c>
      <c r="B578" s="1" t="s">
        <v>3787</v>
      </c>
      <c r="C578" s="1" t="s">
        <v>3873</v>
      </c>
      <c r="D578" s="1" t="s">
        <v>3791</v>
      </c>
      <c r="E578" s="1" t="s">
        <v>56</v>
      </c>
      <c r="F578" s="1" t="s">
        <v>39</v>
      </c>
      <c r="G578" s="1" t="s">
        <v>40</v>
      </c>
      <c r="H578" s="2">
        <v>1.556E7</v>
      </c>
      <c r="I578" s="1">
        <v>15.0</v>
      </c>
      <c r="J578" s="1" t="s">
        <v>97</v>
      </c>
      <c r="K578" s="5">
        <v>46220.0</v>
      </c>
      <c r="L578" s="4" t="str">
        <f t="shared" si="1"/>
        <v>Fernanda Soto Tapia</v>
      </c>
      <c r="M578" s="6" t="str">
        <f t="shared" si="2"/>
        <v>16.299.256-3</v>
      </c>
      <c r="N578" s="6" t="str">
        <f t="shared" si="3"/>
        <v>Talcahuano - Concepción - Región del Biobío</v>
      </c>
      <c r="O578" s="4"/>
    </row>
    <row r="579">
      <c r="A579" s="1" t="s">
        <v>3878</v>
      </c>
      <c r="B579" s="1" t="s">
        <v>3879</v>
      </c>
      <c r="C579" s="1" t="s">
        <v>3880</v>
      </c>
      <c r="D579" s="1" t="s">
        <v>3881</v>
      </c>
      <c r="E579" s="1" t="s">
        <v>33</v>
      </c>
      <c r="F579" s="1" t="s">
        <v>33</v>
      </c>
      <c r="G579" s="1" t="s">
        <v>34</v>
      </c>
      <c r="H579" s="2">
        <v>9520000.0</v>
      </c>
      <c r="I579" s="1">
        <v>30.0</v>
      </c>
      <c r="J579" s="1" t="s">
        <v>28</v>
      </c>
      <c r="K579" s="5">
        <v>46222.0</v>
      </c>
      <c r="L579" s="4" t="str">
        <f t="shared" si="1"/>
        <v>Mauricio Contreras Valenzuela</v>
      </c>
      <c r="M579" s="6" t="str">
        <f t="shared" si="2"/>
        <v>18.129.373-8</v>
      </c>
      <c r="N579" s="6" t="str">
        <f t="shared" si="3"/>
        <v>Puerto Montt - Puerto Montt - Región de Los Lagos</v>
      </c>
      <c r="O579" s="4"/>
    </row>
    <row r="580">
      <c r="A580" s="1" t="s">
        <v>3883</v>
      </c>
      <c r="B580" s="1" t="s">
        <v>3884</v>
      </c>
      <c r="C580" s="1" t="s">
        <v>3885</v>
      </c>
      <c r="D580" s="1" t="s">
        <v>3886</v>
      </c>
      <c r="E580" s="1" t="s">
        <v>18</v>
      </c>
      <c r="F580" s="1" t="s">
        <v>18</v>
      </c>
      <c r="G580" s="1" t="s">
        <v>19</v>
      </c>
      <c r="H580" s="2">
        <v>1.4E7</v>
      </c>
      <c r="I580" s="1">
        <v>0.0</v>
      </c>
      <c r="J580" s="1" t="s">
        <v>28</v>
      </c>
      <c r="K580" s="5">
        <v>46044.0</v>
      </c>
      <c r="L580" s="4" t="str">
        <f t="shared" si="1"/>
        <v>Sofia López Muñoz</v>
      </c>
      <c r="M580" s="6" t="str">
        <f t="shared" si="2"/>
        <v>16.779.465-4</v>
      </c>
      <c r="N580" s="6" t="str">
        <f t="shared" si="3"/>
        <v>La Serena - La Serena - Región de Coquimbo</v>
      </c>
      <c r="O580" s="4"/>
    </row>
    <row r="581">
      <c r="A581" s="1" t="s">
        <v>3889</v>
      </c>
      <c r="B581" s="1" t="s">
        <v>3891</v>
      </c>
      <c r="C581" s="1" t="s">
        <v>3893</v>
      </c>
      <c r="D581" s="1" t="s">
        <v>3894</v>
      </c>
      <c r="E581" s="1" t="s">
        <v>26</v>
      </c>
      <c r="F581" s="1" t="s">
        <v>26</v>
      </c>
      <c r="G581" s="1" t="s">
        <v>27</v>
      </c>
      <c r="H581" s="2">
        <v>5240000.0</v>
      </c>
      <c r="I581" s="1">
        <v>120.0</v>
      </c>
      <c r="J581" s="1" t="s">
        <v>28</v>
      </c>
      <c r="K581" s="5">
        <v>46134.0</v>
      </c>
      <c r="L581" s="4" t="str">
        <f t="shared" si="1"/>
        <v>Matías Fuentes Araya</v>
      </c>
      <c r="M581" s="6" t="str">
        <f t="shared" si="2"/>
        <v>20.920.402-8</v>
      </c>
      <c r="N581" s="6" t="str">
        <f t="shared" si="3"/>
        <v>Valparaíso - Valparaíso - Región de Valparaíso</v>
      </c>
      <c r="O581" s="4"/>
    </row>
    <row r="582">
      <c r="A582" s="1" t="s">
        <v>3887</v>
      </c>
      <c r="B582" s="1" t="s">
        <v>3888</v>
      </c>
      <c r="C582" s="1" t="s">
        <v>3895</v>
      </c>
      <c r="D582" s="1" t="s">
        <v>3892</v>
      </c>
      <c r="E582" s="1" t="s">
        <v>194</v>
      </c>
      <c r="F582" s="1" t="s">
        <v>62</v>
      </c>
      <c r="G582" s="1" t="s">
        <v>63</v>
      </c>
      <c r="H582" s="2">
        <v>7040000.0</v>
      </c>
      <c r="I582" s="1">
        <v>120.0</v>
      </c>
      <c r="J582" s="1" t="s">
        <v>28</v>
      </c>
      <c r="K582" s="5">
        <v>46069.0</v>
      </c>
      <c r="L582" s="4" t="str">
        <f t="shared" si="1"/>
        <v>Francisca Pérez Valenzuela</v>
      </c>
      <c r="M582" s="6" t="str">
        <f t="shared" si="2"/>
        <v>17.882.605-5</v>
      </c>
      <c r="N582" s="6" t="str">
        <f t="shared" si="3"/>
        <v>Las Condes - Santiago - Región Metropolitana</v>
      </c>
      <c r="O582" s="4"/>
    </row>
    <row r="583">
      <c r="A583" s="1" t="s">
        <v>3335</v>
      </c>
      <c r="B583" s="1" t="s">
        <v>3336</v>
      </c>
      <c r="C583" s="1" t="s">
        <v>3896</v>
      </c>
      <c r="D583" s="1" t="s">
        <v>3338</v>
      </c>
      <c r="E583" s="1" t="s">
        <v>109</v>
      </c>
      <c r="F583" s="1" t="s">
        <v>62</v>
      </c>
      <c r="G583" s="1" t="s">
        <v>63</v>
      </c>
      <c r="H583" s="2">
        <v>1.909E7</v>
      </c>
      <c r="I583" s="1">
        <v>0.0</v>
      </c>
      <c r="J583" s="1" t="s">
        <v>97</v>
      </c>
      <c r="K583" s="5">
        <v>46191.0</v>
      </c>
      <c r="L583" s="4" t="str">
        <f t="shared" si="1"/>
        <v>Diego Rojas Araya</v>
      </c>
      <c r="M583" s="6" t="str">
        <f t="shared" si="2"/>
        <v>19499949-6</v>
      </c>
      <c r="N583" s="6" t="str">
        <f t="shared" si="3"/>
        <v>Ñuñoa - Santiago - Región Metropolitana</v>
      </c>
      <c r="O583" s="4"/>
    </row>
    <row r="584">
      <c r="A584" s="1" t="s">
        <v>3897</v>
      </c>
      <c r="B584" s="1" t="s">
        <v>3899</v>
      </c>
      <c r="C584" s="1" t="s">
        <v>3900</v>
      </c>
      <c r="D584" s="1" t="s">
        <v>3901</v>
      </c>
      <c r="E584" s="1" t="s">
        <v>45</v>
      </c>
      <c r="F584" s="1" t="s">
        <v>45</v>
      </c>
      <c r="G584" s="1" t="s">
        <v>46</v>
      </c>
      <c r="H584" s="2">
        <v>1.318E7</v>
      </c>
      <c r="I584" s="1">
        <v>30.0</v>
      </c>
      <c r="J584" s="1" t="s">
        <v>20</v>
      </c>
      <c r="K584" s="5">
        <v>46206.0</v>
      </c>
      <c r="L584" s="4" t="str">
        <f t="shared" si="1"/>
        <v>Loreto Espinoza Soto</v>
      </c>
      <c r="M584" s="6" t="str">
        <f t="shared" si="2"/>
        <v>17.018.530-4</v>
      </c>
      <c r="N584" s="6" t="str">
        <f t="shared" si="3"/>
        <v>Temuco - Temuco - Región de la Araucanía</v>
      </c>
      <c r="O584" s="4"/>
    </row>
    <row r="585">
      <c r="A585" s="1" t="s">
        <v>3331</v>
      </c>
      <c r="B585" s="1" t="s">
        <v>3332</v>
      </c>
      <c r="C585" s="1" t="s">
        <v>3902</v>
      </c>
      <c r="D585" s="1" t="s">
        <v>3334</v>
      </c>
      <c r="E585" s="1" t="s">
        <v>25</v>
      </c>
      <c r="F585" s="1" t="s">
        <v>26</v>
      </c>
      <c r="G585" s="1" t="s">
        <v>27</v>
      </c>
      <c r="H585" s="2">
        <v>1.646E7</v>
      </c>
      <c r="I585" s="1">
        <v>60.0</v>
      </c>
      <c r="J585" s="1" t="s">
        <v>20</v>
      </c>
      <c r="K585" s="5">
        <v>46164.0</v>
      </c>
      <c r="L585" s="4" t="str">
        <f t="shared" si="1"/>
        <v>Diego Pérez Valenzuela</v>
      </c>
      <c r="M585" s="6" t="str">
        <f t="shared" si="2"/>
        <v>21.481.289-9</v>
      </c>
      <c r="N585" s="6" t="str">
        <f t="shared" si="3"/>
        <v>Viña del Mar - Valparaíso - Región de Valparaíso</v>
      </c>
      <c r="O585" s="4"/>
    </row>
    <row r="586">
      <c r="A586" s="1" t="s">
        <v>3907</v>
      </c>
      <c r="B586" s="1" t="s">
        <v>3908</v>
      </c>
      <c r="C586" s="1" t="s">
        <v>3909</v>
      </c>
      <c r="D586" s="1" t="s">
        <v>3910</v>
      </c>
      <c r="E586" s="1" t="s">
        <v>61</v>
      </c>
      <c r="F586" s="1" t="s">
        <v>62</v>
      </c>
      <c r="G586" s="1" t="s">
        <v>63</v>
      </c>
      <c r="H586" s="2">
        <v>1.62E7</v>
      </c>
      <c r="I586" s="1">
        <v>120.0</v>
      </c>
      <c r="J586" s="1" t="s">
        <v>97</v>
      </c>
      <c r="K586" s="5">
        <v>46139.0</v>
      </c>
      <c r="L586" s="4" t="str">
        <f t="shared" si="1"/>
        <v>Paula López González</v>
      </c>
      <c r="M586" s="6" t="str">
        <f t="shared" si="2"/>
        <v>14.609.189-2</v>
      </c>
      <c r="N586" s="6" t="str">
        <f t="shared" si="3"/>
        <v>Santiago Centro - Santiago - Región Metropolitana</v>
      </c>
      <c r="O586" s="4"/>
    </row>
    <row r="587">
      <c r="A587" s="1" t="s">
        <v>3254</v>
      </c>
      <c r="B587" s="1" t="s">
        <v>3255</v>
      </c>
      <c r="C587" s="1" t="s">
        <v>3911</v>
      </c>
      <c r="D587" s="1" t="s">
        <v>3257</v>
      </c>
      <c r="E587" s="1" t="s">
        <v>26</v>
      </c>
      <c r="F587" s="1" t="s">
        <v>26</v>
      </c>
      <c r="G587" s="1" t="s">
        <v>27</v>
      </c>
      <c r="H587" s="2">
        <v>1.205E7</v>
      </c>
      <c r="I587" s="1">
        <v>30.0</v>
      </c>
      <c r="J587" s="1" t="s">
        <v>20</v>
      </c>
      <c r="K587" s="5">
        <v>46029.0</v>
      </c>
      <c r="L587" s="4" t="str">
        <f t="shared" si="1"/>
        <v>Diego Espinoza Silva</v>
      </c>
      <c r="M587" s="6" t="str">
        <f t="shared" si="2"/>
        <v>13.745.009-7</v>
      </c>
      <c r="N587" s="6" t="str">
        <f t="shared" si="3"/>
        <v>Valparaíso - Valparaíso - Región de Valparaíso</v>
      </c>
      <c r="O587" s="4"/>
    </row>
    <row r="588">
      <c r="A588" s="1" t="s">
        <v>3737</v>
      </c>
      <c r="B588" s="1" t="s">
        <v>3738</v>
      </c>
      <c r="C588" s="1" t="s">
        <v>3912</v>
      </c>
      <c r="D588" s="1" t="s">
        <v>3740</v>
      </c>
      <c r="E588" s="1" t="s">
        <v>45</v>
      </c>
      <c r="F588" s="1" t="s">
        <v>45</v>
      </c>
      <c r="G588" s="1" t="s">
        <v>46</v>
      </c>
      <c r="H588" s="2">
        <v>8150000.0</v>
      </c>
      <c r="I588" s="1">
        <v>45.0</v>
      </c>
      <c r="J588" s="1" t="s">
        <v>47</v>
      </c>
      <c r="K588" s="5">
        <v>46134.0</v>
      </c>
      <c r="L588" s="4" t="str">
        <f t="shared" si="1"/>
        <v>Fernanda Rodríguez Contreras</v>
      </c>
      <c r="M588" s="6" t="str">
        <f t="shared" si="2"/>
        <v>21.183.521-3</v>
      </c>
      <c r="N588" s="6" t="str">
        <f t="shared" si="3"/>
        <v>Temuco - Temuco - Región de la Araucanía</v>
      </c>
      <c r="O588" s="4"/>
    </row>
    <row r="589">
      <c r="A589" s="1" t="s">
        <v>2598</v>
      </c>
      <c r="B589" s="1" t="s">
        <v>2599</v>
      </c>
      <c r="C589" s="1" t="s">
        <v>2601</v>
      </c>
      <c r="D589" s="1" t="s">
        <v>2603</v>
      </c>
      <c r="E589" s="1" t="s">
        <v>56</v>
      </c>
      <c r="F589" s="1" t="s">
        <v>39</v>
      </c>
      <c r="G589" s="1" t="s">
        <v>40</v>
      </c>
      <c r="H589" s="2">
        <v>1940000.0</v>
      </c>
      <c r="I589" s="1">
        <v>120.0</v>
      </c>
      <c r="J589" s="1" t="s">
        <v>28</v>
      </c>
      <c r="K589" s="5">
        <v>46105.0</v>
      </c>
      <c r="L589" s="4" t="str">
        <f t="shared" si="1"/>
        <v>Claudio Pérez López</v>
      </c>
      <c r="M589" s="6" t="str">
        <f t="shared" si="2"/>
        <v>20.005.286-7</v>
      </c>
      <c r="N589" s="6" t="str">
        <f t="shared" si="3"/>
        <v>Talcahuano - Concepción - Región del Biobío</v>
      </c>
      <c r="O589" s="4"/>
    </row>
    <row r="590">
      <c r="A590" s="1" t="s">
        <v>3916</v>
      </c>
      <c r="B590" s="1" t="s">
        <v>3917</v>
      </c>
      <c r="C590" s="1" t="s">
        <v>3918</v>
      </c>
      <c r="D590" s="1" t="s">
        <v>3919</v>
      </c>
      <c r="E590" s="1" t="s">
        <v>61</v>
      </c>
      <c r="F590" s="1" t="s">
        <v>62</v>
      </c>
      <c r="G590" s="1" t="s">
        <v>63</v>
      </c>
      <c r="H590" s="2">
        <v>9050000.0</v>
      </c>
      <c r="I590" s="1">
        <v>60.0</v>
      </c>
      <c r="J590" s="1" t="s">
        <v>47</v>
      </c>
      <c r="K590" s="5">
        <v>46073.0</v>
      </c>
      <c r="L590" s="4" t="str">
        <f t="shared" si="1"/>
        <v>Paula Pérez Morales</v>
      </c>
      <c r="M590" s="6" t="str">
        <f t="shared" si="2"/>
        <v>20.901.942-9</v>
      </c>
      <c r="N590" s="6" t="str">
        <f t="shared" si="3"/>
        <v>Santiago Centro - Santiago - Región Metropolitana</v>
      </c>
      <c r="O590" s="4"/>
    </row>
    <row r="591">
      <c r="A591" s="1" t="s">
        <v>3652</v>
      </c>
      <c r="B591" s="1" t="s">
        <v>3653</v>
      </c>
      <c r="C591" s="1" t="s">
        <v>3920</v>
      </c>
      <c r="D591" s="1" t="s">
        <v>962</v>
      </c>
      <c r="E591" s="1" t="s">
        <v>72</v>
      </c>
      <c r="F591" s="1" t="s">
        <v>62</v>
      </c>
      <c r="G591" s="1" t="s">
        <v>63</v>
      </c>
      <c r="H591" s="2">
        <v>4800000.0</v>
      </c>
      <c r="I591" s="1">
        <v>120.0</v>
      </c>
      <c r="J591" s="1" t="s">
        <v>97</v>
      </c>
      <c r="K591" s="5">
        <v>46069.0</v>
      </c>
      <c r="L591" s="4" t="str">
        <f t="shared" si="1"/>
        <v>Felipe Vergara Silva</v>
      </c>
      <c r="M591" s="6" t="str">
        <f t="shared" si="2"/>
        <v>13.658.110-1</v>
      </c>
      <c r="N591" s="6" t="str">
        <f t="shared" si="3"/>
        <v>Providencia - Santiago - Región Metropolitana</v>
      </c>
      <c r="O591" s="4"/>
    </row>
    <row r="592">
      <c r="A592" s="1" t="s">
        <v>2760</v>
      </c>
      <c r="B592" s="1" t="s">
        <v>2761</v>
      </c>
      <c r="C592" s="1" t="s">
        <v>3921</v>
      </c>
      <c r="D592" s="1" t="s">
        <v>2763</v>
      </c>
      <c r="E592" s="1" t="s">
        <v>61</v>
      </c>
      <c r="F592" s="1" t="s">
        <v>62</v>
      </c>
      <c r="G592" s="1" t="s">
        <v>63</v>
      </c>
      <c r="H592" s="2">
        <v>1.434E7</v>
      </c>
      <c r="I592" s="1">
        <v>15.0</v>
      </c>
      <c r="J592" s="1" t="s">
        <v>97</v>
      </c>
      <c r="K592" s="5">
        <v>46037.0</v>
      </c>
      <c r="L592" s="4" t="str">
        <f t="shared" si="1"/>
        <v>Constanza Fuentes Contreras</v>
      </c>
      <c r="M592" s="6" t="str">
        <f t="shared" si="2"/>
        <v>19000979-6</v>
      </c>
      <c r="N592" s="6" t="str">
        <f t="shared" si="3"/>
        <v>Santiago Centro - Santiago - Región Metropolitana</v>
      </c>
      <c r="O592" s="4"/>
    </row>
    <row r="593">
      <c r="A593" s="1" t="s">
        <v>3923</v>
      </c>
      <c r="B593" s="1" t="s">
        <v>3924</v>
      </c>
      <c r="C593" s="1" t="s">
        <v>3925</v>
      </c>
      <c r="D593" s="1" t="s">
        <v>3926</v>
      </c>
      <c r="E593" s="1" t="s">
        <v>18</v>
      </c>
      <c r="F593" s="1" t="s">
        <v>18</v>
      </c>
      <c r="G593" s="1" t="s">
        <v>19</v>
      </c>
      <c r="H593" s="2">
        <v>4190000.0</v>
      </c>
      <c r="I593" s="1">
        <v>30.0</v>
      </c>
      <c r="J593" s="1" t="s">
        <v>73</v>
      </c>
      <c r="K593" s="5">
        <v>46229.0</v>
      </c>
      <c r="L593" s="4" t="str">
        <f t="shared" si="1"/>
        <v>Sebastián Pérez Contreras</v>
      </c>
      <c r="M593" s="6" t="str">
        <f t="shared" si="2"/>
        <v>20.942.549-4</v>
      </c>
      <c r="N593" s="6" t="str">
        <f t="shared" si="3"/>
        <v>La Serena - La Serena - Región de Coquimbo</v>
      </c>
      <c r="O593" s="4"/>
    </row>
    <row r="594">
      <c r="A594" s="1" t="s">
        <v>3927</v>
      </c>
      <c r="B594" s="1" t="s">
        <v>3928</v>
      </c>
      <c r="C594" s="1" t="s">
        <v>3929</v>
      </c>
      <c r="D594" s="1" t="s">
        <v>3767</v>
      </c>
      <c r="E594" s="1" t="s">
        <v>26</v>
      </c>
      <c r="F594" s="1" t="s">
        <v>26</v>
      </c>
      <c r="G594" s="1" t="s">
        <v>27</v>
      </c>
      <c r="H594" s="2">
        <v>9190000.0</v>
      </c>
      <c r="I594" s="1">
        <v>0.0</v>
      </c>
      <c r="J594" s="1" t="s">
        <v>28</v>
      </c>
      <c r="K594" s="5">
        <v>46210.0</v>
      </c>
      <c r="L594" s="4" t="str">
        <f t="shared" si="1"/>
        <v>Macarena Sepúlveda Díaz</v>
      </c>
      <c r="M594" s="6" t="str">
        <f t="shared" si="2"/>
        <v>18.506.049-K</v>
      </c>
      <c r="N594" s="6" t="str">
        <f t="shared" si="3"/>
        <v>Valparaíso - Valparaíso - Región de Valparaíso</v>
      </c>
      <c r="O594" s="4"/>
    </row>
    <row r="595">
      <c r="A595" s="1" t="s">
        <v>3487</v>
      </c>
      <c r="B595" s="1" t="s">
        <v>3488</v>
      </c>
      <c r="C595" s="1" t="s">
        <v>3489</v>
      </c>
      <c r="D595" s="1" t="s">
        <v>3490</v>
      </c>
      <c r="E595" s="1" t="s">
        <v>18</v>
      </c>
      <c r="F595" s="1" t="s">
        <v>18</v>
      </c>
      <c r="G595" s="1" t="s">
        <v>19</v>
      </c>
      <c r="H595" s="2">
        <v>6020000.0</v>
      </c>
      <c r="I595" s="1">
        <v>15.0</v>
      </c>
      <c r="J595" s="1" t="s">
        <v>47</v>
      </c>
      <c r="K595" s="5">
        <v>46216.0</v>
      </c>
      <c r="L595" s="4" t="str">
        <f t="shared" si="1"/>
        <v>Esteban Muñoz Vergara</v>
      </c>
      <c r="M595" s="6" t="str">
        <f t="shared" si="2"/>
        <v>11.784.698-7</v>
      </c>
      <c r="N595" s="6" t="str">
        <f t="shared" si="3"/>
        <v>La Serena - La Serena - Región de Coquimbo</v>
      </c>
      <c r="O595" s="4"/>
    </row>
    <row r="596">
      <c r="A596" s="1" t="s">
        <v>1936</v>
      </c>
      <c r="B596" s="1" t="s">
        <v>1937</v>
      </c>
      <c r="C596" s="1" t="s">
        <v>3933</v>
      </c>
      <c r="D596" s="1" t="s">
        <v>1939</v>
      </c>
      <c r="E596" s="1" t="s">
        <v>118</v>
      </c>
      <c r="F596" s="1" t="s">
        <v>62</v>
      </c>
      <c r="G596" s="1" t="s">
        <v>63</v>
      </c>
      <c r="H596" s="2">
        <v>1.997E7</v>
      </c>
      <c r="I596" s="1">
        <v>0.0</v>
      </c>
      <c r="J596" s="1" t="s">
        <v>73</v>
      </c>
      <c r="K596" s="5">
        <v>46189.0</v>
      </c>
      <c r="L596" s="4" t="str">
        <f t="shared" si="1"/>
        <v>Carolina Soto Espinoza</v>
      </c>
      <c r="M596" s="6" t="str">
        <f t="shared" si="2"/>
        <v>14.504.587-8</v>
      </c>
      <c r="N596" s="6" t="str">
        <f t="shared" si="3"/>
        <v>Maipú - Santiago - Región Metropolitana</v>
      </c>
      <c r="O596" s="4"/>
    </row>
    <row r="597">
      <c r="A597" s="1" t="s">
        <v>3934</v>
      </c>
      <c r="B597" s="1" t="s">
        <v>3935</v>
      </c>
      <c r="C597" s="1" t="s">
        <v>3936</v>
      </c>
      <c r="D597" s="1" t="s">
        <v>3937</v>
      </c>
      <c r="E597" s="1" t="s">
        <v>39</v>
      </c>
      <c r="F597" s="1" t="s">
        <v>39</v>
      </c>
      <c r="G597" s="1" t="s">
        <v>40</v>
      </c>
      <c r="H597" s="2">
        <v>9690000.0</v>
      </c>
      <c r="I597" s="1">
        <v>120.0</v>
      </c>
      <c r="J597" s="1" t="s">
        <v>47</v>
      </c>
      <c r="K597" s="5">
        <v>46043.0</v>
      </c>
      <c r="L597" s="4" t="str">
        <f t="shared" si="1"/>
        <v>Ignacio López Morales</v>
      </c>
      <c r="M597" s="6" t="str">
        <f t="shared" si="2"/>
        <v>15.835.786-0</v>
      </c>
      <c r="N597" s="6" t="str">
        <f t="shared" si="3"/>
        <v>Concepción - Concepción - Región del Biobío</v>
      </c>
      <c r="O597" s="4"/>
    </row>
    <row r="598">
      <c r="A598" s="1" t="s">
        <v>2784</v>
      </c>
      <c r="B598" s="1" t="s">
        <v>2786</v>
      </c>
      <c r="C598" s="1" t="s">
        <v>2787</v>
      </c>
      <c r="D598" s="1" t="s">
        <v>2775</v>
      </c>
      <c r="E598" s="1" t="s">
        <v>109</v>
      </c>
      <c r="F598" s="1" t="s">
        <v>62</v>
      </c>
      <c r="G598" s="1" t="s">
        <v>63</v>
      </c>
      <c r="H598" s="2">
        <v>6360000.0</v>
      </c>
      <c r="I598" s="1">
        <v>120.0</v>
      </c>
      <c r="J598" s="1" t="s">
        <v>97</v>
      </c>
      <c r="K598" s="5">
        <v>46204.0</v>
      </c>
      <c r="L598" s="4" t="str">
        <f t="shared" si="1"/>
        <v>Constanza López Morales</v>
      </c>
      <c r="M598" s="6" t="str">
        <f t="shared" si="2"/>
        <v>14.527.558-5</v>
      </c>
      <c r="N598" s="6" t="str">
        <f t="shared" si="3"/>
        <v>Ñuñoa - Santiago - Región Metropolitana</v>
      </c>
      <c r="O598" s="4"/>
    </row>
    <row r="599">
      <c r="A599" s="1" t="s">
        <v>3939</v>
      </c>
      <c r="B599" s="1" t="s">
        <v>3941</v>
      </c>
      <c r="C599" s="1" t="s">
        <v>3943</v>
      </c>
      <c r="D599" s="1" t="s">
        <v>3945</v>
      </c>
      <c r="E599" s="1" t="s">
        <v>72</v>
      </c>
      <c r="F599" s="1" t="s">
        <v>62</v>
      </c>
      <c r="G599" s="1" t="s">
        <v>63</v>
      </c>
      <c r="H599" s="2">
        <v>1.647E7</v>
      </c>
      <c r="I599" s="1">
        <v>60.0</v>
      </c>
      <c r="J599" s="1" t="s">
        <v>97</v>
      </c>
      <c r="K599" s="5">
        <v>46170.0</v>
      </c>
      <c r="L599" s="4" t="str">
        <f t="shared" si="1"/>
        <v>Mauricio Tapia Pérez</v>
      </c>
      <c r="M599" s="6" t="str">
        <f t="shared" si="2"/>
        <v>22.427.853-5</v>
      </c>
      <c r="N599" s="6" t="str">
        <f t="shared" si="3"/>
        <v>Providencia - Santiago - Región Metropolitana</v>
      </c>
      <c r="O599" s="4"/>
    </row>
    <row r="600">
      <c r="A600" s="1" t="s">
        <v>3947</v>
      </c>
      <c r="B600" s="1" t="s">
        <v>3948</v>
      </c>
      <c r="C600" s="1" t="s">
        <v>3949</v>
      </c>
      <c r="D600" s="1" t="s">
        <v>3950</v>
      </c>
      <c r="E600" s="1" t="s">
        <v>18</v>
      </c>
      <c r="F600" s="1" t="s">
        <v>18</v>
      </c>
      <c r="G600" s="1" t="s">
        <v>19</v>
      </c>
      <c r="H600" s="2">
        <v>1.259E7</v>
      </c>
      <c r="I600" s="1">
        <v>0.0</v>
      </c>
      <c r="J600" s="1" t="s">
        <v>73</v>
      </c>
      <c r="K600" s="5">
        <v>46091.0</v>
      </c>
      <c r="L600" s="4" t="str">
        <f t="shared" si="1"/>
        <v>Macarena Díaz Vergara</v>
      </c>
      <c r="M600" s="6" t="str">
        <f t="shared" si="2"/>
        <v>15101992-1</v>
      </c>
      <c r="N600" s="6" t="str">
        <f t="shared" si="3"/>
        <v>La Serena - La Serena - Región de Coquimbo</v>
      </c>
      <c r="O600" s="4"/>
    </row>
    <row r="601">
      <c r="A601" s="1" t="s">
        <v>2529</v>
      </c>
      <c r="B601" s="1" t="s">
        <v>2530</v>
      </c>
      <c r="C601" s="1" t="s">
        <v>3955</v>
      </c>
      <c r="D601" s="1" t="s">
        <v>2532</v>
      </c>
      <c r="E601" s="1" t="s">
        <v>194</v>
      </c>
      <c r="F601" s="1" t="s">
        <v>62</v>
      </c>
      <c r="G601" s="1" t="s">
        <v>63</v>
      </c>
      <c r="H601" s="2">
        <v>1.784E7</v>
      </c>
      <c r="I601" s="1">
        <v>45.0</v>
      </c>
      <c r="J601" s="1" t="s">
        <v>28</v>
      </c>
      <c r="K601" s="5">
        <v>46214.0</v>
      </c>
      <c r="L601" s="4" t="str">
        <f t="shared" si="1"/>
        <v>Claudio González Silva</v>
      </c>
      <c r="M601" s="6" t="str">
        <f t="shared" si="2"/>
        <v>18.725.853-K</v>
      </c>
      <c r="N601" s="6" t="str">
        <f t="shared" si="3"/>
        <v>Las Condes - Santiago - Región Metropolitana</v>
      </c>
      <c r="O601" s="4"/>
    </row>
    <row r="602">
      <c r="A602" s="1" t="s">
        <v>3956</v>
      </c>
      <c r="B602" s="1" t="s">
        <v>3957</v>
      </c>
      <c r="C602" s="1" t="s">
        <v>3958</v>
      </c>
      <c r="D602" s="1" t="s">
        <v>17</v>
      </c>
      <c r="E602" s="1" t="s">
        <v>158</v>
      </c>
      <c r="F602" s="1" t="s">
        <v>158</v>
      </c>
      <c r="G602" s="1" t="s">
        <v>159</v>
      </c>
      <c r="H602" s="2">
        <v>5090000.0</v>
      </c>
      <c r="I602" s="1">
        <v>15.0</v>
      </c>
      <c r="J602" s="1" t="s">
        <v>28</v>
      </c>
      <c r="K602" s="5">
        <v>46036.0</v>
      </c>
      <c r="L602" s="4" t="str">
        <f t="shared" si="1"/>
        <v>Macarena Tapia Silva</v>
      </c>
      <c r="M602" s="6" t="str">
        <f t="shared" si="2"/>
        <v>16.406.929-5</v>
      </c>
      <c r="N602" s="6" t="str">
        <f t="shared" si="3"/>
        <v>Antofagasta - Antofagasta - Región de Antofagasta</v>
      </c>
      <c r="O602" s="4"/>
    </row>
    <row r="603">
      <c r="A603" s="1" t="s">
        <v>3959</v>
      </c>
      <c r="B603" s="1" t="s">
        <v>3960</v>
      </c>
      <c r="C603" s="1" t="s">
        <v>3961</v>
      </c>
      <c r="D603" s="1" t="s">
        <v>3962</v>
      </c>
      <c r="E603" s="1" t="s">
        <v>18</v>
      </c>
      <c r="F603" s="1" t="s">
        <v>18</v>
      </c>
      <c r="G603" s="1" t="s">
        <v>19</v>
      </c>
      <c r="H603" s="2">
        <v>1.241E7</v>
      </c>
      <c r="I603" s="1">
        <v>0.0</v>
      </c>
      <c r="J603" s="1" t="s">
        <v>73</v>
      </c>
      <c r="K603" s="5">
        <v>46145.0</v>
      </c>
      <c r="L603" s="4" t="str">
        <f t="shared" si="1"/>
        <v>Ignacio Rodríguez Araya</v>
      </c>
      <c r="M603" s="6" t="str">
        <f t="shared" si="2"/>
        <v>16.363.883-7</v>
      </c>
      <c r="N603" s="6" t="str">
        <f t="shared" si="3"/>
        <v>La Serena - La Serena - Región de Coquimbo</v>
      </c>
      <c r="O603" s="4"/>
    </row>
    <row r="604">
      <c r="A604" s="1" t="s">
        <v>3817</v>
      </c>
      <c r="B604" s="1" t="s">
        <v>3818</v>
      </c>
      <c r="C604" s="1" t="s">
        <v>3967</v>
      </c>
      <c r="D604" s="1" t="s">
        <v>829</v>
      </c>
      <c r="E604" s="1" t="s">
        <v>109</v>
      </c>
      <c r="F604" s="1" t="s">
        <v>62</v>
      </c>
      <c r="G604" s="1" t="s">
        <v>63</v>
      </c>
      <c r="H604" s="2">
        <v>1.694E7</v>
      </c>
      <c r="I604" s="1">
        <v>15.0</v>
      </c>
      <c r="J604" s="1" t="s">
        <v>20</v>
      </c>
      <c r="K604" s="5">
        <v>46096.0</v>
      </c>
      <c r="L604" s="4" t="str">
        <f t="shared" si="1"/>
        <v>Francisca Araya Sepúlveda</v>
      </c>
      <c r="M604" s="6" t="str">
        <f t="shared" si="2"/>
        <v>15.504.619-7</v>
      </c>
      <c r="N604" s="6" t="str">
        <f t="shared" si="3"/>
        <v>Ñuñoa - Santiago - Región Metropolitana</v>
      </c>
      <c r="O604" s="4"/>
    </row>
    <row r="605">
      <c r="A605" s="1" t="s">
        <v>264</v>
      </c>
      <c r="B605" s="1" t="s">
        <v>265</v>
      </c>
      <c r="C605" s="1" t="s">
        <v>266</v>
      </c>
      <c r="D605" s="1" t="s">
        <v>267</v>
      </c>
      <c r="E605" s="1" t="s">
        <v>26</v>
      </c>
      <c r="F605" s="1" t="s">
        <v>26</v>
      </c>
      <c r="G605" s="1" t="s">
        <v>27</v>
      </c>
      <c r="H605" s="2">
        <v>1.105E7</v>
      </c>
      <c r="I605" s="1">
        <v>0.0</v>
      </c>
      <c r="J605" s="1" t="s">
        <v>97</v>
      </c>
      <c r="K605" s="5">
        <v>46031.0</v>
      </c>
      <c r="L605" s="4" t="str">
        <f t="shared" si="1"/>
        <v>Álvaro Morales López</v>
      </c>
      <c r="M605" s="6" t="str">
        <f t="shared" si="2"/>
        <v>13776102-7</v>
      </c>
      <c r="N605" s="6" t="str">
        <f t="shared" si="3"/>
        <v>Valparaíso - Valparaíso - Región de Valparaíso</v>
      </c>
      <c r="O605" s="4"/>
    </row>
    <row r="606">
      <c r="A606" s="1" t="s">
        <v>3969</v>
      </c>
      <c r="B606" s="1" t="s">
        <v>3970</v>
      </c>
      <c r="C606" s="1" t="s">
        <v>3971</v>
      </c>
      <c r="D606" s="1" t="s">
        <v>3972</v>
      </c>
      <c r="E606" s="1" t="s">
        <v>158</v>
      </c>
      <c r="F606" s="1" t="s">
        <v>158</v>
      </c>
      <c r="G606" s="1" t="s">
        <v>159</v>
      </c>
      <c r="H606" s="2">
        <v>1.359E7</v>
      </c>
      <c r="I606" s="1">
        <v>0.0</v>
      </c>
      <c r="J606" s="1" t="s">
        <v>28</v>
      </c>
      <c r="K606" s="5">
        <v>46059.0</v>
      </c>
      <c r="L606" s="4" t="str">
        <f t="shared" si="1"/>
        <v>Sofia Muñoz Soto</v>
      </c>
      <c r="M606" s="6" t="str">
        <f t="shared" si="2"/>
        <v>17476191-4</v>
      </c>
      <c r="N606" s="6" t="str">
        <f t="shared" si="3"/>
        <v>Antofagasta - Antofagasta - Región de Antofagasta</v>
      </c>
      <c r="O606" s="4"/>
    </row>
    <row r="607">
      <c r="A607" s="1" t="s">
        <v>3974</v>
      </c>
      <c r="B607" s="1" t="s">
        <v>3975</v>
      </c>
      <c r="C607" s="1" t="s">
        <v>3976</v>
      </c>
      <c r="D607" s="1" t="s">
        <v>3977</v>
      </c>
      <c r="E607" s="1" t="s">
        <v>25</v>
      </c>
      <c r="F607" s="1" t="s">
        <v>26</v>
      </c>
      <c r="G607" s="1" t="s">
        <v>27</v>
      </c>
      <c r="H607" s="2">
        <v>8210000.0</v>
      </c>
      <c r="I607" s="1">
        <v>90.0</v>
      </c>
      <c r="J607" s="1" t="s">
        <v>97</v>
      </c>
      <c r="K607" s="5">
        <v>46130.0</v>
      </c>
      <c r="L607" s="4" t="str">
        <f t="shared" si="1"/>
        <v>Tomas Soto Pérez</v>
      </c>
      <c r="M607" s="6" t="str">
        <f t="shared" si="2"/>
        <v>11.329.226-8</v>
      </c>
      <c r="N607" s="6" t="str">
        <f t="shared" si="3"/>
        <v>Viña del Mar - Valparaíso - Región de Valparaíso</v>
      </c>
      <c r="O607" s="4"/>
    </row>
    <row r="608">
      <c r="A608" s="1" t="s">
        <v>3874</v>
      </c>
      <c r="B608" s="1" t="s">
        <v>3875</v>
      </c>
      <c r="C608" s="1" t="s">
        <v>3876</v>
      </c>
      <c r="D608" s="1" t="s">
        <v>3877</v>
      </c>
      <c r="E608" s="1" t="s">
        <v>56</v>
      </c>
      <c r="F608" s="1" t="s">
        <v>39</v>
      </c>
      <c r="G608" s="1" t="s">
        <v>40</v>
      </c>
      <c r="H608" s="2">
        <v>1.008E7</v>
      </c>
      <c r="I608" s="1">
        <v>30.0</v>
      </c>
      <c r="J608" s="1" t="s">
        <v>97</v>
      </c>
      <c r="K608" s="5">
        <v>46129.0</v>
      </c>
      <c r="L608" s="4" t="str">
        <f t="shared" si="1"/>
        <v>Francisca Muñoz Soto</v>
      </c>
      <c r="M608" s="6" t="str">
        <f t="shared" si="2"/>
        <v>13.781.787-4</v>
      </c>
      <c r="N608" s="6" t="str">
        <f t="shared" si="3"/>
        <v>Talcahuano - Concepción - Región del Biobío</v>
      </c>
      <c r="O608" s="4"/>
    </row>
    <row r="609">
      <c r="A609" s="1" t="s">
        <v>3978</v>
      </c>
      <c r="B609" s="1" t="s">
        <v>3979</v>
      </c>
      <c r="C609" s="1" t="s">
        <v>3980</v>
      </c>
      <c r="D609" s="1" t="s">
        <v>3981</v>
      </c>
      <c r="E609" s="1" t="s">
        <v>118</v>
      </c>
      <c r="F609" s="1" t="s">
        <v>62</v>
      </c>
      <c r="G609" s="1" t="s">
        <v>63</v>
      </c>
      <c r="H609" s="2">
        <v>6900000.0</v>
      </c>
      <c r="I609" s="1">
        <v>15.0</v>
      </c>
      <c r="J609" s="1" t="s">
        <v>97</v>
      </c>
      <c r="K609" s="5">
        <v>46204.0</v>
      </c>
      <c r="L609" s="4" t="str">
        <f t="shared" si="1"/>
        <v>Gabriel Silva Espinoza</v>
      </c>
      <c r="M609" s="6" t="str">
        <f t="shared" si="2"/>
        <v>14857626-1</v>
      </c>
      <c r="N609" s="6" t="str">
        <f t="shared" si="3"/>
        <v>Maipú - Santiago - Región Metropolitana</v>
      </c>
      <c r="O609" s="4"/>
    </row>
    <row r="610">
      <c r="A610" s="1" t="s">
        <v>1721</v>
      </c>
      <c r="B610" s="1" t="s">
        <v>1722</v>
      </c>
      <c r="C610" s="1" t="s">
        <v>202</v>
      </c>
      <c r="D610" s="1" t="s">
        <v>1726</v>
      </c>
      <c r="E610" s="1" t="s">
        <v>56</v>
      </c>
      <c r="F610" s="1" t="s">
        <v>39</v>
      </c>
      <c r="G610" s="1" t="s">
        <v>40</v>
      </c>
      <c r="H610" s="2">
        <v>1.616E7</v>
      </c>
      <c r="I610" s="1">
        <v>45.0</v>
      </c>
      <c r="J610" s="1" t="s">
        <v>20</v>
      </c>
      <c r="K610" s="5">
        <v>46214.0</v>
      </c>
      <c r="L610" s="4" t="str">
        <f t="shared" si="1"/>
        <v>Carolina Araya Pérez</v>
      </c>
      <c r="M610" s="6" t="str">
        <f t="shared" si="2"/>
        <v>11523517-0</v>
      </c>
      <c r="N610" s="6" t="str">
        <f t="shared" si="3"/>
        <v>Talcahuano - Concepción - Región del Biobío</v>
      </c>
      <c r="O610" s="4"/>
    </row>
    <row r="611">
      <c r="A611" s="1" t="s">
        <v>367</v>
      </c>
      <c r="B611" s="1" t="s">
        <v>368</v>
      </c>
      <c r="C611" s="1" t="s">
        <v>3983</v>
      </c>
      <c r="D611" s="1" t="s">
        <v>371</v>
      </c>
      <c r="E611" s="1" t="s">
        <v>18</v>
      </c>
      <c r="F611" s="1" t="s">
        <v>18</v>
      </c>
      <c r="G611" s="1" t="s">
        <v>19</v>
      </c>
      <c r="H611" s="2">
        <v>810000.0</v>
      </c>
      <c r="I611" s="1">
        <v>0.0</v>
      </c>
      <c r="J611" s="1" t="s">
        <v>28</v>
      </c>
      <c r="K611" s="5">
        <v>46154.0</v>
      </c>
      <c r="L611" s="4" t="str">
        <f t="shared" si="1"/>
        <v>Álvaro Sepúlveda López</v>
      </c>
      <c r="M611" s="6" t="str">
        <f t="shared" si="2"/>
        <v>14.774.123-3</v>
      </c>
      <c r="N611" s="6" t="str">
        <f t="shared" si="3"/>
        <v>La Serena - La Serena - Región de Coquimbo</v>
      </c>
      <c r="O611" s="4"/>
    </row>
    <row r="612">
      <c r="A612" s="1" t="s">
        <v>2416</v>
      </c>
      <c r="B612" s="1" t="s">
        <v>2417</v>
      </c>
      <c r="C612" s="1" t="s">
        <v>3988</v>
      </c>
      <c r="D612" s="1" t="s">
        <v>2419</v>
      </c>
      <c r="E612" s="1" t="s">
        <v>72</v>
      </c>
      <c r="F612" s="1" t="s">
        <v>62</v>
      </c>
      <c r="G612" s="1" t="s">
        <v>63</v>
      </c>
      <c r="H612" s="2">
        <v>1.052E7</v>
      </c>
      <c r="I612" s="1">
        <v>0.0</v>
      </c>
      <c r="J612" s="1" t="s">
        <v>47</v>
      </c>
      <c r="K612" s="5">
        <v>46207.0</v>
      </c>
      <c r="L612" s="4" t="str">
        <f t="shared" si="1"/>
        <v>Catalina Soto Espinoza</v>
      </c>
      <c r="M612" s="6" t="str">
        <f t="shared" si="2"/>
        <v>18435178-1</v>
      </c>
      <c r="N612" s="6" t="str">
        <f t="shared" si="3"/>
        <v>Providencia - Santiago - Región Metropolitana</v>
      </c>
      <c r="O612" s="4"/>
    </row>
    <row r="613">
      <c r="A613" s="1" t="s">
        <v>3989</v>
      </c>
      <c r="B613" s="1" t="s">
        <v>3990</v>
      </c>
      <c r="C613" s="1" t="s">
        <v>3991</v>
      </c>
      <c r="D613" s="1" t="s">
        <v>3992</v>
      </c>
      <c r="E613" s="1" t="s">
        <v>194</v>
      </c>
      <c r="F613" s="1" t="s">
        <v>62</v>
      </c>
      <c r="G613" s="1" t="s">
        <v>63</v>
      </c>
      <c r="H613" s="2">
        <v>1.423E7</v>
      </c>
      <c r="I613" s="1">
        <v>90.0</v>
      </c>
      <c r="J613" s="1" t="s">
        <v>97</v>
      </c>
      <c r="K613" s="5">
        <v>46224.0</v>
      </c>
      <c r="L613" s="4" t="str">
        <f t="shared" si="1"/>
        <v>Ignacio Díaz González</v>
      </c>
      <c r="M613" s="6" t="str">
        <f t="shared" si="2"/>
        <v>20639838-0</v>
      </c>
      <c r="N613" s="6" t="str">
        <f t="shared" si="3"/>
        <v>Las Condes - Santiago - Región Metropolitana</v>
      </c>
      <c r="O613" s="4"/>
    </row>
    <row r="614">
      <c r="A614" s="1" t="s">
        <v>3993</v>
      </c>
      <c r="B614" s="1" t="s">
        <v>3994</v>
      </c>
      <c r="C614" s="1" t="s">
        <v>3995</v>
      </c>
      <c r="D614" s="1" t="s">
        <v>3997</v>
      </c>
      <c r="E614" s="1" t="s">
        <v>18</v>
      </c>
      <c r="F614" s="1" t="s">
        <v>18</v>
      </c>
      <c r="G614" s="1" t="s">
        <v>19</v>
      </c>
      <c r="H614" s="2">
        <v>7110000.0</v>
      </c>
      <c r="I614" s="1">
        <v>45.0</v>
      </c>
      <c r="J614" s="1" t="s">
        <v>47</v>
      </c>
      <c r="K614" s="5">
        <v>46028.0</v>
      </c>
      <c r="L614" s="4" t="str">
        <f t="shared" si="1"/>
        <v>Valentina Rojas González</v>
      </c>
      <c r="M614" s="6" t="str">
        <f t="shared" si="2"/>
        <v>22.276.530-K</v>
      </c>
      <c r="N614" s="6" t="str">
        <f t="shared" si="3"/>
        <v>La Serena - La Serena - Región de Coquimbo</v>
      </c>
      <c r="O614" s="4"/>
    </row>
    <row r="615">
      <c r="A615" s="1" t="s">
        <v>4000</v>
      </c>
      <c r="B615" s="1" t="s">
        <v>4001</v>
      </c>
      <c r="C615" s="1" t="s">
        <v>4002</v>
      </c>
      <c r="D615" s="1" t="s">
        <v>4003</v>
      </c>
      <c r="E615" s="1" t="s">
        <v>158</v>
      </c>
      <c r="F615" s="1" t="s">
        <v>158</v>
      </c>
      <c r="G615" s="1" t="s">
        <v>159</v>
      </c>
      <c r="H615" s="2">
        <v>6650000.0</v>
      </c>
      <c r="I615" s="1">
        <v>90.0</v>
      </c>
      <c r="J615" s="1" t="s">
        <v>73</v>
      </c>
      <c r="K615" s="5">
        <v>46140.0</v>
      </c>
      <c r="L615" s="4" t="str">
        <f t="shared" si="1"/>
        <v>Gonzalo Espinoza Vergara</v>
      </c>
      <c r="M615" s="6" t="str">
        <f t="shared" si="2"/>
        <v>21.648.841-5</v>
      </c>
      <c r="N615" s="6" t="str">
        <f t="shared" si="3"/>
        <v>Antofagasta - Antofagasta - Región de Antofagasta</v>
      </c>
      <c r="O615" s="4"/>
    </row>
    <row r="616">
      <c r="A616" s="1" t="s">
        <v>2836</v>
      </c>
      <c r="B616" s="1" t="s">
        <v>2837</v>
      </c>
      <c r="C616" s="1" t="s">
        <v>4009</v>
      </c>
      <c r="D616" s="1" t="s">
        <v>2839</v>
      </c>
      <c r="E616" s="1" t="s">
        <v>39</v>
      </c>
      <c r="F616" s="1" t="s">
        <v>39</v>
      </c>
      <c r="G616" s="1" t="s">
        <v>40</v>
      </c>
      <c r="H616" s="2">
        <v>1.68E7</v>
      </c>
      <c r="I616" s="1">
        <v>45.0</v>
      </c>
      <c r="J616" s="1" t="s">
        <v>73</v>
      </c>
      <c r="K616" s="5">
        <v>46184.0</v>
      </c>
      <c r="L616" s="4" t="str">
        <f t="shared" si="1"/>
        <v>Constanza Silva González</v>
      </c>
      <c r="M616" s="6" t="str">
        <f t="shared" si="2"/>
        <v>19.533.094-4</v>
      </c>
      <c r="N616" s="6" t="str">
        <f t="shared" si="3"/>
        <v>Concepción - Concepción - Región del Biobío</v>
      </c>
      <c r="O616" s="4"/>
    </row>
    <row r="617">
      <c r="A617" s="1" t="s">
        <v>2703</v>
      </c>
      <c r="B617" s="1" t="s">
        <v>2704</v>
      </c>
      <c r="C617" s="1" t="s">
        <v>2706</v>
      </c>
      <c r="D617" s="1" t="s">
        <v>2707</v>
      </c>
      <c r="E617" s="1" t="s">
        <v>61</v>
      </c>
      <c r="F617" s="1" t="s">
        <v>62</v>
      </c>
      <c r="G617" s="1" t="s">
        <v>63</v>
      </c>
      <c r="H617" s="2">
        <v>1.838E7</v>
      </c>
      <c r="I617" s="1">
        <v>30.0</v>
      </c>
      <c r="J617" s="1" t="s">
        <v>97</v>
      </c>
      <c r="K617" s="5">
        <v>46064.0</v>
      </c>
      <c r="L617" s="4" t="str">
        <f t="shared" si="1"/>
        <v>Claudio Tapia Morales</v>
      </c>
      <c r="M617" s="6" t="str">
        <f t="shared" si="2"/>
        <v>12.785.688-8</v>
      </c>
      <c r="N617" s="6" t="str">
        <f t="shared" si="3"/>
        <v>Santiago Centro - Santiago - Región Metropolitana</v>
      </c>
      <c r="O617" s="4"/>
    </row>
    <row r="618">
      <c r="A618" s="1" t="s">
        <v>4014</v>
      </c>
      <c r="B618" s="1" t="s">
        <v>4015</v>
      </c>
      <c r="C618" s="1" t="s">
        <v>4016</v>
      </c>
      <c r="D618" s="1" t="s">
        <v>259</v>
      </c>
      <c r="E618" s="1" t="s">
        <v>25</v>
      </c>
      <c r="F618" s="1" t="s">
        <v>26</v>
      </c>
      <c r="G618" s="1" t="s">
        <v>27</v>
      </c>
      <c r="H618" s="2">
        <v>1120000.0</v>
      </c>
      <c r="I618" s="1">
        <v>120.0</v>
      </c>
      <c r="J618" s="1" t="s">
        <v>47</v>
      </c>
      <c r="K618" s="5">
        <v>46057.0</v>
      </c>
      <c r="L618" s="4" t="str">
        <f t="shared" si="1"/>
        <v>Macarena Soto Araya</v>
      </c>
      <c r="M618" s="6" t="str">
        <f t="shared" si="2"/>
        <v>22.488.731-4</v>
      </c>
      <c r="N618" s="6" t="str">
        <f t="shared" si="3"/>
        <v>Viña del Mar - Valparaíso - Región de Valparaíso</v>
      </c>
      <c r="O618" s="4"/>
    </row>
    <row r="619">
      <c r="A619" s="1" t="s">
        <v>4020</v>
      </c>
      <c r="B619" s="1" t="s">
        <v>4021</v>
      </c>
      <c r="C619" s="1" t="s">
        <v>4022</v>
      </c>
      <c r="D619" s="1" t="s">
        <v>4023</v>
      </c>
      <c r="E619" s="1" t="s">
        <v>109</v>
      </c>
      <c r="F619" s="1" t="s">
        <v>62</v>
      </c>
      <c r="G619" s="1" t="s">
        <v>63</v>
      </c>
      <c r="H619" s="2">
        <v>1.412E7</v>
      </c>
      <c r="I619" s="1">
        <v>15.0</v>
      </c>
      <c r="J619" s="1" t="s">
        <v>73</v>
      </c>
      <c r="K619" s="5">
        <v>46136.0</v>
      </c>
      <c r="L619" s="4" t="str">
        <f t="shared" si="1"/>
        <v>Matías Muñoz Rodríguez</v>
      </c>
      <c r="M619" s="6" t="str">
        <f t="shared" si="2"/>
        <v>16358929-4</v>
      </c>
      <c r="N619" s="6" t="str">
        <f t="shared" si="3"/>
        <v>Ñuñoa - Santiago - Región Metropolitana</v>
      </c>
      <c r="O619" s="4"/>
    </row>
    <row r="620">
      <c r="A620" s="1" t="s">
        <v>4027</v>
      </c>
      <c r="B620" s="1" t="s">
        <v>4028</v>
      </c>
      <c r="C620" s="1" t="s">
        <v>4029</v>
      </c>
      <c r="D620" s="1" t="s">
        <v>4030</v>
      </c>
      <c r="E620" s="1" t="s">
        <v>56</v>
      </c>
      <c r="F620" s="1" t="s">
        <v>39</v>
      </c>
      <c r="G620" s="1" t="s">
        <v>40</v>
      </c>
      <c r="H620" s="2">
        <v>1.075E7</v>
      </c>
      <c r="I620" s="1">
        <v>0.0</v>
      </c>
      <c r="J620" s="1" t="s">
        <v>97</v>
      </c>
      <c r="K620" s="5">
        <v>46188.0</v>
      </c>
      <c r="L620" s="4" t="str">
        <f t="shared" si="1"/>
        <v>Marcela Espinoza Valenzuela</v>
      </c>
      <c r="M620" s="6" t="str">
        <f t="shared" si="2"/>
        <v>14.214.378-9</v>
      </c>
      <c r="N620" s="6" t="str">
        <f t="shared" si="3"/>
        <v>Talcahuano - Concepción - Región del Biobío</v>
      </c>
      <c r="O620" s="4"/>
    </row>
    <row r="621">
      <c r="A621" s="1" t="s">
        <v>4031</v>
      </c>
      <c r="B621" s="1" t="s">
        <v>4032</v>
      </c>
      <c r="C621" s="1" t="s">
        <v>4033</v>
      </c>
      <c r="D621" s="1" t="s">
        <v>4034</v>
      </c>
      <c r="E621" s="1" t="s">
        <v>39</v>
      </c>
      <c r="F621" s="1" t="s">
        <v>39</v>
      </c>
      <c r="G621" s="1" t="s">
        <v>40</v>
      </c>
      <c r="H621" s="2">
        <v>6430000.0</v>
      </c>
      <c r="I621" s="1">
        <v>45.0</v>
      </c>
      <c r="J621" s="1" t="s">
        <v>73</v>
      </c>
      <c r="K621" s="5">
        <v>46145.0</v>
      </c>
      <c r="L621" s="4" t="str">
        <f t="shared" si="1"/>
        <v>Gonzalo Muñoz Sepúlveda</v>
      </c>
      <c r="M621" s="6" t="str">
        <f t="shared" si="2"/>
        <v>11.590.111-7</v>
      </c>
      <c r="N621" s="6" t="str">
        <f t="shared" si="3"/>
        <v>Concepción - Concepción - Región del Biobío</v>
      </c>
      <c r="O621" s="4"/>
    </row>
    <row r="622">
      <c r="A622" s="1" t="s">
        <v>4035</v>
      </c>
      <c r="B622" s="1" t="s">
        <v>4036</v>
      </c>
      <c r="C622" s="1" t="s">
        <v>4037</v>
      </c>
      <c r="D622" s="1" t="s">
        <v>4038</v>
      </c>
      <c r="E622" s="1" t="s">
        <v>61</v>
      </c>
      <c r="F622" s="1" t="s">
        <v>62</v>
      </c>
      <c r="G622" s="1" t="s">
        <v>63</v>
      </c>
      <c r="H622" s="2">
        <v>1.187E7</v>
      </c>
      <c r="I622" s="1">
        <v>15.0</v>
      </c>
      <c r="J622" s="1" t="s">
        <v>73</v>
      </c>
      <c r="K622" s="5">
        <v>46132.0</v>
      </c>
      <c r="L622" s="4" t="str">
        <f t="shared" si="1"/>
        <v>Marcela Valenzuela González</v>
      </c>
      <c r="M622" s="6" t="str">
        <f t="shared" si="2"/>
        <v>17.415.100-2</v>
      </c>
      <c r="N622" s="6" t="str">
        <f t="shared" si="3"/>
        <v>Santiago Centro - Santiago - Región Metropolitana</v>
      </c>
      <c r="O622" s="4"/>
    </row>
    <row r="623">
      <c r="A623" s="1" t="s">
        <v>471</v>
      </c>
      <c r="B623" s="1" t="s">
        <v>473</v>
      </c>
      <c r="C623" s="1" t="s">
        <v>475</v>
      </c>
      <c r="D623" s="1" t="s">
        <v>476</v>
      </c>
      <c r="E623" s="1" t="s">
        <v>25</v>
      </c>
      <c r="F623" s="1" t="s">
        <v>26</v>
      </c>
      <c r="G623" s="1" t="s">
        <v>27</v>
      </c>
      <c r="H623" s="2">
        <v>4800000.0</v>
      </c>
      <c r="I623" s="1">
        <v>60.0</v>
      </c>
      <c r="J623" s="1" t="s">
        <v>97</v>
      </c>
      <c r="K623" s="5">
        <v>46093.0</v>
      </c>
      <c r="L623" s="4" t="str">
        <f t="shared" si="1"/>
        <v>Álvaro Tapia Rojas</v>
      </c>
      <c r="M623" s="6" t="str">
        <f t="shared" si="2"/>
        <v>18.405.031-4</v>
      </c>
      <c r="N623" s="6" t="str">
        <f t="shared" si="3"/>
        <v>Viña del Mar - Valparaíso - Región de Valparaíso</v>
      </c>
      <c r="O623" s="4"/>
    </row>
    <row r="624">
      <c r="A624" s="1" t="s">
        <v>933</v>
      </c>
      <c r="B624" s="1" t="s">
        <v>935</v>
      </c>
      <c r="C624" s="1" t="s">
        <v>936</v>
      </c>
      <c r="D624" s="1" t="s">
        <v>937</v>
      </c>
      <c r="E624" s="1" t="s">
        <v>109</v>
      </c>
      <c r="F624" s="1" t="s">
        <v>62</v>
      </c>
      <c r="G624" s="1" t="s">
        <v>63</v>
      </c>
      <c r="H624" s="2">
        <v>1.221E7</v>
      </c>
      <c r="I624" s="1">
        <v>0.0</v>
      </c>
      <c r="J624" s="1" t="s">
        <v>47</v>
      </c>
      <c r="K624" s="5">
        <v>46134.0</v>
      </c>
      <c r="L624" s="4" t="str">
        <f t="shared" si="1"/>
        <v>Andrea Silva Silva</v>
      </c>
      <c r="M624" s="6" t="str">
        <f t="shared" si="2"/>
        <v>19.349.246-8</v>
      </c>
      <c r="N624" s="6" t="str">
        <f t="shared" si="3"/>
        <v>Ñuñoa - Santiago - Región Metropolitana</v>
      </c>
      <c r="O624" s="4"/>
    </row>
    <row r="625">
      <c r="A625" s="1" t="s">
        <v>4047</v>
      </c>
      <c r="B625" s="1" t="s">
        <v>4048</v>
      </c>
      <c r="C625" s="1" t="s">
        <v>4049</v>
      </c>
      <c r="D625" s="1" t="s">
        <v>4050</v>
      </c>
      <c r="E625" s="1" t="s">
        <v>25</v>
      </c>
      <c r="F625" s="1" t="s">
        <v>26</v>
      </c>
      <c r="G625" s="1" t="s">
        <v>27</v>
      </c>
      <c r="H625" s="2">
        <v>1.018E7</v>
      </c>
      <c r="I625" s="1">
        <v>30.0</v>
      </c>
      <c r="J625" s="1" t="s">
        <v>73</v>
      </c>
      <c r="K625" s="5">
        <v>46126.0</v>
      </c>
      <c r="L625" s="4" t="str">
        <f t="shared" si="1"/>
        <v>Sebastián Valenzuela Morales</v>
      </c>
      <c r="M625" s="6" t="str">
        <f t="shared" si="2"/>
        <v>22.290.123-7</v>
      </c>
      <c r="N625" s="6" t="str">
        <f t="shared" si="3"/>
        <v>Viña del Mar - Valparaíso - Región de Valparaíso</v>
      </c>
      <c r="O625" s="4"/>
    </row>
    <row r="626">
      <c r="A626" s="1" t="s">
        <v>4052</v>
      </c>
      <c r="B626" s="1" t="s">
        <v>4053</v>
      </c>
      <c r="C626" s="1" t="s">
        <v>4054</v>
      </c>
      <c r="D626" s="1" t="s">
        <v>4055</v>
      </c>
      <c r="E626" s="1" t="s">
        <v>56</v>
      </c>
      <c r="F626" s="1" t="s">
        <v>39</v>
      </c>
      <c r="G626" s="1" t="s">
        <v>40</v>
      </c>
      <c r="H626" s="2">
        <v>1.968E7</v>
      </c>
      <c r="I626" s="1">
        <v>30.0</v>
      </c>
      <c r="J626" s="1" t="s">
        <v>47</v>
      </c>
      <c r="K626" s="5">
        <v>46149.0</v>
      </c>
      <c r="L626" s="4" t="str">
        <f t="shared" si="1"/>
        <v>Sofia Tapia Espinoza</v>
      </c>
      <c r="M626" s="6" t="str">
        <f t="shared" si="2"/>
        <v>13.738.328-0</v>
      </c>
      <c r="N626" s="6" t="str">
        <f t="shared" si="3"/>
        <v>Talcahuano - Concepción - Región del Biobío</v>
      </c>
      <c r="O626" s="4"/>
    </row>
    <row r="627">
      <c r="A627" s="1" t="s">
        <v>4056</v>
      </c>
      <c r="B627" s="1" t="s">
        <v>4057</v>
      </c>
      <c r="C627" s="1" t="s">
        <v>4058</v>
      </c>
      <c r="D627" s="1" t="s">
        <v>4059</v>
      </c>
      <c r="E627" s="1" t="s">
        <v>56</v>
      </c>
      <c r="F627" s="1" t="s">
        <v>39</v>
      </c>
      <c r="G627" s="1" t="s">
        <v>40</v>
      </c>
      <c r="H627" s="2">
        <v>1.724E7</v>
      </c>
      <c r="I627" s="1">
        <v>90.0</v>
      </c>
      <c r="J627" s="1" t="s">
        <v>28</v>
      </c>
      <c r="K627" s="5">
        <v>46228.0</v>
      </c>
      <c r="L627" s="4" t="str">
        <f t="shared" si="1"/>
        <v>Gonzalo Silva Silva</v>
      </c>
      <c r="M627" s="6" t="str">
        <f t="shared" si="2"/>
        <v>18.314.224-8</v>
      </c>
      <c r="N627" s="6" t="str">
        <f t="shared" si="3"/>
        <v>Talcahuano - Concepción - Región del Biobío</v>
      </c>
      <c r="O627" s="4"/>
    </row>
    <row r="628">
      <c r="A628" s="1" t="s">
        <v>2318</v>
      </c>
      <c r="B628" s="1" t="s">
        <v>2319</v>
      </c>
      <c r="C628" s="1" t="s">
        <v>2320</v>
      </c>
      <c r="D628" s="1" t="s">
        <v>2322</v>
      </c>
      <c r="E628" s="1" t="s">
        <v>45</v>
      </c>
      <c r="F628" s="1" t="s">
        <v>45</v>
      </c>
      <c r="G628" s="1" t="s">
        <v>46</v>
      </c>
      <c r="H628" s="2">
        <v>1.253E7</v>
      </c>
      <c r="I628" s="1">
        <v>90.0</v>
      </c>
      <c r="J628" s="1" t="s">
        <v>97</v>
      </c>
      <c r="K628" s="5">
        <v>46040.0</v>
      </c>
      <c r="L628" s="4" t="str">
        <f t="shared" si="1"/>
        <v>Catalina Rodríguez Tapia</v>
      </c>
      <c r="M628" s="6" t="str">
        <f t="shared" si="2"/>
        <v>17267821-3</v>
      </c>
      <c r="N628" s="6" t="str">
        <f t="shared" si="3"/>
        <v>Temuco - Temuco - Región de la Araucanía</v>
      </c>
      <c r="O628" s="4"/>
    </row>
    <row r="629">
      <c r="A629" s="1" t="s">
        <v>4064</v>
      </c>
      <c r="B629" s="1" t="s">
        <v>4065</v>
      </c>
      <c r="C629" s="1" t="s">
        <v>4066</v>
      </c>
      <c r="D629" s="1" t="s">
        <v>4067</v>
      </c>
      <c r="E629" s="1" t="s">
        <v>39</v>
      </c>
      <c r="F629" s="1" t="s">
        <v>39</v>
      </c>
      <c r="G629" s="1" t="s">
        <v>40</v>
      </c>
      <c r="H629" s="2">
        <v>8490000.0</v>
      </c>
      <c r="I629" s="1">
        <v>0.0</v>
      </c>
      <c r="J629" s="1" t="s">
        <v>47</v>
      </c>
      <c r="K629" s="5">
        <v>46109.0</v>
      </c>
      <c r="L629" s="4" t="str">
        <f t="shared" si="1"/>
        <v>Tomas Muñoz Valenzuela</v>
      </c>
      <c r="M629" s="6" t="str">
        <f t="shared" si="2"/>
        <v>18.077.884-K</v>
      </c>
      <c r="N629" s="6" t="str">
        <f t="shared" si="3"/>
        <v>Concepción - Concepción - Región del Biobío</v>
      </c>
      <c r="O629" s="4"/>
    </row>
    <row r="630">
      <c r="A630" s="1" t="s">
        <v>2445</v>
      </c>
      <c r="B630" s="1" t="s">
        <v>2446</v>
      </c>
      <c r="C630" s="1" t="s">
        <v>4071</v>
      </c>
      <c r="D630" s="1" t="s">
        <v>2448</v>
      </c>
      <c r="E630" s="1" t="s">
        <v>56</v>
      </c>
      <c r="F630" s="1" t="s">
        <v>39</v>
      </c>
      <c r="G630" s="1" t="s">
        <v>40</v>
      </c>
      <c r="H630" s="2">
        <v>1.734E7</v>
      </c>
      <c r="I630" s="1">
        <v>90.0</v>
      </c>
      <c r="J630" s="1" t="s">
        <v>20</v>
      </c>
      <c r="K630" s="5">
        <v>46158.0</v>
      </c>
      <c r="L630" s="4" t="str">
        <f t="shared" si="1"/>
        <v>Catalina Valenzuela Valenzuela</v>
      </c>
      <c r="M630" s="6" t="str">
        <f t="shared" si="2"/>
        <v>16.213.253-9</v>
      </c>
      <c r="N630" s="6" t="str">
        <f t="shared" si="3"/>
        <v>Talcahuano - Concepción - Región del Biobío</v>
      </c>
      <c r="O630" s="4"/>
    </row>
    <row r="631">
      <c r="A631" s="1" t="s">
        <v>2902</v>
      </c>
      <c r="B631" s="1" t="s">
        <v>2904</v>
      </c>
      <c r="C631" s="1" t="s">
        <v>4072</v>
      </c>
      <c r="D631" s="1" t="s">
        <v>2906</v>
      </c>
      <c r="E631" s="1" t="s">
        <v>194</v>
      </c>
      <c r="F631" s="1" t="s">
        <v>62</v>
      </c>
      <c r="G631" s="1" t="s">
        <v>63</v>
      </c>
      <c r="H631" s="2">
        <v>9990000.0</v>
      </c>
      <c r="I631" s="1">
        <v>0.0</v>
      </c>
      <c r="J631" s="1" t="s">
        <v>47</v>
      </c>
      <c r="K631" s="5">
        <v>46131.0</v>
      </c>
      <c r="L631" s="4" t="str">
        <f t="shared" si="1"/>
        <v>Cristián Espinoza Muñoz</v>
      </c>
      <c r="M631" s="6" t="str">
        <f t="shared" si="2"/>
        <v>11748830-1</v>
      </c>
      <c r="N631" s="6" t="str">
        <f t="shared" si="3"/>
        <v>Las Condes - Santiago - Región Metropolitana</v>
      </c>
      <c r="O631" s="4"/>
    </row>
    <row r="632">
      <c r="A632" s="1" t="s">
        <v>2219</v>
      </c>
      <c r="B632" s="1" t="s">
        <v>2220</v>
      </c>
      <c r="C632" s="1" t="s">
        <v>4073</v>
      </c>
      <c r="D632" s="1" t="s">
        <v>2222</v>
      </c>
      <c r="E632" s="1" t="s">
        <v>158</v>
      </c>
      <c r="F632" s="1" t="s">
        <v>158</v>
      </c>
      <c r="G632" s="1" t="s">
        <v>159</v>
      </c>
      <c r="H632" s="2">
        <v>2.149E7</v>
      </c>
      <c r="I632" s="1">
        <v>0.0</v>
      </c>
      <c r="J632" s="1" t="s">
        <v>47</v>
      </c>
      <c r="K632" s="5">
        <v>46027.0</v>
      </c>
      <c r="L632" s="4" t="str">
        <f t="shared" si="1"/>
        <v>Catalina Muñoz Araya</v>
      </c>
      <c r="M632" s="6" t="str">
        <f t="shared" si="2"/>
        <v>16.853.495-8</v>
      </c>
      <c r="N632" s="6" t="str">
        <f t="shared" si="3"/>
        <v>Antofagasta - Antofagasta - Región de Antofagasta</v>
      </c>
      <c r="O632" s="4"/>
    </row>
    <row r="633">
      <c r="A633" s="1" t="s">
        <v>4074</v>
      </c>
      <c r="B633" s="1" t="s">
        <v>4075</v>
      </c>
      <c r="C633" s="1" t="s">
        <v>4076</v>
      </c>
      <c r="D633" s="1" t="s">
        <v>4077</v>
      </c>
      <c r="E633" s="1" t="s">
        <v>118</v>
      </c>
      <c r="F633" s="1" t="s">
        <v>62</v>
      </c>
      <c r="G633" s="1" t="s">
        <v>63</v>
      </c>
      <c r="H633" s="2">
        <v>1.642E7</v>
      </c>
      <c r="I633" s="1">
        <v>90.0</v>
      </c>
      <c r="J633" s="1" t="s">
        <v>73</v>
      </c>
      <c r="K633" s="5">
        <v>46182.0</v>
      </c>
      <c r="L633" s="4" t="str">
        <f t="shared" si="1"/>
        <v>Mauricio Muñoz Espinoza</v>
      </c>
      <c r="M633" s="6" t="str">
        <f t="shared" si="2"/>
        <v>20.604.176-8</v>
      </c>
      <c r="N633" s="6" t="str">
        <f t="shared" si="3"/>
        <v>Maipú - Santiago - Región Metropolitana</v>
      </c>
      <c r="O633" s="4"/>
    </row>
    <row r="634">
      <c r="A634" s="1" t="s">
        <v>4078</v>
      </c>
      <c r="B634" s="1" t="s">
        <v>4079</v>
      </c>
      <c r="C634" s="1" t="s">
        <v>4080</v>
      </c>
      <c r="D634" s="1" t="s">
        <v>4081</v>
      </c>
      <c r="E634" s="1" t="s">
        <v>45</v>
      </c>
      <c r="F634" s="1" t="s">
        <v>45</v>
      </c>
      <c r="G634" s="1" t="s">
        <v>46</v>
      </c>
      <c r="H634" s="2">
        <v>1.793E7</v>
      </c>
      <c r="I634" s="1">
        <v>45.0</v>
      </c>
      <c r="J634" s="1" t="s">
        <v>20</v>
      </c>
      <c r="K634" s="5">
        <v>46107.0</v>
      </c>
      <c r="L634" s="4" t="str">
        <f t="shared" si="1"/>
        <v>Macarena López López</v>
      </c>
      <c r="M634" s="6" t="str">
        <f t="shared" si="2"/>
        <v>20201217-7</v>
      </c>
      <c r="N634" s="6" t="str">
        <f t="shared" si="3"/>
        <v>Temuco - Temuco - Región de la Araucanía</v>
      </c>
      <c r="O634" s="4"/>
    </row>
    <row r="635">
      <c r="A635" s="1" t="s">
        <v>3006</v>
      </c>
      <c r="B635" s="1" t="s">
        <v>3007</v>
      </c>
      <c r="C635" s="1" t="s">
        <v>4082</v>
      </c>
      <c r="D635" s="1" t="s">
        <v>3009</v>
      </c>
      <c r="E635" s="1" t="s">
        <v>33</v>
      </c>
      <c r="F635" s="1" t="s">
        <v>33</v>
      </c>
      <c r="G635" s="1" t="s">
        <v>34</v>
      </c>
      <c r="H635" s="2">
        <v>1.835E7</v>
      </c>
      <c r="I635" s="1">
        <v>30.0</v>
      </c>
      <c r="J635" s="1" t="s">
        <v>20</v>
      </c>
      <c r="K635" s="5">
        <v>46166.0</v>
      </c>
      <c r="L635" s="4" t="str">
        <f t="shared" si="1"/>
        <v>Cristián Silva López</v>
      </c>
      <c r="M635" s="6" t="str">
        <f t="shared" si="2"/>
        <v>19.956.154-K</v>
      </c>
      <c r="N635" s="6" t="str">
        <f t="shared" si="3"/>
        <v>Puerto Montt - Puerto Montt - Región de Los Lagos</v>
      </c>
      <c r="O635" s="4"/>
    </row>
    <row r="636">
      <c r="A636" s="1" t="s">
        <v>762</v>
      </c>
      <c r="B636" s="1" t="s">
        <v>763</v>
      </c>
      <c r="C636" s="1" t="s">
        <v>4083</v>
      </c>
      <c r="D636" s="1" t="s">
        <v>766</v>
      </c>
      <c r="E636" s="1" t="s">
        <v>158</v>
      </c>
      <c r="F636" s="1" t="s">
        <v>158</v>
      </c>
      <c r="G636" s="1" t="s">
        <v>159</v>
      </c>
      <c r="H636" s="2">
        <v>6970000.0</v>
      </c>
      <c r="I636" s="1">
        <v>120.0</v>
      </c>
      <c r="J636" s="1" t="s">
        <v>28</v>
      </c>
      <c r="K636" s="5">
        <v>46217.0</v>
      </c>
      <c r="L636" s="4" t="str">
        <f t="shared" si="1"/>
        <v>Andrea Morales Soto</v>
      </c>
      <c r="M636" s="6" t="str">
        <f t="shared" si="2"/>
        <v>14.910.269-7</v>
      </c>
      <c r="N636" s="6" t="str">
        <f t="shared" si="3"/>
        <v>Antofagasta - Antofagasta - Región de Antofagasta</v>
      </c>
      <c r="O636" s="4"/>
    </row>
    <row r="637">
      <c r="A637" s="1" t="s">
        <v>4084</v>
      </c>
      <c r="B637" s="1" t="s">
        <v>4085</v>
      </c>
      <c r="C637" s="1" t="s">
        <v>4086</v>
      </c>
      <c r="D637" s="1" t="s">
        <v>4087</v>
      </c>
      <c r="E637" s="1" t="s">
        <v>72</v>
      </c>
      <c r="F637" s="1" t="s">
        <v>62</v>
      </c>
      <c r="G637" s="1" t="s">
        <v>63</v>
      </c>
      <c r="H637" s="2">
        <v>3880000.0</v>
      </c>
      <c r="I637" s="1">
        <v>0.0</v>
      </c>
      <c r="J637" s="1" t="s">
        <v>97</v>
      </c>
      <c r="K637" s="5">
        <v>46131.0</v>
      </c>
      <c r="L637" s="4" t="str">
        <f t="shared" si="1"/>
        <v>Ignacio López Soto</v>
      </c>
      <c r="M637" s="6" t="str">
        <f t="shared" si="2"/>
        <v>21.472.222-2</v>
      </c>
      <c r="N637" s="6" t="str">
        <f t="shared" si="3"/>
        <v>Providencia - Santiago - Región Metropolitana</v>
      </c>
      <c r="O637" s="4"/>
    </row>
    <row r="638">
      <c r="A638" s="1" t="s">
        <v>2292</v>
      </c>
      <c r="B638" s="1" t="s">
        <v>2293</v>
      </c>
      <c r="C638" s="1" t="s">
        <v>2294</v>
      </c>
      <c r="D638" s="1" t="s">
        <v>2295</v>
      </c>
      <c r="E638" s="1" t="s">
        <v>25</v>
      </c>
      <c r="F638" s="1" t="s">
        <v>26</v>
      </c>
      <c r="G638" s="1" t="s">
        <v>27</v>
      </c>
      <c r="H638" s="2">
        <v>1.711E7</v>
      </c>
      <c r="I638" s="1">
        <v>45.0</v>
      </c>
      <c r="J638" s="1" t="s">
        <v>47</v>
      </c>
      <c r="K638" s="5">
        <v>46088.0</v>
      </c>
      <c r="L638" s="4" t="str">
        <f t="shared" si="1"/>
        <v>Catalina Pérez Sepúlveda</v>
      </c>
      <c r="M638" s="6" t="str">
        <f t="shared" si="2"/>
        <v>18.307.928-2</v>
      </c>
      <c r="N638" s="6" t="str">
        <f t="shared" si="3"/>
        <v>Viña del Mar - Valparaíso - Región de Valparaíso</v>
      </c>
      <c r="O638" s="4"/>
    </row>
    <row r="639">
      <c r="A639" s="1" t="s">
        <v>4088</v>
      </c>
      <c r="B639" s="1" t="s">
        <v>4089</v>
      </c>
      <c r="C639" s="1" t="s">
        <v>3454</v>
      </c>
      <c r="D639" s="1" t="s">
        <v>4090</v>
      </c>
      <c r="E639" s="1" t="s">
        <v>33</v>
      </c>
      <c r="F639" s="1" t="s">
        <v>33</v>
      </c>
      <c r="G639" s="1" t="s">
        <v>34</v>
      </c>
      <c r="H639" s="2">
        <v>1.797E7</v>
      </c>
      <c r="I639" s="1">
        <v>90.0</v>
      </c>
      <c r="J639" s="1" t="s">
        <v>20</v>
      </c>
      <c r="K639" s="5">
        <v>46154.0</v>
      </c>
      <c r="L639" s="4" t="str">
        <f t="shared" si="1"/>
        <v>Javier Soto Silva</v>
      </c>
      <c r="M639" s="6" t="str">
        <f t="shared" si="2"/>
        <v>12882211-1</v>
      </c>
      <c r="N639" s="6" t="str">
        <f t="shared" si="3"/>
        <v>Puerto Montt - Puerto Montt - Región de Los Lagos</v>
      </c>
      <c r="O639" s="4"/>
    </row>
    <row r="640">
      <c r="A640" s="1" t="s">
        <v>4091</v>
      </c>
      <c r="B640" s="1" t="s">
        <v>4092</v>
      </c>
      <c r="C640" s="1" t="s">
        <v>4093</v>
      </c>
      <c r="D640" s="1" t="s">
        <v>4094</v>
      </c>
      <c r="E640" s="1" t="s">
        <v>33</v>
      </c>
      <c r="F640" s="1" t="s">
        <v>33</v>
      </c>
      <c r="G640" s="1" t="s">
        <v>34</v>
      </c>
      <c r="H640" s="2">
        <v>1.381E7</v>
      </c>
      <c r="I640" s="1">
        <v>15.0</v>
      </c>
      <c r="J640" s="1" t="s">
        <v>73</v>
      </c>
      <c r="K640" s="5">
        <v>46210.0</v>
      </c>
      <c r="L640" s="4" t="str">
        <f t="shared" si="1"/>
        <v>Valentina Contreras Díaz</v>
      </c>
      <c r="M640" s="6" t="str">
        <f t="shared" si="2"/>
        <v>15.054.974-8</v>
      </c>
      <c r="N640" s="6" t="str">
        <f t="shared" si="3"/>
        <v>Puerto Montt - Puerto Montt - Región de Los Lagos</v>
      </c>
      <c r="O640" s="4"/>
    </row>
    <row r="641">
      <c r="A641" s="1" t="s">
        <v>3984</v>
      </c>
      <c r="B641" s="1" t="s">
        <v>3985</v>
      </c>
      <c r="C641" s="1" t="s">
        <v>4095</v>
      </c>
      <c r="D641" s="1" t="s">
        <v>3987</v>
      </c>
      <c r="E641" s="1" t="s">
        <v>118</v>
      </c>
      <c r="F641" s="1" t="s">
        <v>62</v>
      </c>
      <c r="G641" s="1" t="s">
        <v>63</v>
      </c>
      <c r="H641" s="2">
        <v>2.021E7</v>
      </c>
      <c r="I641" s="1">
        <v>120.0</v>
      </c>
      <c r="J641" s="1" t="s">
        <v>28</v>
      </c>
      <c r="K641" s="5">
        <v>46163.0</v>
      </c>
      <c r="L641" s="4" t="str">
        <f t="shared" si="1"/>
        <v>Gabriel Araya Rojas</v>
      </c>
      <c r="M641" s="6" t="str">
        <f t="shared" si="2"/>
        <v>15623137-7</v>
      </c>
      <c r="N641" s="6" t="str">
        <f t="shared" si="3"/>
        <v>Maipú - Santiago - Región Metropolitana</v>
      </c>
      <c r="O641" s="4"/>
    </row>
    <row r="642">
      <c r="A642" s="1" t="s">
        <v>1056</v>
      </c>
      <c r="B642" s="1" t="s">
        <v>1058</v>
      </c>
      <c r="C642" s="1" t="s">
        <v>4096</v>
      </c>
      <c r="D642" s="1" t="s">
        <v>1060</v>
      </c>
      <c r="E642" s="1" t="s">
        <v>39</v>
      </c>
      <c r="F642" s="1" t="s">
        <v>39</v>
      </c>
      <c r="G642" s="1" t="s">
        <v>40</v>
      </c>
      <c r="H642" s="2">
        <v>1.763E7</v>
      </c>
      <c r="I642" s="1">
        <v>90.0</v>
      </c>
      <c r="J642" s="1" t="s">
        <v>73</v>
      </c>
      <c r="K642" s="5">
        <v>46068.0</v>
      </c>
      <c r="L642" s="4" t="str">
        <f t="shared" si="1"/>
        <v>Beatriz Contreras González</v>
      </c>
      <c r="M642" s="6" t="str">
        <f t="shared" si="2"/>
        <v>20539681-6</v>
      </c>
      <c r="N642" s="6" t="str">
        <f t="shared" si="3"/>
        <v>Concepción - Concepción - Región del Biobío</v>
      </c>
      <c r="O642" s="4"/>
    </row>
    <row r="643">
      <c r="A643" s="1" t="s">
        <v>4097</v>
      </c>
      <c r="B643" s="1" t="s">
        <v>4098</v>
      </c>
      <c r="C643" s="1" t="s">
        <v>4099</v>
      </c>
      <c r="D643" s="1" t="s">
        <v>4100</v>
      </c>
      <c r="E643" s="1" t="s">
        <v>158</v>
      </c>
      <c r="F643" s="1" t="s">
        <v>158</v>
      </c>
      <c r="G643" s="1" t="s">
        <v>159</v>
      </c>
      <c r="H643" s="2">
        <v>5330000.0</v>
      </c>
      <c r="I643" s="1">
        <v>0.0</v>
      </c>
      <c r="J643" s="1" t="s">
        <v>47</v>
      </c>
      <c r="K643" s="5">
        <v>46064.0</v>
      </c>
      <c r="L643" s="4" t="str">
        <f t="shared" si="1"/>
        <v>Matías Contreras Sepúlveda</v>
      </c>
      <c r="M643" s="6" t="str">
        <f t="shared" si="2"/>
        <v>21.871.275-1</v>
      </c>
      <c r="N643" s="6" t="str">
        <f t="shared" si="3"/>
        <v>Antofagasta - Antofagasta - Región de Antofagasta</v>
      </c>
      <c r="O643" s="4"/>
    </row>
    <row r="644">
      <c r="A644" s="1" t="s">
        <v>4102</v>
      </c>
      <c r="B644" s="1" t="s">
        <v>4103</v>
      </c>
      <c r="C644" s="1" t="s">
        <v>4104</v>
      </c>
      <c r="D644" s="1" t="s">
        <v>4105</v>
      </c>
      <c r="E644" s="1" t="s">
        <v>33</v>
      </c>
      <c r="F644" s="1" t="s">
        <v>33</v>
      </c>
      <c r="G644" s="1" t="s">
        <v>34</v>
      </c>
      <c r="H644" s="2">
        <v>5940000.0</v>
      </c>
      <c r="I644" s="1">
        <v>0.0</v>
      </c>
      <c r="J644" s="1" t="s">
        <v>47</v>
      </c>
      <c r="K644" s="5">
        <v>46060.0</v>
      </c>
      <c r="L644" s="4" t="str">
        <f t="shared" si="1"/>
        <v>Macarena Pérez Sepúlveda</v>
      </c>
      <c r="M644" s="6" t="str">
        <f t="shared" si="2"/>
        <v>21.504.667-4</v>
      </c>
      <c r="N644" s="6" t="str">
        <f t="shared" si="3"/>
        <v>Puerto Montt - Puerto Montt - Región de Los Lagos</v>
      </c>
      <c r="O644" s="4"/>
    </row>
    <row r="645">
      <c r="A645" s="1" t="s">
        <v>3545</v>
      </c>
      <c r="B645" s="1" t="s">
        <v>3546</v>
      </c>
      <c r="C645" s="1" t="s">
        <v>3547</v>
      </c>
      <c r="D645" s="1" t="s">
        <v>3548</v>
      </c>
      <c r="E645" s="1" t="s">
        <v>45</v>
      </c>
      <c r="F645" s="1" t="s">
        <v>45</v>
      </c>
      <c r="G645" s="1" t="s">
        <v>46</v>
      </c>
      <c r="H645" s="2">
        <v>2.142E7</v>
      </c>
      <c r="I645" s="1">
        <v>15.0</v>
      </c>
      <c r="J645" s="1" t="s">
        <v>73</v>
      </c>
      <c r="K645" s="5">
        <v>46087.0</v>
      </c>
      <c r="L645" s="4" t="str">
        <f t="shared" si="1"/>
        <v>Felipe Contreras Vergara</v>
      </c>
      <c r="M645" s="6" t="str">
        <f t="shared" si="2"/>
        <v>18.142.181-5</v>
      </c>
      <c r="N645" s="6" t="str">
        <f t="shared" si="3"/>
        <v>Temuco - Temuco - Región de la Araucanía</v>
      </c>
      <c r="O645" s="4"/>
    </row>
    <row r="646">
      <c r="A646" s="1" t="s">
        <v>4106</v>
      </c>
      <c r="B646" s="1" t="s">
        <v>4107</v>
      </c>
      <c r="C646" s="1" t="s">
        <v>4108</v>
      </c>
      <c r="D646" s="1" t="s">
        <v>4109</v>
      </c>
      <c r="E646" s="1" t="s">
        <v>56</v>
      </c>
      <c r="F646" s="1" t="s">
        <v>39</v>
      </c>
      <c r="G646" s="1" t="s">
        <v>40</v>
      </c>
      <c r="H646" s="2">
        <v>3800000.0</v>
      </c>
      <c r="I646" s="1">
        <v>60.0</v>
      </c>
      <c r="J646" s="1" t="s">
        <v>73</v>
      </c>
      <c r="K646" s="5">
        <v>46072.0</v>
      </c>
      <c r="L646" s="4" t="str">
        <f t="shared" si="1"/>
        <v>Loreto Espinoza González</v>
      </c>
      <c r="M646" s="6" t="str">
        <f t="shared" si="2"/>
        <v>17.118.066-0</v>
      </c>
      <c r="N646" s="6" t="str">
        <f t="shared" si="3"/>
        <v>Talcahuano - Concepción - Región del Biobío</v>
      </c>
      <c r="O646" s="4"/>
    </row>
    <row r="647">
      <c r="A647" s="1" t="s">
        <v>4114</v>
      </c>
      <c r="B647" s="1" t="s">
        <v>4115</v>
      </c>
      <c r="C647" s="1" t="s">
        <v>2160</v>
      </c>
      <c r="D647" s="1" t="s">
        <v>3962</v>
      </c>
      <c r="E647" s="1" t="s">
        <v>118</v>
      </c>
      <c r="F647" s="1" t="s">
        <v>62</v>
      </c>
      <c r="G647" s="1" t="s">
        <v>63</v>
      </c>
      <c r="H647" s="2">
        <v>2140000.0</v>
      </c>
      <c r="I647" s="1">
        <v>0.0</v>
      </c>
      <c r="J647" s="1" t="s">
        <v>97</v>
      </c>
      <c r="K647" s="5">
        <v>46166.0</v>
      </c>
      <c r="L647" s="4" t="str">
        <f t="shared" si="1"/>
        <v>Ignacio Rodríguez Contreras</v>
      </c>
      <c r="M647" s="6" t="str">
        <f t="shared" si="2"/>
        <v>17.267.663-1</v>
      </c>
      <c r="N647" s="6" t="str">
        <f t="shared" si="3"/>
        <v>Maipú - Santiago - Región Metropolitana</v>
      </c>
      <c r="O647" s="4"/>
    </row>
    <row r="648">
      <c r="A648" s="1" t="s">
        <v>4116</v>
      </c>
      <c r="B648" s="1" t="s">
        <v>4117</v>
      </c>
      <c r="C648" s="1" t="s">
        <v>4118</v>
      </c>
      <c r="D648" s="1" t="s">
        <v>1351</v>
      </c>
      <c r="E648" s="1" t="s">
        <v>45</v>
      </c>
      <c r="F648" s="1" t="s">
        <v>45</v>
      </c>
      <c r="G648" s="1" t="s">
        <v>46</v>
      </c>
      <c r="H648" s="2">
        <v>9610000.0</v>
      </c>
      <c r="I648" s="1">
        <v>45.0</v>
      </c>
      <c r="J648" s="1" t="s">
        <v>28</v>
      </c>
      <c r="K648" s="5">
        <v>46222.0</v>
      </c>
      <c r="L648" s="4" t="str">
        <f t="shared" si="1"/>
        <v>Paula Rojas López</v>
      </c>
      <c r="M648" s="6" t="str">
        <f t="shared" si="2"/>
        <v>18.312.634-3</v>
      </c>
      <c r="N648" s="6" t="str">
        <f t="shared" si="3"/>
        <v>Temuco - Temuco - Región de la Araucanía</v>
      </c>
      <c r="O648" s="4"/>
    </row>
    <row r="649">
      <c r="A649" s="1" t="s">
        <v>4120</v>
      </c>
      <c r="B649" s="1" t="s">
        <v>4121</v>
      </c>
      <c r="C649" s="1" t="s">
        <v>4122</v>
      </c>
      <c r="D649" s="1" t="s">
        <v>4123</v>
      </c>
      <c r="E649" s="1" t="s">
        <v>72</v>
      </c>
      <c r="F649" s="1" t="s">
        <v>62</v>
      </c>
      <c r="G649" s="1" t="s">
        <v>63</v>
      </c>
      <c r="H649" s="2">
        <v>7050000.0</v>
      </c>
      <c r="I649" s="1">
        <v>60.0</v>
      </c>
      <c r="J649" s="1" t="s">
        <v>97</v>
      </c>
      <c r="K649" s="5">
        <v>46196.0</v>
      </c>
      <c r="L649" s="4" t="str">
        <f t="shared" si="1"/>
        <v>Hernán Rodríguez Contreras</v>
      </c>
      <c r="M649" s="6" t="str">
        <f t="shared" si="2"/>
        <v>14.557.496-K</v>
      </c>
      <c r="N649" s="6" t="str">
        <f t="shared" si="3"/>
        <v>Providencia - Santiago - Región Metropolitana</v>
      </c>
      <c r="O649" s="4"/>
    </row>
    <row r="650">
      <c r="A650" s="1" t="s">
        <v>3863</v>
      </c>
      <c r="B650" s="1" t="s">
        <v>3865</v>
      </c>
      <c r="C650" s="1" t="s">
        <v>3866</v>
      </c>
      <c r="D650" s="1" t="s">
        <v>3868</v>
      </c>
      <c r="E650" s="1" t="s">
        <v>45</v>
      </c>
      <c r="F650" s="1" t="s">
        <v>45</v>
      </c>
      <c r="G650" s="1" t="s">
        <v>46</v>
      </c>
      <c r="H650" s="2">
        <v>1710000.0</v>
      </c>
      <c r="I650" s="1">
        <v>30.0</v>
      </c>
      <c r="J650" s="1" t="s">
        <v>47</v>
      </c>
      <c r="K650" s="5">
        <v>46081.0</v>
      </c>
      <c r="L650" s="4" t="str">
        <f t="shared" si="1"/>
        <v>Francisca Morales Fuentes</v>
      </c>
      <c r="M650" s="6" t="str">
        <f t="shared" si="2"/>
        <v>18554186-9</v>
      </c>
      <c r="N650" s="6" t="str">
        <f t="shared" si="3"/>
        <v>Temuco - Temuco - Región de la Araucanía</v>
      </c>
      <c r="O650" s="4"/>
    </row>
    <row r="651">
      <c r="A651" s="1" t="s">
        <v>4128</v>
      </c>
      <c r="B651" s="1" t="s">
        <v>4129</v>
      </c>
      <c r="C651" s="1" t="s">
        <v>4130</v>
      </c>
      <c r="D651" s="1" t="s">
        <v>4131</v>
      </c>
      <c r="E651" s="1" t="s">
        <v>18</v>
      </c>
      <c r="F651" s="1" t="s">
        <v>18</v>
      </c>
      <c r="G651" s="1" t="s">
        <v>19</v>
      </c>
      <c r="H651" s="2">
        <v>1.625E7</v>
      </c>
      <c r="I651" s="1">
        <v>0.0</v>
      </c>
      <c r="J651" s="1" t="s">
        <v>47</v>
      </c>
      <c r="K651" s="5">
        <v>46189.0</v>
      </c>
      <c r="L651" s="4" t="str">
        <f t="shared" si="1"/>
        <v>Tomas Rodríguez Araya</v>
      </c>
      <c r="M651" s="6" t="str">
        <f t="shared" si="2"/>
        <v>12.365.915-7</v>
      </c>
      <c r="N651" s="6" t="str">
        <f t="shared" si="3"/>
        <v>La Serena - La Serena - Región de Coquimbo</v>
      </c>
      <c r="O651" s="4"/>
    </row>
    <row r="652">
      <c r="A652" s="1" t="s">
        <v>3158</v>
      </c>
      <c r="B652" s="1" t="s">
        <v>3159</v>
      </c>
      <c r="C652" s="1" t="s">
        <v>3160</v>
      </c>
      <c r="D652" s="1" t="s">
        <v>2050</v>
      </c>
      <c r="E652" s="1" t="s">
        <v>109</v>
      </c>
      <c r="F652" s="1" t="s">
        <v>62</v>
      </c>
      <c r="G652" s="1" t="s">
        <v>63</v>
      </c>
      <c r="H652" s="2">
        <v>1.427E7</v>
      </c>
      <c r="I652" s="1">
        <v>15.0</v>
      </c>
      <c r="J652" s="1" t="s">
        <v>47</v>
      </c>
      <c r="K652" s="5">
        <v>46137.0</v>
      </c>
      <c r="L652" s="4" t="str">
        <f t="shared" si="1"/>
        <v>Daniela Rodríguez Contreras</v>
      </c>
      <c r="M652" s="6" t="str">
        <f t="shared" si="2"/>
        <v>12.657.047-1</v>
      </c>
      <c r="N652" s="6" t="str">
        <f t="shared" si="3"/>
        <v>Ñuñoa - Santiago - Región Metropolitana</v>
      </c>
      <c r="O652" s="4"/>
    </row>
    <row r="653">
      <c r="A653" s="1" t="s">
        <v>3562</v>
      </c>
      <c r="B653" s="1" t="s">
        <v>3563</v>
      </c>
      <c r="C653" s="1" t="s">
        <v>3564</v>
      </c>
      <c r="D653" s="1" t="s">
        <v>3565</v>
      </c>
      <c r="E653" s="1" t="s">
        <v>39</v>
      </c>
      <c r="F653" s="1" t="s">
        <v>39</v>
      </c>
      <c r="G653" s="1" t="s">
        <v>40</v>
      </c>
      <c r="H653" s="2">
        <v>1.723E7</v>
      </c>
      <c r="I653" s="1">
        <v>0.0</v>
      </c>
      <c r="J653" s="1" t="s">
        <v>20</v>
      </c>
      <c r="K653" s="5">
        <v>46154.0</v>
      </c>
      <c r="L653" s="4" t="str">
        <f t="shared" si="1"/>
        <v>Felipe Fuentes Espinoza</v>
      </c>
      <c r="M653" s="6" t="str">
        <f t="shared" si="2"/>
        <v>18329058-1</v>
      </c>
      <c r="N653" s="6" t="str">
        <f t="shared" si="3"/>
        <v>Concepción - Concepción - Región del Biobío</v>
      </c>
      <c r="O653" s="4"/>
    </row>
    <row r="654">
      <c r="A654" s="1" t="s">
        <v>4132</v>
      </c>
      <c r="B654" s="1" t="s">
        <v>4133</v>
      </c>
      <c r="C654" s="1" t="s">
        <v>4134</v>
      </c>
      <c r="D654" s="1" t="s">
        <v>4135</v>
      </c>
      <c r="E654" s="1" t="s">
        <v>25</v>
      </c>
      <c r="F654" s="1" t="s">
        <v>26</v>
      </c>
      <c r="G654" s="1" t="s">
        <v>27</v>
      </c>
      <c r="H654" s="2">
        <v>9640000.0</v>
      </c>
      <c r="I654" s="1">
        <v>0.0</v>
      </c>
      <c r="J654" s="1" t="s">
        <v>28</v>
      </c>
      <c r="K654" s="5">
        <v>46221.0</v>
      </c>
      <c r="L654" s="4" t="str">
        <f t="shared" si="1"/>
        <v>Javiera Díaz Silva</v>
      </c>
      <c r="M654" s="6" t="str">
        <f t="shared" si="2"/>
        <v>20.008.964-3</v>
      </c>
      <c r="N654" s="6" t="str">
        <f t="shared" si="3"/>
        <v>Viña del Mar - Valparaíso - Región de Valparaíso</v>
      </c>
      <c r="O654" s="4"/>
    </row>
    <row r="655">
      <c r="A655" s="1" t="s">
        <v>4140</v>
      </c>
      <c r="B655" s="1" t="s">
        <v>4141</v>
      </c>
      <c r="C655" s="1" t="s">
        <v>4142</v>
      </c>
      <c r="D655" s="1" t="s">
        <v>4143</v>
      </c>
      <c r="E655" s="1" t="s">
        <v>72</v>
      </c>
      <c r="F655" s="1" t="s">
        <v>62</v>
      </c>
      <c r="G655" s="1" t="s">
        <v>63</v>
      </c>
      <c r="H655" s="2">
        <v>1.126E7</v>
      </c>
      <c r="I655" s="1">
        <v>0.0</v>
      </c>
      <c r="J655" s="1" t="s">
        <v>20</v>
      </c>
      <c r="K655" s="5">
        <v>46062.0</v>
      </c>
      <c r="L655" s="4" t="str">
        <f t="shared" si="1"/>
        <v>Ignacio Díaz Contreras</v>
      </c>
      <c r="M655" s="6" t="str">
        <f t="shared" si="2"/>
        <v>15.566.692-2</v>
      </c>
      <c r="N655" s="6" t="str">
        <f t="shared" si="3"/>
        <v>Providencia - Santiago - Región Metropolitana</v>
      </c>
      <c r="O655" s="4"/>
    </row>
    <row r="656">
      <c r="A656" s="1" t="s">
        <v>4144</v>
      </c>
      <c r="B656" s="1" t="s">
        <v>4145</v>
      </c>
      <c r="C656" s="1" t="s">
        <v>4146</v>
      </c>
      <c r="D656" s="1" t="s">
        <v>4147</v>
      </c>
      <c r="E656" s="1" t="s">
        <v>118</v>
      </c>
      <c r="F656" s="1" t="s">
        <v>62</v>
      </c>
      <c r="G656" s="1" t="s">
        <v>63</v>
      </c>
      <c r="H656" s="2">
        <v>1.78E7</v>
      </c>
      <c r="I656" s="1">
        <v>120.0</v>
      </c>
      <c r="J656" s="1" t="s">
        <v>20</v>
      </c>
      <c r="K656" s="5">
        <v>46117.0</v>
      </c>
      <c r="L656" s="4" t="str">
        <f t="shared" si="1"/>
        <v>Sofia Sepúlveda Muñoz</v>
      </c>
      <c r="M656" s="6" t="str">
        <f t="shared" si="2"/>
        <v>15.201.661-9</v>
      </c>
      <c r="N656" s="6" t="str">
        <f t="shared" si="3"/>
        <v>Maipú - Santiago - Región Metropolitana</v>
      </c>
      <c r="O656" s="4"/>
    </row>
    <row r="657">
      <c r="A657" s="1" t="s">
        <v>3573</v>
      </c>
      <c r="B657" s="1" t="s">
        <v>3575</v>
      </c>
      <c r="C657" s="1" t="s">
        <v>3576</v>
      </c>
      <c r="D657" s="1" t="s">
        <v>3577</v>
      </c>
      <c r="E657" s="1" t="s">
        <v>118</v>
      </c>
      <c r="F657" s="1" t="s">
        <v>62</v>
      </c>
      <c r="G657" s="1" t="s">
        <v>63</v>
      </c>
      <c r="H657" s="2">
        <v>1.599E7</v>
      </c>
      <c r="I657" s="1">
        <v>90.0</v>
      </c>
      <c r="J657" s="1" t="s">
        <v>47</v>
      </c>
      <c r="K657" s="5">
        <v>46024.0</v>
      </c>
      <c r="L657" s="4" t="str">
        <f t="shared" si="1"/>
        <v>Felipe González Fuentes</v>
      </c>
      <c r="M657" s="6" t="str">
        <f t="shared" si="2"/>
        <v>16778493-4</v>
      </c>
      <c r="N657" s="6" t="str">
        <f t="shared" si="3"/>
        <v>Maipú - Santiago - Región Metropolitana</v>
      </c>
      <c r="O657" s="4"/>
    </row>
    <row r="658">
      <c r="A658" s="1" t="s">
        <v>790</v>
      </c>
      <c r="B658" s="1" t="s">
        <v>791</v>
      </c>
      <c r="C658" s="1" t="s">
        <v>793</v>
      </c>
      <c r="D658" s="1" t="s">
        <v>794</v>
      </c>
      <c r="E658" s="1" t="s">
        <v>158</v>
      </c>
      <c r="F658" s="1" t="s">
        <v>158</v>
      </c>
      <c r="G658" s="1" t="s">
        <v>159</v>
      </c>
      <c r="H658" s="2">
        <v>6170000.0</v>
      </c>
      <c r="I658" s="1">
        <v>30.0</v>
      </c>
      <c r="J658" s="1" t="s">
        <v>97</v>
      </c>
      <c r="K658" s="5">
        <v>46137.0</v>
      </c>
      <c r="L658" s="4" t="str">
        <f t="shared" si="1"/>
        <v>Andrea Pérez Contreras</v>
      </c>
      <c r="M658" s="6" t="str">
        <f t="shared" si="2"/>
        <v>13.008.833-3</v>
      </c>
      <c r="N658" s="6" t="str">
        <f t="shared" si="3"/>
        <v>Antofagasta - Antofagasta - Región de Antofagasta</v>
      </c>
      <c r="O658" s="4"/>
    </row>
    <row r="659">
      <c r="A659" s="1" t="s">
        <v>4149</v>
      </c>
      <c r="B659" s="1" t="s">
        <v>4150</v>
      </c>
      <c r="C659" s="1" t="s">
        <v>4151</v>
      </c>
      <c r="D659" s="1" t="s">
        <v>4152</v>
      </c>
      <c r="E659" s="1" t="s">
        <v>61</v>
      </c>
      <c r="F659" s="1" t="s">
        <v>62</v>
      </c>
      <c r="G659" s="1" t="s">
        <v>63</v>
      </c>
      <c r="H659" s="2">
        <v>2.192E7</v>
      </c>
      <c r="I659" s="1">
        <v>0.0</v>
      </c>
      <c r="J659" s="1" t="s">
        <v>20</v>
      </c>
      <c r="K659" s="5">
        <v>46228.0</v>
      </c>
      <c r="L659" s="4" t="str">
        <f t="shared" si="1"/>
        <v>Matías Muñoz Fuentes</v>
      </c>
      <c r="M659" s="6" t="str">
        <f t="shared" si="2"/>
        <v>19.527.046-6</v>
      </c>
      <c r="N659" s="6" t="str">
        <f t="shared" si="3"/>
        <v>Santiago Centro - Santiago - Región Metropolitana</v>
      </c>
      <c r="O659" s="4"/>
    </row>
    <row r="660">
      <c r="A660" s="1" t="s">
        <v>1204</v>
      </c>
      <c r="B660" s="1" t="s">
        <v>1205</v>
      </c>
      <c r="C660" s="1" t="s">
        <v>1206</v>
      </c>
      <c r="D660" s="1" t="s">
        <v>1207</v>
      </c>
      <c r="E660" s="1" t="s">
        <v>33</v>
      </c>
      <c r="F660" s="1" t="s">
        <v>33</v>
      </c>
      <c r="G660" s="1" t="s">
        <v>34</v>
      </c>
      <c r="H660" s="2">
        <v>1.353E7</v>
      </c>
      <c r="I660" s="1">
        <v>0.0</v>
      </c>
      <c r="J660" s="1" t="s">
        <v>28</v>
      </c>
      <c r="K660" s="5">
        <v>46195.0</v>
      </c>
      <c r="L660" s="4" t="str">
        <f t="shared" si="1"/>
        <v>Beatriz Pérez Silva</v>
      </c>
      <c r="M660" s="6" t="str">
        <f t="shared" si="2"/>
        <v>16449603-4</v>
      </c>
      <c r="N660" s="6" t="str">
        <f t="shared" si="3"/>
        <v>Puerto Montt - Puerto Montt - Región de Los Lagos</v>
      </c>
      <c r="O660" s="4"/>
    </row>
    <row r="661">
      <c r="A661" s="1" t="s">
        <v>2650</v>
      </c>
      <c r="B661" s="1" t="s">
        <v>2651</v>
      </c>
      <c r="C661" s="1" t="s">
        <v>2652</v>
      </c>
      <c r="D661" s="1" t="s">
        <v>2653</v>
      </c>
      <c r="E661" s="1" t="s">
        <v>61</v>
      </c>
      <c r="F661" s="1" t="s">
        <v>62</v>
      </c>
      <c r="G661" s="1" t="s">
        <v>63</v>
      </c>
      <c r="H661" s="2">
        <v>3170000.0</v>
      </c>
      <c r="I661" s="1">
        <v>0.0</v>
      </c>
      <c r="J661" s="1" t="s">
        <v>73</v>
      </c>
      <c r="K661" s="5">
        <v>46186.0</v>
      </c>
      <c r="L661" s="4" t="str">
        <f t="shared" si="1"/>
        <v>Claudio Sepúlveda Tapia</v>
      </c>
      <c r="M661" s="6" t="str">
        <f t="shared" si="2"/>
        <v>21.146.164-1</v>
      </c>
      <c r="N661" s="6" t="str">
        <f t="shared" si="3"/>
        <v>Santiago Centro - Santiago - Región Metropolitana</v>
      </c>
      <c r="O661" s="4"/>
    </row>
    <row r="662">
      <c r="A662" s="1" t="s">
        <v>4156</v>
      </c>
      <c r="B662" s="1" t="s">
        <v>4157</v>
      </c>
      <c r="C662" s="1" t="s">
        <v>4158</v>
      </c>
      <c r="D662" s="1" t="s">
        <v>4159</v>
      </c>
      <c r="E662" s="1" t="s">
        <v>25</v>
      </c>
      <c r="F662" s="1" t="s">
        <v>26</v>
      </c>
      <c r="G662" s="1" t="s">
        <v>27</v>
      </c>
      <c r="H662" s="2">
        <v>1.795E7</v>
      </c>
      <c r="I662" s="1">
        <v>0.0</v>
      </c>
      <c r="J662" s="1" t="s">
        <v>28</v>
      </c>
      <c r="K662" s="5">
        <v>46128.0</v>
      </c>
      <c r="L662" s="4" t="str">
        <f t="shared" si="1"/>
        <v>Paula Valenzuela Valenzuela</v>
      </c>
      <c r="M662" s="6" t="str">
        <f t="shared" si="2"/>
        <v>15.955.249-4</v>
      </c>
      <c r="N662" s="6" t="str">
        <f t="shared" si="3"/>
        <v>Viña del Mar - Valparaíso - Región de Valparaíso</v>
      </c>
      <c r="O662" s="4"/>
    </row>
    <row r="663">
      <c r="A663" s="1" t="s">
        <v>4160</v>
      </c>
      <c r="B663" s="1" t="s">
        <v>4161</v>
      </c>
      <c r="C663" s="1" t="s">
        <v>4162</v>
      </c>
      <c r="D663" s="1" t="s">
        <v>2759</v>
      </c>
      <c r="E663" s="1" t="s">
        <v>118</v>
      </c>
      <c r="F663" s="1" t="s">
        <v>62</v>
      </c>
      <c r="G663" s="1" t="s">
        <v>63</v>
      </c>
      <c r="H663" s="2">
        <v>1.056E7</v>
      </c>
      <c r="I663" s="1">
        <v>15.0</v>
      </c>
      <c r="J663" s="1" t="s">
        <v>47</v>
      </c>
      <c r="K663" s="5">
        <v>46169.0</v>
      </c>
      <c r="L663" s="4" t="str">
        <f t="shared" si="1"/>
        <v>Ignacio Silva Díaz</v>
      </c>
      <c r="M663" s="6" t="str">
        <f t="shared" si="2"/>
        <v>11.347.095-9</v>
      </c>
      <c r="N663" s="6" t="str">
        <f t="shared" si="3"/>
        <v>Maipú - Santiago - Región Metropolitana</v>
      </c>
      <c r="O663" s="4"/>
    </row>
    <row r="664">
      <c r="A664" s="1" t="s">
        <v>3799</v>
      </c>
      <c r="B664" s="1" t="s">
        <v>3800</v>
      </c>
      <c r="C664" s="1" t="s">
        <v>3801</v>
      </c>
      <c r="D664" s="1" t="s">
        <v>3795</v>
      </c>
      <c r="E664" s="1" t="s">
        <v>18</v>
      </c>
      <c r="F664" s="1" t="s">
        <v>18</v>
      </c>
      <c r="G664" s="1" t="s">
        <v>19</v>
      </c>
      <c r="H664" s="2">
        <v>1.948E7</v>
      </c>
      <c r="I664" s="1">
        <v>0.0</v>
      </c>
      <c r="J664" s="1" t="s">
        <v>20</v>
      </c>
      <c r="K664" s="5">
        <v>46154.0</v>
      </c>
      <c r="L664" s="4" t="str">
        <f t="shared" si="1"/>
        <v>Fernanda Tapia Rodríguez</v>
      </c>
      <c r="M664" s="6" t="str">
        <f t="shared" si="2"/>
        <v>21.645.631-9</v>
      </c>
      <c r="N664" s="6" t="str">
        <f t="shared" si="3"/>
        <v>La Serena - La Serena - Región de Coquimbo</v>
      </c>
      <c r="O664" s="4"/>
    </row>
    <row r="665">
      <c r="A665" s="1" t="s">
        <v>2513</v>
      </c>
      <c r="B665" s="1" t="s">
        <v>2514</v>
      </c>
      <c r="C665" s="1" t="s">
        <v>4164</v>
      </c>
      <c r="D665" s="1" t="s">
        <v>2516</v>
      </c>
      <c r="E665" s="1" t="s">
        <v>118</v>
      </c>
      <c r="F665" s="1" t="s">
        <v>62</v>
      </c>
      <c r="G665" s="1" t="s">
        <v>63</v>
      </c>
      <c r="H665" s="2">
        <v>1.425E7</v>
      </c>
      <c r="I665" s="1">
        <v>0.0</v>
      </c>
      <c r="J665" s="1" t="s">
        <v>20</v>
      </c>
      <c r="K665" s="5">
        <v>46134.0</v>
      </c>
      <c r="L665" s="4" t="str">
        <f t="shared" si="1"/>
        <v>Claudio González Morales</v>
      </c>
      <c r="M665" s="6" t="str">
        <f t="shared" si="2"/>
        <v>17.746.452-8</v>
      </c>
      <c r="N665" s="6" t="str">
        <f t="shared" si="3"/>
        <v>Maipú - Santiago - Región Metropolitana</v>
      </c>
      <c r="O665" s="4"/>
    </row>
    <row r="666">
      <c r="A666" s="1" t="s">
        <v>2406</v>
      </c>
      <c r="B666" s="1" t="s">
        <v>2408</v>
      </c>
      <c r="C666" s="1" t="s">
        <v>4165</v>
      </c>
      <c r="D666" s="1" t="s">
        <v>2411</v>
      </c>
      <c r="E666" s="1" t="s">
        <v>61</v>
      </c>
      <c r="F666" s="1" t="s">
        <v>62</v>
      </c>
      <c r="G666" s="1" t="s">
        <v>63</v>
      </c>
      <c r="H666" s="2">
        <v>1.247E7</v>
      </c>
      <c r="I666" s="1">
        <v>30.0</v>
      </c>
      <c r="J666" s="1" t="s">
        <v>28</v>
      </c>
      <c r="K666" s="5">
        <v>46041.0</v>
      </c>
      <c r="L666" s="4" t="str">
        <f t="shared" si="1"/>
        <v>Catalina Silva Rodríguez</v>
      </c>
      <c r="M666" s="6" t="str">
        <f t="shared" si="2"/>
        <v>16674344-9</v>
      </c>
      <c r="N666" s="6" t="str">
        <f t="shared" si="3"/>
        <v>Santiago Centro - Santiago - Región Metropolitana</v>
      </c>
      <c r="O666" s="4"/>
    </row>
    <row r="667">
      <c r="A667" s="1" t="s">
        <v>90</v>
      </c>
      <c r="B667" s="1" t="s">
        <v>92</v>
      </c>
      <c r="C667" s="1" t="s">
        <v>93</v>
      </c>
      <c r="D667" s="1" t="s">
        <v>94</v>
      </c>
      <c r="E667" s="1" t="s">
        <v>56</v>
      </c>
      <c r="F667" s="1" t="s">
        <v>39</v>
      </c>
      <c r="G667" s="1" t="s">
        <v>40</v>
      </c>
      <c r="H667" s="2">
        <v>8190000.0</v>
      </c>
      <c r="I667" s="1">
        <v>0.0</v>
      </c>
      <c r="J667" s="1" t="s">
        <v>97</v>
      </c>
      <c r="K667" s="5">
        <v>46197.0</v>
      </c>
      <c r="L667" s="4" t="str">
        <f t="shared" si="1"/>
        <v>Álvaro Araya Soto</v>
      </c>
      <c r="M667" s="6" t="str">
        <f t="shared" si="2"/>
        <v>17.907.842-1</v>
      </c>
      <c r="N667" s="6" t="str">
        <f t="shared" si="3"/>
        <v>Talcahuano - Concepción - Región del Biobío</v>
      </c>
      <c r="O667" s="4"/>
    </row>
    <row r="668">
      <c r="A668" s="1" t="s">
        <v>4166</v>
      </c>
      <c r="B668" s="1" t="s">
        <v>4167</v>
      </c>
      <c r="C668" s="1" t="s">
        <v>4168</v>
      </c>
      <c r="D668" s="1" t="s">
        <v>4105</v>
      </c>
      <c r="E668" s="1" t="s">
        <v>72</v>
      </c>
      <c r="F668" s="1" t="s">
        <v>62</v>
      </c>
      <c r="G668" s="1" t="s">
        <v>63</v>
      </c>
      <c r="H668" s="2">
        <v>1.01E7</v>
      </c>
      <c r="I668" s="1">
        <v>30.0</v>
      </c>
      <c r="J668" s="1" t="s">
        <v>28</v>
      </c>
      <c r="K668" s="5">
        <v>46166.0</v>
      </c>
      <c r="L668" s="4" t="str">
        <f t="shared" si="1"/>
        <v>Macarena Pérez Díaz</v>
      </c>
      <c r="M668" s="6" t="str">
        <f t="shared" si="2"/>
        <v>19125938-9</v>
      </c>
      <c r="N668" s="6" t="str">
        <f t="shared" si="3"/>
        <v>Providencia - Santiago - Región Metropolitana</v>
      </c>
      <c r="O668" s="4"/>
    </row>
    <row r="669">
      <c r="A669" s="1" t="s">
        <v>190</v>
      </c>
      <c r="B669" s="1" t="s">
        <v>191</v>
      </c>
      <c r="C669" s="1" t="s">
        <v>192</v>
      </c>
      <c r="D669" s="1" t="s">
        <v>193</v>
      </c>
      <c r="E669" s="1" t="s">
        <v>194</v>
      </c>
      <c r="F669" s="1" t="s">
        <v>62</v>
      </c>
      <c r="G669" s="1" t="s">
        <v>63</v>
      </c>
      <c r="H669" s="2">
        <v>1.46E7</v>
      </c>
      <c r="I669" s="1">
        <v>0.0</v>
      </c>
      <c r="J669" s="1" t="s">
        <v>97</v>
      </c>
      <c r="K669" s="5">
        <v>46223.0</v>
      </c>
      <c r="L669" s="4" t="str">
        <f t="shared" si="1"/>
        <v>Álvaro Fuentes Araya</v>
      </c>
      <c r="M669" s="6" t="str">
        <f t="shared" si="2"/>
        <v>17.238.764-2</v>
      </c>
      <c r="N669" s="6" t="str">
        <f t="shared" si="3"/>
        <v>Las Condes - Santiago - Región Metropolitana</v>
      </c>
      <c r="O669" s="4"/>
    </row>
    <row r="670">
      <c r="A670" s="1" t="s">
        <v>4169</v>
      </c>
      <c r="B670" s="1" t="s">
        <v>4170</v>
      </c>
      <c r="C670" s="1" t="s">
        <v>4171</v>
      </c>
      <c r="D670" s="1" t="s">
        <v>4172</v>
      </c>
      <c r="E670" s="1" t="s">
        <v>18</v>
      </c>
      <c r="F670" s="1" t="s">
        <v>18</v>
      </c>
      <c r="G670" s="1" t="s">
        <v>19</v>
      </c>
      <c r="H670" s="2">
        <v>1.83E7</v>
      </c>
      <c r="I670" s="1">
        <v>15.0</v>
      </c>
      <c r="J670" s="1" t="s">
        <v>20</v>
      </c>
      <c r="K670" s="5">
        <v>46074.0</v>
      </c>
      <c r="L670" s="4" t="str">
        <f t="shared" si="1"/>
        <v>Marcela Araya Pérez</v>
      </c>
      <c r="M670" s="6" t="str">
        <f t="shared" si="2"/>
        <v>15.607.588-8</v>
      </c>
      <c r="N670" s="6" t="str">
        <f t="shared" si="3"/>
        <v>La Serena - La Serena - Región de Coquimbo</v>
      </c>
      <c r="O670" s="4"/>
    </row>
    <row r="671">
      <c r="A671" s="1" t="s">
        <v>4010</v>
      </c>
      <c r="B671" s="1" t="s">
        <v>4011</v>
      </c>
      <c r="C671" s="1" t="s">
        <v>4173</v>
      </c>
      <c r="D671" s="1" t="s">
        <v>4013</v>
      </c>
      <c r="E671" s="1" t="s">
        <v>194</v>
      </c>
      <c r="F671" s="1" t="s">
        <v>62</v>
      </c>
      <c r="G671" s="1" t="s">
        <v>63</v>
      </c>
      <c r="H671" s="2">
        <v>1.573E7</v>
      </c>
      <c r="I671" s="1">
        <v>0.0</v>
      </c>
      <c r="J671" s="1" t="s">
        <v>73</v>
      </c>
      <c r="K671" s="5">
        <v>46037.0</v>
      </c>
      <c r="L671" s="4" t="str">
        <f t="shared" si="1"/>
        <v>Gabriel Espinoza Araya</v>
      </c>
      <c r="M671" s="6" t="str">
        <f t="shared" si="2"/>
        <v>13.199.497-2</v>
      </c>
      <c r="N671" s="6" t="str">
        <f t="shared" si="3"/>
        <v>Las Condes - Santiago - Región Metropolitana</v>
      </c>
      <c r="O671" s="4"/>
    </row>
    <row r="672">
      <c r="A672" s="1" t="s">
        <v>3105</v>
      </c>
      <c r="B672" s="1" t="s">
        <v>3106</v>
      </c>
      <c r="C672" s="1" t="s">
        <v>3107</v>
      </c>
      <c r="D672" s="1" t="s">
        <v>3108</v>
      </c>
      <c r="E672" s="1" t="s">
        <v>72</v>
      </c>
      <c r="F672" s="1" t="s">
        <v>62</v>
      </c>
      <c r="G672" s="1" t="s">
        <v>63</v>
      </c>
      <c r="H672" s="2">
        <v>9830000.0</v>
      </c>
      <c r="I672" s="1">
        <v>30.0</v>
      </c>
      <c r="J672" s="1" t="s">
        <v>97</v>
      </c>
      <c r="K672" s="5">
        <v>46086.0</v>
      </c>
      <c r="L672" s="4" t="str">
        <f t="shared" si="1"/>
        <v>Daniela Morales Valenzuela</v>
      </c>
      <c r="M672" s="6" t="str">
        <f t="shared" si="2"/>
        <v>20.269.552-1</v>
      </c>
      <c r="N672" s="6" t="str">
        <f t="shared" si="3"/>
        <v>Providencia - Santiago - Región Metropolitana</v>
      </c>
      <c r="O672" s="4"/>
    </row>
    <row r="673">
      <c r="A673" s="1" t="s">
        <v>4178</v>
      </c>
      <c r="B673" s="1" t="s">
        <v>4179</v>
      </c>
      <c r="C673" s="1" t="s">
        <v>4180</v>
      </c>
      <c r="D673" s="1" t="s">
        <v>3072</v>
      </c>
      <c r="E673" s="1" t="s">
        <v>109</v>
      </c>
      <c r="F673" s="1" t="s">
        <v>62</v>
      </c>
      <c r="G673" s="1" t="s">
        <v>63</v>
      </c>
      <c r="H673" s="2">
        <v>1.119E7</v>
      </c>
      <c r="I673" s="1">
        <v>60.0</v>
      </c>
      <c r="J673" s="1" t="s">
        <v>73</v>
      </c>
      <c r="K673" s="5">
        <v>46037.0</v>
      </c>
      <c r="L673" s="4" t="str">
        <f t="shared" si="1"/>
        <v>Rodrigo Contreras Sepúlveda</v>
      </c>
      <c r="M673" s="6" t="str">
        <f t="shared" si="2"/>
        <v>22.117.907-7</v>
      </c>
      <c r="N673" s="6" t="str">
        <f t="shared" si="3"/>
        <v>Ñuñoa - Santiago - Región Metropolitana</v>
      </c>
      <c r="O673" s="4"/>
    </row>
    <row r="674">
      <c r="A674" s="1" t="s">
        <v>4181</v>
      </c>
      <c r="B674" s="1" t="s">
        <v>4182</v>
      </c>
      <c r="C674" s="1" t="s">
        <v>4183</v>
      </c>
      <c r="D674" s="1" t="s">
        <v>4184</v>
      </c>
      <c r="E674" s="1" t="s">
        <v>25</v>
      </c>
      <c r="F674" s="1" t="s">
        <v>26</v>
      </c>
      <c r="G674" s="1" t="s">
        <v>27</v>
      </c>
      <c r="H674" s="2">
        <v>5070000.0</v>
      </c>
      <c r="I674" s="1">
        <v>90.0</v>
      </c>
      <c r="J674" s="1" t="s">
        <v>97</v>
      </c>
      <c r="K674" s="5">
        <v>46160.0</v>
      </c>
      <c r="L674" s="4" t="str">
        <f t="shared" si="1"/>
        <v>Macarena Sepúlveda Sepúlveda</v>
      </c>
      <c r="M674" s="6" t="str">
        <f t="shared" si="2"/>
        <v>18.786.048-7</v>
      </c>
      <c r="N674" s="6" t="str">
        <f t="shared" si="3"/>
        <v>Viña del Mar - Valparaíso - Región de Valparaíso</v>
      </c>
      <c r="O674" s="4"/>
    </row>
    <row r="675">
      <c r="A675" s="1" t="s">
        <v>3409</v>
      </c>
      <c r="B675" s="1" t="s">
        <v>3410</v>
      </c>
      <c r="C675" s="1" t="s">
        <v>3411</v>
      </c>
      <c r="D675" s="1" t="s">
        <v>3412</v>
      </c>
      <c r="E675" s="1" t="s">
        <v>26</v>
      </c>
      <c r="F675" s="1" t="s">
        <v>26</v>
      </c>
      <c r="G675" s="1" t="s">
        <v>27</v>
      </c>
      <c r="H675" s="2">
        <v>1510000.0</v>
      </c>
      <c r="I675" s="1">
        <v>0.0</v>
      </c>
      <c r="J675" s="1" t="s">
        <v>20</v>
      </c>
      <c r="K675" s="5">
        <v>46153.0</v>
      </c>
      <c r="L675" s="4" t="str">
        <f t="shared" si="1"/>
        <v>Esteban Araya Rodríguez</v>
      </c>
      <c r="M675" s="6" t="str">
        <f t="shared" si="2"/>
        <v>11.429.457-0</v>
      </c>
      <c r="N675" s="6" t="str">
        <f t="shared" si="3"/>
        <v>Valparaíso - Valparaíso - Región de Valparaíso</v>
      </c>
      <c r="O675" s="4"/>
    </row>
    <row r="676">
      <c r="A676" s="1" t="s">
        <v>2108</v>
      </c>
      <c r="B676" s="1" t="s">
        <v>2109</v>
      </c>
      <c r="C676" s="1" t="s">
        <v>4189</v>
      </c>
      <c r="D676" s="1" t="s">
        <v>2113</v>
      </c>
      <c r="E676" s="1" t="s">
        <v>18</v>
      </c>
      <c r="F676" s="1" t="s">
        <v>18</v>
      </c>
      <c r="G676" s="1" t="s">
        <v>19</v>
      </c>
      <c r="H676" s="2">
        <v>8420000.0</v>
      </c>
      <c r="I676" s="1">
        <v>120.0</v>
      </c>
      <c r="J676" s="1" t="s">
        <v>73</v>
      </c>
      <c r="K676" s="5">
        <v>46223.0</v>
      </c>
      <c r="L676" s="4" t="str">
        <f t="shared" si="1"/>
        <v>Catalina Díaz Sepúlveda</v>
      </c>
      <c r="M676" s="6" t="str">
        <f t="shared" si="2"/>
        <v>14.794.638-1</v>
      </c>
      <c r="N676" s="6" t="str">
        <f t="shared" si="3"/>
        <v>La Serena - La Serena - Región de Coquimbo</v>
      </c>
      <c r="O676" s="4"/>
    </row>
    <row r="677">
      <c r="A677" s="1" t="s">
        <v>4190</v>
      </c>
      <c r="B677" s="1" t="s">
        <v>4191</v>
      </c>
      <c r="C677" s="1" t="s">
        <v>4192</v>
      </c>
      <c r="D677" s="1" t="s">
        <v>4193</v>
      </c>
      <c r="E677" s="1" t="s">
        <v>109</v>
      </c>
      <c r="F677" s="1" t="s">
        <v>62</v>
      </c>
      <c r="G677" s="1" t="s">
        <v>63</v>
      </c>
      <c r="H677" s="2">
        <v>1.843E7</v>
      </c>
      <c r="I677" s="1">
        <v>60.0</v>
      </c>
      <c r="J677" s="1" t="s">
        <v>97</v>
      </c>
      <c r="K677" s="5">
        <v>46095.0</v>
      </c>
      <c r="L677" s="4" t="str">
        <f t="shared" si="1"/>
        <v>Mauricio González López</v>
      </c>
      <c r="M677" s="6" t="str">
        <f t="shared" si="2"/>
        <v>14186186-0</v>
      </c>
      <c r="N677" s="6" t="str">
        <f t="shared" si="3"/>
        <v>Ñuñoa - Santiago - Región Metropolitana</v>
      </c>
      <c r="O677" s="4"/>
    </row>
    <row r="678">
      <c r="A678" s="1" t="s">
        <v>4194</v>
      </c>
      <c r="B678" s="1" t="s">
        <v>4195</v>
      </c>
      <c r="C678" s="1" t="s">
        <v>4196</v>
      </c>
      <c r="D678" s="1" t="s">
        <v>2623</v>
      </c>
      <c r="E678" s="1" t="s">
        <v>39</v>
      </c>
      <c r="F678" s="1" t="s">
        <v>39</v>
      </c>
      <c r="G678" s="1" t="s">
        <v>40</v>
      </c>
      <c r="H678" s="2">
        <v>1.671E7</v>
      </c>
      <c r="I678" s="1">
        <v>30.0</v>
      </c>
      <c r="J678" s="1" t="s">
        <v>28</v>
      </c>
      <c r="K678" s="5">
        <v>46183.0</v>
      </c>
      <c r="L678" s="4" t="str">
        <f t="shared" si="1"/>
        <v>Valentina Pérez López</v>
      </c>
      <c r="M678" s="6" t="str">
        <f t="shared" si="2"/>
        <v>15399265-1</v>
      </c>
      <c r="N678" s="6" t="str">
        <f t="shared" si="3"/>
        <v>Concepción - Concepción - Región del Biobío</v>
      </c>
      <c r="O678" s="4"/>
    </row>
    <row r="679">
      <c r="A679" s="1" t="s">
        <v>4198</v>
      </c>
      <c r="B679" s="1" t="s">
        <v>4199</v>
      </c>
      <c r="C679" s="1" t="s">
        <v>4200</v>
      </c>
      <c r="D679" s="1" t="s">
        <v>4201</v>
      </c>
      <c r="E679" s="1" t="s">
        <v>33</v>
      </c>
      <c r="F679" s="1" t="s">
        <v>33</v>
      </c>
      <c r="G679" s="1" t="s">
        <v>34</v>
      </c>
      <c r="H679" s="2">
        <v>5840000.0</v>
      </c>
      <c r="I679" s="1">
        <v>0.0</v>
      </c>
      <c r="J679" s="1" t="s">
        <v>73</v>
      </c>
      <c r="K679" s="5">
        <v>46088.0</v>
      </c>
      <c r="L679" s="4" t="str">
        <f t="shared" si="1"/>
        <v>Tomas Muñoz Pérez</v>
      </c>
      <c r="M679" s="6" t="str">
        <f t="shared" si="2"/>
        <v>15.831.076-1</v>
      </c>
      <c r="N679" s="6" t="str">
        <f t="shared" si="3"/>
        <v>Puerto Montt - Puerto Montt - Región de Los Lagos</v>
      </c>
      <c r="O679" s="4"/>
    </row>
    <row r="680">
      <c r="A680" s="1" t="s">
        <v>4202</v>
      </c>
      <c r="B680" s="1" t="s">
        <v>4203</v>
      </c>
      <c r="C680" s="1" t="s">
        <v>4204</v>
      </c>
      <c r="D680" s="1" t="s">
        <v>442</v>
      </c>
      <c r="E680" s="1" t="s">
        <v>61</v>
      </c>
      <c r="F680" s="1" t="s">
        <v>62</v>
      </c>
      <c r="G680" s="1" t="s">
        <v>63</v>
      </c>
      <c r="H680" s="2">
        <v>1.325E7</v>
      </c>
      <c r="I680" s="1">
        <v>90.0</v>
      </c>
      <c r="J680" s="1" t="s">
        <v>28</v>
      </c>
      <c r="K680" s="5">
        <v>46134.0</v>
      </c>
      <c r="L680" s="4" t="str">
        <f t="shared" si="1"/>
        <v>Loreto Morales Díaz</v>
      </c>
      <c r="M680" s="6" t="str">
        <f t="shared" si="2"/>
        <v>16.870.633-5</v>
      </c>
      <c r="N680" s="6" t="str">
        <f t="shared" si="3"/>
        <v>Santiago Centro - Santiago - Región Metropolitana</v>
      </c>
      <c r="O680" s="4"/>
    </row>
    <row r="681">
      <c r="A681" s="1" t="s">
        <v>4209</v>
      </c>
      <c r="B681" s="1" t="s">
        <v>4210</v>
      </c>
      <c r="C681" s="1" t="s">
        <v>4211</v>
      </c>
      <c r="D681" s="1" t="s">
        <v>4212</v>
      </c>
      <c r="E681" s="1" t="s">
        <v>39</v>
      </c>
      <c r="F681" s="1" t="s">
        <v>39</v>
      </c>
      <c r="G681" s="1" t="s">
        <v>40</v>
      </c>
      <c r="H681" s="2">
        <v>5840000.0</v>
      </c>
      <c r="I681" s="1">
        <v>90.0</v>
      </c>
      <c r="J681" s="1" t="s">
        <v>28</v>
      </c>
      <c r="K681" s="5">
        <v>46170.0</v>
      </c>
      <c r="L681" s="4" t="str">
        <f t="shared" si="1"/>
        <v>Mauricio Espinoza Pérez</v>
      </c>
      <c r="M681" s="6" t="str">
        <f t="shared" si="2"/>
        <v>12.277.419-6</v>
      </c>
      <c r="N681" s="6" t="str">
        <f t="shared" si="3"/>
        <v>Concepción - Concepción - Región del Biobío</v>
      </c>
      <c r="O681" s="4"/>
    </row>
    <row r="682">
      <c r="A682" s="1" t="s">
        <v>4213</v>
      </c>
      <c r="B682" s="1" t="s">
        <v>4214</v>
      </c>
      <c r="C682" s="1" t="s">
        <v>4215</v>
      </c>
      <c r="D682" s="1" t="s">
        <v>4216</v>
      </c>
      <c r="E682" s="1" t="s">
        <v>56</v>
      </c>
      <c r="F682" s="1" t="s">
        <v>39</v>
      </c>
      <c r="G682" s="1" t="s">
        <v>40</v>
      </c>
      <c r="H682" s="2">
        <v>7490000.0</v>
      </c>
      <c r="I682" s="1">
        <v>30.0</v>
      </c>
      <c r="J682" s="1" t="s">
        <v>28</v>
      </c>
      <c r="K682" s="5">
        <v>46193.0</v>
      </c>
      <c r="L682" s="4" t="str">
        <f t="shared" si="1"/>
        <v>Marcela Espinoza Rodríguez</v>
      </c>
      <c r="M682" s="6" t="str">
        <f t="shared" si="2"/>
        <v>14317116-3</v>
      </c>
      <c r="N682" s="6" t="str">
        <f t="shared" si="3"/>
        <v>Talcahuano - Concepción - Región del Biobío</v>
      </c>
      <c r="O682" s="4"/>
    </row>
    <row r="683">
      <c r="A683" s="1" t="s">
        <v>2939</v>
      </c>
      <c r="B683" s="1" t="s">
        <v>2941</v>
      </c>
      <c r="C683" s="1" t="s">
        <v>4217</v>
      </c>
      <c r="D683" s="1" t="s">
        <v>2944</v>
      </c>
      <c r="E683" s="1" t="s">
        <v>61</v>
      </c>
      <c r="F683" s="1" t="s">
        <v>62</v>
      </c>
      <c r="G683" s="1" t="s">
        <v>63</v>
      </c>
      <c r="H683" s="2">
        <v>2160000.0</v>
      </c>
      <c r="I683" s="1">
        <v>0.0</v>
      </c>
      <c r="J683" s="1" t="s">
        <v>97</v>
      </c>
      <c r="K683" s="5">
        <v>46024.0</v>
      </c>
      <c r="L683" s="4" t="str">
        <f t="shared" si="1"/>
        <v>Cristián González Muñoz</v>
      </c>
      <c r="M683" s="6" t="str">
        <f t="shared" si="2"/>
        <v>13.452.058-2</v>
      </c>
      <c r="N683" s="6" t="str">
        <f t="shared" si="3"/>
        <v>Santiago Centro - Santiago - Región Metropolitana</v>
      </c>
      <c r="O683" s="4"/>
    </row>
    <row r="684">
      <c r="A684" s="1" t="s">
        <v>3913</v>
      </c>
      <c r="B684" s="1" t="s">
        <v>3914</v>
      </c>
      <c r="C684" s="1" t="s">
        <v>4218</v>
      </c>
      <c r="D684" s="1" t="s">
        <v>3129</v>
      </c>
      <c r="E684" s="1" t="s">
        <v>118</v>
      </c>
      <c r="F684" s="1" t="s">
        <v>62</v>
      </c>
      <c r="G684" s="1" t="s">
        <v>63</v>
      </c>
      <c r="H684" s="2">
        <v>1.875E7</v>
      </c>
      <c r="I684" s="1">
        <v>90.0</v>
      </c>
      <c r="J684" s="1" t="s">
        <v>28</v>
      </c>
      <c r="K684" s="5">
        <v>46139.0</v>
      </c>
      <c r="L684" s="4" t="str">
        <f t="shared" si="1"/>
        <v>Francisca Silva Contreras</v>
      </c>
      <c r="M684" s="6" t="str">
        <f t="shared" si="2"/>
        <v>17.993.339-9</v>
      </c>
      <c r="N684" s="6" t="str">
        <f t="shared" si="3"/>
        <v>Maipú - Santiago - Región Metropolitana</v>
      </c>
      <c r="O684" s="4"/>
    </row>
    <row r="685">
      <c r="A685" s="1" t="s">
        <v>3266</v>
      </c>
      <c r="B685" s="1" t="s">
        <v>3267</v>
      </c>
      <c r="C685" s="1" t="s">
        <v>3268</v>
      </c>
      <c r="D685" s="1" t="s">
        <v>126</v>
      </c>
      <c r="E685" s="1" t="s">
        <v>72</v>
      </c>
      <c r="F685" s="1" t="s">
        <v>62</v>
      </c>
      <c r="G685" s="1" t="s">
        <v>63</v>
      </c>
      <c r="H685" s="2">
        <v>1.752E7</v>
      </c>
      <c r="I685" s="1">
        <v>60.0</v>
      </c>
      <c r="J685" s="1" t="s">
        <v>97</v>
      </c>
      <c r="K685" s="5">
        <v>46165.0</v>
      </c>
      <c r="L685" s="4" t="str">
        <f t="shared" si="1"/>
        <v>Diego Espinoza Vergara</v>
      </c>
      <c r="M685" s="6" t="str">
        <f t="shared" si="2"/>
        <v>15.205.400-3</v>
      </c>
      <c r="N685" s="6" t="str">
        <f t="shared" si="3"/>
        <v>Providencia - Santiago - Región Metropolitana</v>
      </c>
      <c r="O685" s="4"/>
    </row>
    <row r="686">
      <c r="A686" s="1" t="s">
        <v>3220</v>
      </c>
      <c r="B686" s="1" t="s">
        <v>3221</v>
      </c>
      <c r="C686" s="1" t="s">
        <v>3222</v>
      </c>
      <c r="D686" s="1" t="s">
        <v>3223</v>
      </c>
      <c r="E686" s="1" t="s">
        <v>33</v>
      </c>
      <c r="F686" s="1" t="s">
        <v>33</v>
      </c>
      <c r="G686" s="1" t="s">
        <v>34</v>
      </c>
      <c r="H686" s="2">
        <v>2.127E7</v>
      </c>
      <c r="I686" s="1">
        <v>30.0</v>
      </c>
      <c r="J686" s="1" t="s">
        <v>97</v>
      </c>
      <c r="K686" s="5">
        <v>46067.0</v>
      </c>
      <c r="L686" s="4" t="str">
        <f t="shared" si="1"/>
        <v>Daniela Vergara Soto</v>
      </c>
      <c r="M686" s="6" t="str">
        <f t="shared" si="2"/>
        <v>22.218.806-5</v>
      </c>
      <c r="N686" s="6" t="str">
        <f t="shared" si="3"/>
        <v>Puerto Montt - Puerto Montt - Región de Los Lagos</v>
      </c>
      <c r="O686" s="4"/>
    </row>
    <row r="687">
      <c r="A687" s="1" t="s">
        <v>3503</v>
      </c>
      <c r="B687" s="1" t="s">
        <v>3505</v>
      </c>
      <c r="C687" s="1" t="s">
        <v>3506</v>
      </c>
      <c r="D687" s="1" t="s">
        <v>3507</v>
      </c>
      <c r="E687" s="1" t="s">
        <v>158</v>
      </c>
      <c r="F687" s="1" t="s">
        <v>158</v>
      </c>
      <c r="G687" s="1" t="s">
        <v>159</v>
      </c>
      <c r="H687" s="2">
        <v>1.584E7</v>
      </c>
      <c r="I687" s="1">
        <v>60.0</v>
      </c>
      <c r="J687" s="1" t="s">
        <v>47</v>
      </c>
      <c r="K687" s="5">
        <v>46063.0</v>
      </c>
      <c r="L687" s="4" t="str">
        <f t="shared" si="1"/>
        <v>Esteban Sepúlveda Araya</v>
      </c>
      <c r="M687" s="6" t="str">
        <f t="shared" si="2"/>
        <v>18.135.952-3</v>
      </c>
      <c r="N687" s="6" t="str">
        <f t="shared" si="3"/>
        <v>Antofagasta - Antofagasta - Región de Antofagasta</v>
      </c>
      <c r="O687" s="4"/>
    </row>
    <row r="688">
      <c r="A688" s="1" t="s">
        <v>3810</v>
      </c>
      <c r="B688" s="1" t="s">
        <v>3811</v>
      </c>
      <c r="C688" s="1" t="s">
        <v>3812</v>
      </c>
      <c r="D688" s="1" t="s">
        <v>3813</v>
      </c>
      <c r="E688" s="1" t="s">
        <v>56</v>
      </c>
      <c r="F688" s="1" t="s">
        <v>39</v>
      </c>
      <c r="G688" s="1" t="s">
        <v>40</v>
      </c>
      <c r="H688" s="2">
        <v>4050000.0</v>
      </c>
      <c r="I688" s="1">
        <v>30.0</v>
      </c>
      <c r="J688" s="1" t="s">
        <v>28</v>
      </c>
      <c r="K688" s="5">
        <v>46137.0</v>
      </c>
      <c r="L688" s="4" t="str">
        <f t="shared" si="1"/>
        <v>Fernanda Valenzuela Muñoz</v>
      </c>
      <c r="M688" s="6" t="str">
        <f t="shared" si="2"/>
        <v>14.683.944-7</v>
      </c>
      <c r="N688" s="6" t="str">
        <f t="shared" si="3"/>
        <v>Talcahuano - Concepción - Región del Biobío</v>
      </c>
      <c r="O688" s="4"/>
    </row>
    <row r="689">
      <c r="A689" s="1" t="s">
        <v>3659</v>
      </c>
      <c r="B689" s="1" t="s">
        <v>3660</v>
      </c>
      <c r="C689" s="1" t="s">
        <v>3654</v>
      </c>
      <c r="D689" s="1" t="s">
        <v>962</v>
      </c>
      <c r="E689" s="1" t="s">
        <v>194</v>
      </c>
      <c r="F689" s="1" t="s">
        <v>62</v>
      </c>
      <c r="G689" s="1" t="s">
        <v>63</v>
      </c>
      <c r="H689" s="2">
        <v>1.005E7</v>
      </c>
      <c r="I689" s="1">
        <v>0.0</v>
      </c>
      <c r="J689" s="1" t="s">
        <v>97</v>
      </c>
      <c r="K689" s="5">
        <v>46098.0</v>
      </c>
      <c r="L689" s="4" t="str">
        <f t="shared" si="1"/>
        <v>Felipe Vergara Silva</v>
      </c>
      <c r="M689" s="6" t="str">
        <f t="shared" si="2"/>
        <v>13155270-5</v>
      </c>
      <c r="N689" s="6" t="str">
        <f t="shared" si="3"/>
        <v>Las Condes - Santiago - Región Metropolitana</v>
      </c>
      <c r="O689" s="4"/>
    </row>
    <row r="690">
      <c r="A690" s="1" t="s">
        <v>1323</v>
      </c>
      <c r="B690" s="1" t="s">
        <v>1324</v>
      </c>
      <c r="C690" s="1" t="s">
        <v>4219</v>
      </c>
      <c r="D690" s="1" t="s">
        <v>271</v>
      </c>
      <c r="E690" s="1" t="s">
        <v>109</v>
      </c>
      <c r="F690" s="1" t="s">
        <v>62</v>
      </c>
      <c r="G690" s="1" t="s">
        <v>63</v>
      </c>
      <c r="H690" s="2">
        <v>1.521E7</v>
      </c>
      <c r="I690" s="1">
        <v>45.0</v>
      </c>
      <c r="J690" s="1" t="s">
        <v>97</v>
      </c>
      <c r="K690" s="5">
        <v>46231.0</v>
      </c>
      <c r="L690" s="4" t="str">
        <f t="shared" si="1"/>
        <v>Beatriz Tapia Tapia</v>
      </c>
      <c r="M690" s="6" t="str">
        <f t="shared" si="2"/>
        <v>13.560.270-4</v>
      </c>
      <c r="N690" s="6" t="str">
        <f t="shared" si="3"/>
        <v>Ñuñoa - Santiago - Región Metropolitana</v>
      </c>
      <c r="O690" s="4"/>
    </row>
    <row r="691">
      <c r="A691" s="1" t="s">
        <v>4220</v>
      </c>
      <c r="B691" s="1" t="s">
        <v>4221</v>
      </c>
      <c r="C691" s="1" t="s">
        <v>4222</v>
      </c>
      <c r="D691" s="1" t="s">
        <v>4223</v>
      </c>
      <c r="E691" s="1" t="s">
        <v>118</v>
      </c>
      <c r="F691" s="1" t="s">
        <v>62</v>
      </c>
      <c r="G691" s="1" t="s">
        <v>63</v>
      </c>
      <c r="H691" s="2">
        <v>3870000.0</v>
      </c>
      <c r="I691" s="1">
        <v>45.0</v>
      </c>
      <c r="J691" s="1" t="s">
        <v>28</v>
      </c>
      <c r="K691" s="5">
        <v>46067.0</v>
      </c>
      <c r="L691" s="4" t="str">
        <f t="shared" si="1"/>
        <v>Matías Vergara Soto</v>
      </c>
      <c r="M691" s="6" t="str">
        <f t="shared" si="2"/>
        <v>14.660.453-8</v>
      </c>
      <c r="N691" s="6" t="str">
        <f t="shared" si="3"/>
        <v>Maipú - Santiago - Región Metropolitana</v>
      </c>
      <c r="O691" s="4"/>
    </row>
    <row r="692">
      <c r="A692" s="1" t="s">
        <v>4225</v>
      </c>
      <c r="B692" s="1" t="s">
        <v>4226</v>
      </c>
      <c r="C692" s="1" t="s">
        <v>4227</v>
      </c>
      <c r="D692" s="1" t="s">
        <v>4228</v>
      </c>
      <c r="E692" s="1" t="s">
        <v>72</v>
      </c>
      <c r="F692" s="1" t="s">
        <v>62</v>
      </c>
      <c r="G692" s="1" t="s">
        <v>63</v>
      </c>
      <c r="H692" s="2">
        <v>1.26E7</v>
      </c>
      <c r="I692" s="1">
        <v>0.0</v>
      </c>
      <c r="J692" s="1" t="s">
        <v>28</v>
      </c>
      <c r="K692" s="5">
        <v>46133.0</v>
      </c>
      <c r="L692" s="4" t="str">
        <f t="shared" si="1"/>
        <v>Javiera Muñoz Rodríguez</v>
      </c>
      <c r="M692" s="6" t="str">
        <f t="shared" si="2"/>
        <v>16286124-6</v>
      </c>
      <c r="N692" s="6" t="str">
        <f t="shared" si="3"/>
        <v>Providencia - Santiago - Región Metropolitana</v>
      </c>
      <c r="O692" s="4"/>
    </row>
    <row r="693">
      <c r="A693" s="1" t="s">
        <v>420</v>
      </c>
      <c r="B693" s="1" t="s">
        <v>421</v>
      </c>
      <c r="C693" s="1" t="s">
        <v>422</v>
      </c>
      <c r="D693" s="1" t="s">
        <v>423</v>
      </c>
      <c r="E693" s="1" t="s">
        <v>25</v>
      </c>
      <c r="F693" s="1" t="s">
        <v>26</v>
      </c>
      <c r="G693" s="1" t="s">
        <v>27</v>
      </c>
      <c r="H693" s="2">
        <v>1.632E7</v>
      </c>
      <c r="I693" s="1">
        <v>0.0</v>
      </c>
      <c r="J693" s="1" t="s">
        <v>97</v>
      </c>
      <c r="K693" s="5">
        <v>46093.0</v>
      </c>
      <c r="L693" s="4" t="str">
        <f t="shared" si="1"/>
        <v>Álvaro Tapia Díaz</v>
      </c>
      <c r="M693" s="6" t="str">
        <f t="shared" si="2"/>
        <v>15.508.689-5</v>
      </c>
      <c r="N693" s="6" t="str">
        <f t="shared" si="3"/>
        <v>Viña del Mar - Valparaíso - Región de Valparaíso</v>
      </c>
      <c r="O693" s="4"/>
    </row>
    <row r="694">
      <c r="A694" s="1" t="s">
        <v>2820</v>
      </c>
      <c r="B694" s="1" t="s">
        <v>2821</v>
      </c>
      <c r="C694" s="1" t="s">
        <v>2822</v>
      </c>
      <c r="D694" s="1" t="s">
        <v>2823</v>
      </c>
      <c r="E694" s="1" t="s">
        <v>109</v>
      </c>
      <c r="F694" s="1" t="s">
        <v>62</v>
      </c>
      <c r="G694" s="1" t="s">
        <v>63</v>
      </c>
      <c r="H694" s="2">
        <v>1.099E7</v>
      </c>
      <c r="I694" s="1">
        <v>0.0</v>
      </c>
      <c r="J694" s="1" t="s">
        <v>28</v>
      </c>
      <c r="K694" s="5">
        <v>46194.0</v>
      </c>
      <c r="L694" s="4" t="str">
        <f t="shared" si="1"/>
        <v>Constanza Rojas Vergara</v>
      </c>
      <c r="M694" s="6" t="str">
        <f t="shared" si="2"/>
        <v>20087213-1</v>
      </c>
      <c r="N694" s="6" t="str">
        <f t="shared" si="3"/>
        <v>Ñuñoa - Santiago - Región Metropolitana</v>
      </c>
      <c r="O694" s="4"/>
    </row>
    <row r="695">
      <c r="A695" s="1" t="s">
        <v>4234</v>
      </c>
      <c r="B695" s="1" t="s">
        <v>4235</v>
      </c>
      <c r="C695" s="1" t="s">
        <v>4236</v>
      </c>
      <c r="D695" s="1" t="s">
        <v>3177</v>
      </c>
      <c r="E695" s="1" t="s">
        <v>109</v>
      </c>
      <c r="F695" s="1" t="s">
        <v>62</v>
      </c>
      <c r="G695" s="1" t="s">
        <v>63</v>
      </c>
      <c r="H695" s="2">
        <v>1.266E7</v>
      </c>
      <c r="I695" s="1">
        <v>120.0</v>
      </c>
      <c r="J695" s="1" t="s">
        <v>47</v>
      </c>
      <c r="K695" s="5">
        <v>46200.0</v>
      </c>
      <c r="L695" s="4" t="str">
        <f t="shared" si="1"/>
        <v>Sebastián Valenzuela Rojas</v>
      </c>
      <c r="M695" s="6" t="str">
        <f t="shared" si="2"/>
        <v>16050608-1</v>
      </c>
      <c r="N695" s="6" t="str">
        <f t="shared" si="3"/>
        <v>Ñuñoa - Santiago - Región Metropolitana</v>
      </c>
      <c r="O695" s="4"/>
    </row>
    <row r="696">
      <c r="A696" s="1" t="s">
        <v>4238</v>
      </c>
      <c r="B696" s="1" t="s">
        <v>4239</v>
      </c>
      <c r="C696" s="1" t="s">
        <v>4240</v>
      </c>
      <c r="D696" s="1" t="s">
        <v>4241</v>
      </c>
      <c r="E696" s="1" t="s">
        <v>194</v>
      </c>
      <c r="F696" s="1" t="s">
        <v>62</v>
      </c>
      <c r="G696" s="1" t="s">
        <v>63</v>
      </c>
      <c r="H696" s="2">
        <v>1.861E7</v>
      </c>
      <c r="I696" s="1">
        <v>15.0</v>
      </c>
      <c r="J696" s="1" t="s">
        <v>28</v>
      </c>
      <c r="K696" s="5">
        <v>46206.0</v>
      </c>
      <c r="L696" s="4" t="str">
        <f t="shared" si="1"/>
        <v>Sofia Rodríguez Vergara</v>
      </c>
      <c r="M696" s="6" t="str">
        <f t="shared" si="2"/>
        <v>22.064.179-3</v>
      </c>
      <c r="N696" s="6" t="str">
        <f t="shared" si="3"/>
        <v>Las Condes - Santiago - Región Metropolitana</v>
      </c>
      <c r="O696" s="4"/>
    </row>
    <row r="697">
      <c r="A697" s="1" t="s">
        <v>4242</v>
      </c>
      <c r="B697" s="1" t="s">
        <v>4243</v>
      </c>
      <c r="C697" s="1" t="s">
        <v>4244</v>
      </c>
      <c r="D697" s="1" t="s">
        <v>2040</v>
      </c>
      <c r="E697" s="1" t="s">
        <v>109</v>
      </c>
      <c r="F697" s="1" t="s">
        <v>62</v>
      </c>
      <c r="G697" s="1" t="s">
        <v>63</v>
      </c>
      <c r="H697" s="2">
        <v>2.062E7</v>
      </c>
      <c r="I697" s="1">
        <v>120.0</v>
      </c>
      <c r="J697" s="1" t="s">
        <v>28</v>
      </c>
      <c r="K697" s="5">
        <v>46208.0</v>
      </c>
      <c r="L697" s="4" t="str">
        <f t="shared" si="1"/>
        <v>Rodrigo Fuentes Vergara</v>
      </c>
      <c r="M697" s="6" t="str">
        <f t="shared" si="2"/>
        <v>19.743.139-4</v>
      </c>
      <c r="N697" s="6" t="str">
        <f t="shared" si="3"/>
        <v>Ñuñoa - Santiago - Región Metropolitana</v>
      </c>
      <c r="O697" s="4"/>
    </row>
    <row r="698">
      <c r="A698" s="1" t="s">
        <v>1797</v>
      </c>
      <c r="B698" s="1" t="s">
        <v>1798</v>
      </c>
      <c r="C698" s="1" t="s">
        <v>1786</v>
      </c>
      <c r="D698" s="1" t="s">
        <v>1801</v>
      </c>
      <c r="E698" s="1" t="s">
        <v>61</v>
      </c>
      <c r="F698" s="1" t="s">
        <v>62</v>
      </c>
      <c r="G698" s="1" t="s">
        <v>63</v>
      </c>
      <c r="H698" s="2">
        <v>1.025E7</v>
      </c>
      <c r="I698" s="1">
        <v>30.0</v>
      </c>
      <c r="J698" s="1" t="s">
        <v>97</v>
      </c>
      <c r="K698" s="5">
        <v>46197.0</v>
      </c>
      <c r="L698" s="4" t="str">
        <f t="shared" si="1"/>
        <v>Carolina Fuentes Valenzuela</v>
      </c>
      <c r="M698" s="6" t="str">
        <f t="shared" si="2"/>
        <v>17.104.224-5</v>
      </c>
      <c r="N698" s="6" t="str">
        <f t="shared" si="3"/>
        <v>Santiago Centro - Santiago - Región Metropolitana</v>
      </c>
      <c r="O698" s="4"/>
    </row>
    <row r="699">
      <c r="A699" s="1" t="s">
        <v>2727</v>
      </c>
      <c r="B699" s="1" t="s">
        <v>2728</v>
      </c>
      <c r="C699" s="1" t="s">
        <v>2729</v>
      </c>
      <c r="D699" s="1" t="s">
        <v>2730</v>
      </c>
      <c r="E699" s="1" t="s">
        <v>61</v>
      </c>
      <c r="F699" s="1" t="s">
        <v>62</v>
      </c>
      <c r="G699" s="1" t="s">
        <v>63</v>
      </c>
      <c r="H699" s="2">
        <v>1.281E7</v>
      </c>
      <c r="I699" s="1">
        <v>60.0</v>
      </c>
      <c r="J699" s="1" t="s">
        <v>28</v>
      </c>
      <c r="K699" s="5">
        <v>46182.0</v>
      </c>
      <c r="L699" s="4" t="str">
        <f t="shared" si="1"/>
        <v>Claudio Vergara Espinoza</v>
      </c>
      <c r="M699" s="6" t="str">
        <f t="shared" si="2"/>
        <v>19.008.702-7</v>
      </c>
      <c r="N699" s="6" t="str">
        <f t="shared" si="3"/>
        <v>Santiago Centro - Santiago - Región Metropolitana</v>
      </c>
      <c r="O699" s="4"/>
    </row>
    <row r="700">
      <c r="A700" s="1" t="s">
        <v>1505</v>
      </c>
      <c r="B700" s="1" t="s">
        <v>1506</v>
      </c>
      <c r="C700" s="1" t="s">
        <v>1507</v>
      </c>
      <c r="D700" s="1" t="s">
        <v>1498</v>
      </c>
      <c r="E700" s="1" t="s">
        <v>61</v>
      </c>
      <c r="F700" s="1" t="s">
        <v>62</v>
      </c>
      <c r="G700" s="1" t="s">
        <v>63</v>
      </c>
      <c r="H700" s="2">
        <v>3670000.0</v>
      </c>
      <c r="I700" s="1">
        <v>45.0</v>
      </c>
      <c r="J700" s="1" t="s">
        <v>28</v>
      </c>
      <c r="K700" s="5">
        <v>46221.0</v>
      </c>
      <c r="L700" s="4" t="str">
        <f t="shared" si="1"/>
        <v>Camila Morales Tapia</v>
      </c>
      <c r="M700" s="6" t="str">
        <f t="shared" si="2"/>
        <v>22.103.785-5</v>
      </c>
      <c r="N700" s="6" t="str">
        <f t="shared" si="3"/>
        <v>Santiago Centro - Santiago - Región Metropolitana</v>
      </c>
      <c r="O700" s="4"/>
    </row>
    <row r="701">
      <c r="A701" s="1" t="s">
        <v>4245</v>
      </c>
      <c r="B701" s="1" t="s">
        <v>4246</v>
      </c>
      <c r="C701" s="1" t="s">
        <v>4247</v>
      </c>
      <c r="D701" s="1" t="s">
        <v>4248</v>
      </c>
      <c r="E701" s="1" t="s">
        <v>118</v>
      </c>
      <c r="F701" s="1" t="s">
        <v>62</v>
      </c>
      <c r="G701" s="1" t="s">
        <v>63</v>
      </c>
      <c r="H701" s="2">
        <v>1.859E7</v>
      </c>
      <c r="I701" s="1">
        <v>90.0</v>
      </c>
      <c r="J701" s="1" t="s">
        <v>28</v>
      </c>
      <c r="K701" s="5">
        <v>46066.0</v>
      </c>
      <c r="L701" s="4" t="str">
        <f t="shared" si="1"/>
        <v>Mauricio González Silva</v>
      </c>
      <c r="M701" s="6" t="str">
        <f t="shared" si="2"/>
        <v>19062672-8</v>
      </c>
      <c r="N701" s="6" t="str">
        <f t="shared" si="3"/>
        <v>Maipú - Santiago - Región Metropolitana</v>
      </c>
      <c r="O701" s="4"/>
    </row>
    <row r="702">
      <c r="A702" s="1" t="s">
        <v>2772</v>
      </c>
      <c r="B702" s="1" t="s">
        <v>2773</v>
      </c>
      <c r="C702" s="1" t="s">
        <v>2774</v>
      </c>
      <c r="D702" s="1" t="s">
        <v>2775</v>
      </c>
      <c r="E702" s="1" t="s">
        <v>194</v>
      </c>
      <c r="F702" s="1" t="s">
        <v>62</v>
      </c>
      <c r="G702" s="1" t="s">
        <v>63</v>
      </c>
      <c r="H702" s="2">
        <v>1.663E7</v>
      </c>
      <c r="I702" s="1">
        <v>30.0</v>
      </c>
      <c r="J702" s="1" t="s">
        <v>97</v>
      </c>
      <c r="K702" s="5">
        <v>46121.0</v>
      </c>
      <c r="L702" s="4" t="str">
        <f t="shared" si="1"/>
        <v>Constanza López Díaz</v>
      </c>
      <c r="M702" s="6" t="str">
        <f t="shared" si="2"/>
        <v>15196514-5</v>
      </c>
      <c r="N702" s="6" t="str">
        <f t="shared" si="3"/>
        <v>Las Condes - Santiago - Región Metropolitana</v>
      </c>
      <c r="O702" s="4"/>
    </row>
    <row r="703">
      <c r="A703" s="1" t="s">
        <v>3317</v>
      </c>
      <c r="B703" s="1" t="s">
        <v>3318</v>
      </c>
      <c r="C703" s="1" t="s">
        <v>4253</v>
      </c>
      <c r="D703" s="1" t="s">
        <v>3321</v>
      </c>
      <c r="E703" s="1" t="s">
        <v>45</v>
      </c>
      <c r="F703" s="1" t="s">
        <v>45</v>
      </c>
      <c r="G703" s="1" t="s">
        <v>46</v>
      </c>
      <c r="H703" s="2">
        <v>1.36E7</v>
      </c>
      <c r="I703" s="1">
        <v>120.0</v>
      </c>
      <c r="J703" s="1" t="s">
        <v>73</v>
      </c>
      <c r="K703" s="5">
        <v>46147.0</v>
      </c>
      <c r="L703" s="4" t="str">
        <f t="shared" si="1"/>
        <v>Diego Pérez Espinoza</v>
      </c>
      <c r="M703" s="6" t="str">
        <f t="shared" si="2"/>
        <v>12.087.846-7</v>
      </c>
      <c r="N703" s="6" t="str">
        <f t="shared" si="3"/>
        <v>Temuco - Temuco - Región de la Araucanía</v>
      </c>
      <c r="O703" s="4"/>
    </row>
    <row r="704">
      <c r="A704" s="1" t="s">
        <v>4258</v>
      </c>
      <c r="B704" s="1" t="s">
        <v>4259</v>
      </c>
      <c r="C704" s="1" t="s">
        <v>4260</v>
      </c>
      <c r="D704" s="1" t="s">
        <v>4261</v>
      </c>
      <c r="E704" s="1" t="s">
        <v>26</v>
      </c>
      <c r="F704" s="1" t="s">
        <v>26</v>
      </c>
      <c r="G704" s="1" t="s">
        <v>27</v>
      </c>
      <c r="H704" s="2">
        <v>1.693E7</v>
      </c>
      <c r="I704" s="1">
        <v>15.0</v>
      </c>
      <c r="J704" s="1" t="s">
        <v>47</v>
      </c>
      <c r="K704" s="5">
        <v>46197.0</v>
      </c>
      <c r="L704" s="4" t="str">
        <f t="shared" si="1"/>
        <v>Macarena Rojas Vergara</v>
      </c>
      <c r="M704" s="6" t="str">
        <f t="shared" si="2"/>
        <v>17006297-5</v>
      </c>
      <c r="N704" s="6" t="str">
        <f t="shared" si="3"/>
        <v>Valparaíso - Valparaíso - Región de Valparaíso</v>
      </c>
      <c r="O704" s="4"/>
    </row>
    <row r="705">
      <c r="A705" s="1" t="s">
        <v>4060</v>
      </c>
      <c r="B705" s="1" t="s">
        <v>4061</v>
      </c>
      <c r="C705" s="1" t="s">
        <v>4062</v>
      </c>
      <c r="D705" s="1" t="s">
        <v>4063</v>
      </c>
      <c r="E705" s="1" t="s">
        <v>56</v>
      </c>
      <c r="F705" s="1" t="s">
        <v>39</v>
      </c>
      <c r="G705" s="1" t="s">
        <v>40</v>
      </c>
      <c r="H705" s="2">
        <v>1.232E7</v>
      </c>
      <c r="I705" s="1">
        <v>0.0</v>
      </c>
      <c r="J705" s="1" t="s">
        <v>47</v>
      </c>
      <c r="K705" s="5">
        <v>46225.0</v>
      </c>
      <c r="L705" s="4" t="str">
        <f t="shared" si="1"/>
        <v>Gabriel López Rodríguez</v>
      </c>
      <c r="M705" s="6" t="str">
        <f t="shared" si="2"/>
        <v>18.102.378-1</v>
      </c>
      <c r="N705" s="6" t="str">
        <f t="shared" si="3"/>
        <v>Talcahuano - Concepción - Región del Biobío</v>
      </c>
      <c r="O705" s="4"/>
    </row>
    <row r="706">
      <c r="A706" s="1" t="s">
        <v>4262</v>
      </c>
      <c r="B706" s="1" t="s">
        <v>4263</v>
      </c>
      <c r="C706" s="1" t="s">
        <v>4264</v>
      </c>
      <c r="D706" s="1" t="s">
        <v>4265</v>
      </c>
      <c r="E706" s="1" t="s">
        <v>39</v>
      </c>
      <c r="F706" s="1" t="s">
        <v>39</v>
      </c>
      <c r="G706" s="1" t="s">
        <v>40</v>
      </c>
      <c r="H706" s="2">
        <v>2.053E7</v>
      </c>
      <c r="I706" s="1">
        <v>90.0</v>
      </c>
      <c r="J706" s="1" t="s">
        <v>47</v>
      </c>
      <c r="K706" s="5">
        <v>46199.0</v>
      </c>
      <c r="L706" s="4" t="str">
        <f t="shared" si="1"/>
        <v>Marcela Fuentes Rodríguez</v>
      </c>
      <c r="M706" s="6" t="str">
        <f t="shared" si="2"/>
        <v>13.137.317-K</v>
      </c>
      <c r="N706" s="6" t="str">
        <f t="shared" si="3"/>
        <v>Concepción - Concepción - Región del Biobío</v>
      </c>
      <c r="O706" s="4"/>
    </row>
    <row r="707">
      <c r="A707" s="1" t="s">
        <v>4266</v>
      </c>
      <c r="B707" s="1" t="s">
        <v>4267</v>
      </c>
      <c r="C707" s="1" t="s">
        <v>4268</v>
      </c>
      <c r="D707" s="1" t="s">
        <v>4269</v>
      </c>
      <c r="E707" s="1" t="s">
        <v>61</v>
      </c>
      <c r="F707" s="1" t="s">
        <v>62</v>
      </c>
      <c r="G707" s="1" t="s">
        <v>63</v>
      </c>
      <c r="H707" s="2">
        <v>3440000.0</v>
      </c>
      <c r="I707" s="1">
        <v>0.0</v>
      </c>
      <c r="J707" s="1" t="s">
        <v>47</v>
      </c>
      <c r="K707" s="5">
        <v>46124.0</v>
      </c>
      <c r="L707" s="4" t="str">
        <f t="shared" si="1"/>
        <v>Rodrigo Silva González</v>
      </c>
      <c r="M707" s="6" t="str">
        <f t="shared" si="2"/>
        <v>20670432-3</v>
      </c>
      <c r="N707" s="6" t="str">
        <f t="shared" si="3"/>
        <v>Santiago Centro - Santiago - Región Metropolitana</v>
      </c>
      <c r="O707" s="4"/>
    </row>
    <row r="708">
      <c r="A708" s="1" t="s">
        <v>4274</v>
      </c>
      <c r="B708" s="1" t="s">
        <v>4275</v>
      </c>
      <c r="C708" s="1" t="s">
        <v>4276</v>
      </c>
      <c r="D708" s="1" t="s">
        <v>3732</v>
      </c>
      <c r="E708" s="1" t="s">
        <v>61</v>
      </c>
      <c r="F708" s="1" t="s">
        <v>62</v>
      </c>
      <c r="G708" s="1" t="s">
        <v>63</v>
      </c>
      <c r="H708" s="2">
        <v>1.236E7</v>
      </c>
      <c r="I708" s="1">
        <v>120.0</v>
      </c>
      <c r="J708" s="1" t="s">
        <v>47</v>
      </c>
      <c r="K708" s="5">
        <v>46217.0</v>
      </c>
      <c r="L708" s="4" t="str">
        <f t="shared" si="1"/>
        <v>Macarena Tapia Rodríguez</v>
      </c>
      <c r="M708" s="6" t="str">
        <f t="shared" si="2"/>
        <v>21.668.331-2</v>
      </c>
      <c r="N708" s="6" t="str">
        <f t="shared" si="3"/>
        <v>Santiago Centro - Santiago - Región Metropolitana</v>
      </c>
      <c r="O708" s="4"/>
    </row>
    <row r="709">
      <c r="A709" s="1" t="s">
        <v>2614</v>
      </c>
      <c r="B709" s="1" t="s">
        <v>2615</v>
      </c>
      <c r="C709" s="1" t="s">
        <v>2130</v>
      </c>
      <c r="D709" s="1" t="s">
        <v>2616</v>
      </c>
      <c r="E709" s="1" t="s">
        <v>56</v>
      </c>
      <c r="F709" s="1" t="s">
        <v>39</v>
      </c>
      <c r="G709" s="1" t="s">
        <v>40</v>
      </c>
      <c r="H709" s="2">
        <v>1.36E7</v>
      </c>
      <c r="I709" s="1">
        <v>0.0</v>
      </c>
      <c r="J709" s="1" t="s">
        <v>47</v>
      </c>
      <c r="K709" s="5">
        <v>46090.0</v>
      </c>
      <c r="L709" s="4" t="str">
        <f t="shared" si="1"/>
        <v>Claudio Rodríguez Vergara</v>
      </c>
      <c r="M709" s="6" t="str">
        <f t="shared" si="2"/>
        <v>14.442.129-8</v>
      </c>
      <c r="N709" s="6" t="str">
        <f t="shared" si="3"/>
        <v>Talcahuano - Concepción - Región del Biobío</v>
      </c>
      <c r="O709" s="4"/>
    </row>
    <row r="710">
      <c r="A710" s="1" t="s">
        <v>1492</v>
      </c>
      <c r="B710" s="1" t="s">
        <v>1494</v>
      </c>
      <c r="C710" s="1" t="s">
        <v>4278</v>
      </c>
      <c r="D710" s="1" t="s">
        <v>1498</v>
      </c>
      <c r="E710" s="1" t="s">
        <v>56</v>
      </c>
      <c r="F710" s="1" t="s">
        <v>39</v>
      </c>
      <c r="G710" s="1" t="s">
        <v>40</v>
      </c>
      <c r="H710" s="2">
        <v>1.202E7</v>
      </c>
      <c r="I710" s="1">
        <v>15.0</v>
      </c>
      <c r="J710" s="1" t="s">
        <v>47</v>
      </c>
      <c r="K710" s="5">
        <v>46059.0</v>
      </c>
      <c r="L710" s="4" t="str">
        <f t="shared" si="1"/>
        <v>Camila Morales Sepúlveda</v>
      </c>
      <c r="M710" s="6" t="str">
        <f t="shared" si="2"/>
        <v>15.793.359-4</v>
      </c>
      <c r="N710" s="6" t="str">
        <f t="shared" si="3"/>
        <v>Talcahuano - Concepción - Región del Biobío</v>
      </c>
      <c r="O710" s="4"/>
    </row>
    <row r="711">
      <c r="A711" s="1" t="s">
        <v>4005</v>
      </c>
      <c r="B711" s="1" t="s">
        <v>4006</v>
      </c>
      <c r="C711" s="1" t="s">
        <v>4007</v>
      </c>
      <c r="D711" s="1" t="s">
        <v>4008</v>
      </c>
      <c r="E711" s="1" t="s">
        <v>109</v>
      </c>
      <c r="F711" s="1" t="s">
        <v>62</v>
      </c>
      <c r="G711" s="1" t="s">
        <v>63</v>
      </c>
      <c r="H711" s="2">
        <v>1.561E7</v>
      </c>
      <c r="I711" s="1">
        <v>15.0</v>
      </c>
      <c r="J711" s="1" t="s">
        <v>28</v>
      </c>
      <c r="K711" s="5">
        <v>46096.0</v>
      </c>
      <c r="L711" s="4" t="str">
        <f t="shared" si="1"/>
        <v>Gabriel Díaz Valenzuela</v>
      </c>
      <c r="M711" s="6" t="str">
        <f t="shared" si="2"/>
        <v>14.033.341-K</v>
      </c>
      <c r="N711" s="6" t="str">
        <f t="shared" si="3"/>
        <v>Ñuñoa - Santiago - Región Metropolitana</v>
      </c>
      <c r="O711" s="4"/>
    </row>
    <row r="712">
      <c r="A712" s="1" t="s">
        <v>4279</v>
      </c>
      <c r="B712" s="1" t="s">
        <v>4280</v>
      </c>
      <c r="C712" s="1" t="s">
        <v>4281</v>
      </c>
      <c r="D712" s="1" t="s">
        <v>3455</v>
      </c>
      <c r="E712" s="1" t="s">
        <v>194</v>
      </c>
      <c r="F712" s="1" t="s">
        <v>62</v>
      </c>
      <c r="G712" s="1" t="s">
        <v>63</v>
      </c>
      <c r="H712" s="2">
        <v>1.969E7</v>
      </c>
      <c r="I712" s="1">
        <v>60.0</v>
      </c>
      <c r="J712" s="1" t="s">
        <v>20</v>
      </c>
      <c r="K712" s="5">
        <v>46205.0</v>
      </c>
      <c r="L712" s="4" t="str">
        <f t="shared" si="1"/>
        <v>Javiera Soto López</v>
      </c>
      <c r="M712" s="6" t="str">
        <f t="shared" si="2"/>
        <v>13.292.673-5</v>
      </c>
      <c r="N712" s="6" t="str">
        <f t="shared" si="3"/>
        <v>Las Condes - Santiago - Región Metropolitana</v>
      </c>
      <c r="O712" s="4"/>
    </row>
    <row r="713">
      <c r="A713" s="1" t="s">
        <v>3424</v>
      </c>
      <c r="B713" s="1" t="s">
        <v>3425</v>
      </c>
      <c r="C713" s="1" t="s">
        <v>3426</v>
      </c>
      <c r="D713" s="1" t="s">
        <v>3427</v>
      </c>
      <c r="E713" s="1" t="s">
        <v>33</v>
      </c>
      <c r="F713" s="1" t="s">
        <v>33</v>
      </c>
      <c r="G713" s="1" t="s">
        <v>34</v>
      </c>
      <c r="H713" s="2">
        <v>2.05E7</v>
      </c>
      <c r="I713" s="1">
        <v>15.0</v>
      </c>
      <c r="J713" s="1" t="s">
        <v>97</v>
      </c>
      <c r="K713" s="5">
        <v>46119.0</v>
      </c>
      <c r="L713" s="4" t="str">
        <f t="shared" si="1"/>
        <v>Esteban Contreras Contreras</v>
      </c>
      <c r="M713" s="6" t="str">
        <f t="shared" si="2"/>
        <v>12.130.613-7</v>
      </c>
      <c r="N713" s="6" t="str">
        <f t="shared" si="3"/>
        <v>Puerto Montt - Puerto Montt - Región de Los Lagos</v>
      </c>
      <c r="O713" s="4"/>
    </row>
    <row r="714">
      <c r="A714" s="1" t="s">
        <v>2809</v>
      </c>
      <c r="B714" s="1" t="s">
        <v>2811</v>
      </c>
      <c r="C714" s="1" t="s">
        <v>4286</v>
      </c>
      <c r="D714" s="1" t="s">
        <v>2814</v>
      </c>
      <c r="E714" s="1" t="s">
        <v>33</v>
      </c>
      <c r="F714" s="1" t="s">
        <v>33</v>
      </c>
      <c r="G714" s="1" t="s">
        <v>34</v>
      </c>
      <c r="H714" s="2">
        <v>2.071E7</v>
      </c>
      <c r="I714" s="1">
        <v>0.0</v>
      </c>
      <c r="J714" s="1" t="s">
        <v>73</v>
      </c>
      <c r="K714" s="5">
        <v>46193.0</v>
      </c>
      <c r="L714" s="4" t="str">
        <f t="shared" si="1"/>
        <v>Constanza Rodríguez Morales</v>
      </c>
      <c r="M714" s="6" t="str">
        <f t="shared" si="2"/>
        <v>11.789.099-K</v>
      </c>
      <c r="N714" s="6" t="str">
        <f t="shared" si="3"/>
        <v>Puerto Montt - Puerto Montt - Región de Los Lagos</v>
      </c>
      <c r="O714" s="4"/>
    </row>
    <row r="715">
      <c r="A715" s="1" t="s">
        <v>4291</v>
      </c>
      <c r="B715" s="1" t="s">
        <v>4292</v>
      </c>
      <c r="C715" s="1" t="s">
        <v>4293</v>
      </c>
      <c r="D715" s="1" t="s">
        <v>4294</v>
      </c>
      <c r="E715" s="1" t="s">
        <v>56</v>
      </c>
      <c r="F715" s="1" t="s">
        <v>39</v>
      </c>
      <c r="G715" s="1" t="s">
        <v>40</v>
      </c>
      <c r="H715" s="2">
        <v>4430000.0</v>
      </c>
      <c r="I715" s="1">
        <v>45.0</v>
      </c>
      <c r="J715" s="1" t="s">
        <v>73</v>
      </c>
      <c r="K715" s="5">
        <v>46082.0</v>
      </c>
      <c r="L715" s="4" t="str">
        <f t="shared" si="1"/>
        <v>Tomas Contreras Pérez</v>
      </c>
      <c r="M715" s="6" t="str">
        <f t="shared" si="2"/>
        <v>21929445-1</v>
      </c>
      <c r="N715" s="6" t="str">
        <f t="shared" si="3"/>
        <v>Talcahuano - Concepción - Región del Biobío</v>
      </c>
      <c r="O715" s="4"/>
    </row>
    <row r="716">
      <c r="A716" s="1" t="s">
        <v>2365</v>
      </c>
      <c r="B716" s="1" t="s">
        <v>2366</v>
      </c>
      <c r="C716" s="1" t="s">
        <v>2367</v>
      </c>
      <c r="D716" s="1" t="s">
        <v>2368</v>
      </c>
      <c r="E716" s="1" t="s">
        <v>109</v>
      </c>
      <c r="F716" s="1" t="s">
        <v>62</v>
      </c>
      <c r="G716" s="1" t="s">
        <v>63</v>
      </c>
      <c r="H716" s="2">
        <v>7930000.0</v>
      </c>
      <c r="I716" s="1">
        <v>60.0</v>
      </c>
      <c r="J716" s="1" t="s">
        <v>20</v>
      </c>
      <c r="K716" s="5">
        <v>46099.0</v>
      </c>
      <c r="L716" s="4" t="str">
        <f t="shared" si="1"/>
        <v>Catalina Sepúlveda Sepúlveda</v>
      </c>
      <c r="M716" s="6" t="str">
        <f t="shared" si="2"/>
        <v>11.711.201-3</v>
      </c>
      <c r="N716" s="6" t="str">
        <f t="shared" si="3"/>
        <v>Ñuñoa - Santiago - Región Metropolitana</v>
      </c>
      <c r="O716" s="4"/>
    </row>
    <row r="717">
      <c r="A717" s="1" t="s">
        <v>4299</v>
      </c>
      <c r="B717" s="1" t="s">
        <v>4300</v>
      </c>
      <c r="C717" s="1" t="s">
        <v>4301</v>
      </c>
      <c r="D717" s="1" t="s">
        <v>4228</v>
      </c>
      <c r="E717" s="1" t="s">
        <v>72</v>
      </c>
      <c r="F717" s="1" t="s">
        <v>62</v>
      </c>
      <c r="G717" s="1" t="s">
        <v>63</v>
      </c>
      <c r="H717" s="2">
        <v>2.014E7</v>
      </c>
      <c r="I717" s="1">
        <v>60.0</v>
      </c>
      <c r="J717" s="1" t="s">
        <v>97</v>
      </c>
      <c r="K717" s="5">
        <v>46170.0</v>
      </c>
      <c r="L717" s="4" t="str">
        <f t="shared" si="1"/>
        <v>Javier Muñoz Valenzuela</v>
      </c>
      <c r="M717" s="6" t="str">
        <f t="shared" si="2"/>
        <v>11.356.961-4</v>
      </c>
      <c r="N717" s="6" t="str">
        <f t="shared" si="3"/>
        <v>Providencia - Santiago - Región Metropolitana</v>
      </c>
      <c r="O717" s="4"/>
    </row>
    <row r="718">
      <c r="A718" s="1" t="s">
        <v>1705</v>
      </c>
      <c r="B718" s="1" t="s">
        <v>1706</v>
      </c>
      <c r="C718" s="1" t="s">
        <v>1707</v>
      </c>
      <c r="D718" s="1" t="s">
        <v>203</v>
      </c>
      <c r="E718" s="1" t="s">
        <v>61</v>
      </c>
      <c r="F718" s="1" t="s">
        <v>62</v>
      </c>
      <c r="G718" s="1" t="s">
        <v>63</v>
      </c>
      <c r="H718" s="2">
        <v>2450000.0</v>
      </c>
      <c r="I718" s="1">
        <v>0.0</v>
      </c>
      <c r="J718" s="1" t="s">
        <v>20</v>
      </c>
      <c r="K718" s="5">
        <v>46107.0</v>
      </c>
      <c r="L718" s="4" t="str">
        <f t="shared" si="1"/>
        <v>Carolina Araya Muñoz</v>
      </c>
      <c r="M718" s="6" t="str">
        <f t="shared" si="2"/>
        <v>15.362.740-2</v>
      </c>
      <c r="N718" s="6" t="str">
        <f t="shared" si="3"/>
        <v>Santiago Centro - Santiago - Región Metropolitana</v>
      </c>
      <c r="O718" s="4"/>
    </row>
    <row r="719">
      <c r="A719" s="1" t="s">
        <v>3619</v>
      </c>
      <c r="B719" s="1" t="s">
        <v>3621</v>
      </c>
      <c r="C719" s="1" t="s">
        <v>4303</v>
      </c>
      <c r="D719" s="1" t="s">
        <v>3625</v>
      </c>
      <c r="E719" s="1" t="s">
        <v>18</v>
      </c>
      <c r="F719" s="1" t="s">
        <v>18</v>
      </c>
      <c r="G719" s="1" t="s">
        <v>19</v>
      </c>
      <c r="H719" s="2">
        <v>1.802E7</v>
      </c>
      <c r="I719" s="1">
        <v>0.0</v>
      </c>
      <c r="J719" s="1" t="s">
        <v>97</v>
      </c>
      <c r="K719" s="5">
        <v>46117.0</v>
      </c>
      <c r="L719" s="4" t="str">
        <f t="shared" si="1"/>
        <v>Felipe Tapia Espinoza</v>
      </c>
      <c r="M719" s="6" t="str">
        <f t="shared" si="2"/>
        <v>17847176-8</v>
      </c>
      <c r="N719" s="6" t="str">
        <f t="shared" si="3"/>
        <v>La Serena - La Serena - Región de Coquimbo</v>
      </c>
      <c r="O719" s="4"/>
    </row>
    <row r="720">
      <c r="A720" s="1" t="s">
        <v>4304</v>
      </c>
      <c r="B720" s="1" t="s">
        <v>4306</v>
      </c>
      <c r="C720" s="1" t="s">
        <v>4308</v>
      </c>
      <c r="D720" s="1" t="s">
        <v>4310</v>
      </c>
      <c r="E720" s="1" t="s">
        <v>158</v>
      </c>
      <c r="F720" s="1" t="s">
        <v>158</v>
      </c>
      <c r="G720" s="1" t="s">
        <v>159</v>
      </c>
      <c r="H720" s="2">
        <v>1.816E7</v>
      </c>
      <c r="I720" s="1">
        <v>15.0</v>
      </c>
      <c r="J720" s="1" t="s">
        <v>20</v>
      </c>
      <c r="K720" s="5">
        <v>46219.0</v>
      </c>
      <c r="L720" s="4" t="str">
        <f t="shared" si="1"/>
        <v>Javiera Araya Valenzuela</v>
      </c>
      <c r="M720" s="6" t="str">
        <f t="shared" si="2"/>
        <v>21.116.953-6</v>
      </c>
      <c r="N720" s="6" t="str">
        <f t="shared" si="3"/>
        <v>Antofagasta - Antofagasta - Región de Antofagasta</v>
      </c>
      <c r="O720" s="4"/>
    </row>
    <row r="721">
      <c r="A721" s="1" t="s">
        <v>4312</v>
      </c>
      <c r="B721" s="1" t="s">
        <v>4313</v>
      </c>
      <c r="C721" s="1" t="s">
        <v>4314</v>
      </c>
      <c r="D721" s="1" t="s">
        <v>4315</v>
      </c>
      <c r="E721" s="1" t="s">
        <v>18</v>
      </c>
      <c r="F721" s="1" t="s">
        <v>18</v>
      </c>
      <c r="G721" s="1" t="s">
        <v>19</v>
      </c>
      <c r="H721" s="2">
        <v>1.45E7</v>
      </c>
      <c r="I721" s="1">
        <v>0.0</v>
      </c>
      <c r="J721" s="1" t="s">
        <v>73</v>
      </c>
      <c r="K721" s="5">
        <v>46095.0</v>
      </c>
      <c r="L721" s="4" t="str">
        <f t="shared" si="1"/>
        <v>Ignacio Espinoza Contreras</v>
      </c>
      <c r="M721" s="6" t="str">
        <f t="shared" si="2"/>
        <v>21343443-K</v>
      </c>
      <c r="N721" s="6" t="str">
        <f t="shared" si="3"/>
        <v>La Serena - La Serena - Región de Coquimbo</v>
      </c>
      <c r="O721" s="4"/>
    </row>
    <row r="722">
      <c r="A722" s="1" t="s">
        <v>1473</v>
      </c>
      <c r="B722" s="1" t="s">
        <v>1474</v>
      </c>
      <c r="C722" s="1" t="s">
        <v>4317</v>
      </c>
      <c r="D722" s="1" t="s">
        <v>1477</v>
      </c>
      <c r="E722" s="1" t="s">
        <v>26</v>
      </c>
      <c r="F722" s="1" t="s">
        <v>26</v>
      </c>
      <c r="G722" s="1" t="s">
        <v>27</v>
      </c>
      <c r="H722" s="2">
        <v>1.706E7</v>
      </c>
      <c r="I722" s="1">
        <v>15.0</v>
      </c>
      <c r="J722" s="1" t="s">
        <v>97</v>
      </c>
      <c r="K722" s="5">
        <v>46035.0</v>
      </c>
      <c r="L722" s="4" t="str">
        <f t="shared" si="1"/>
        <v>Camila Fuentes Vergara</v>
      </c>
      <c r="M722" s="6" t="str">
        <f t="shared" si="2"/>
        <v>15.884.916-5</v>
      </c>
      <c r="N722" s="6" t="str">
        <f t="shared" si="3"/>
        <v>Valparaíso - Valparaíso - Región de Valparaíso</v>
      </c>
      <c r="O722" s="4"/>
    </row>
    <row r="723">
      <c r="A723" s="1" t="s">
        <v>4185</v>
      </c>
      <c r="B723" s="1" t="s">
        <v>4186</v>
      </c>
      <c r="C723" s="1" t="s">
        <v>4318</v>
      </c>
      <c r="D723" s="1" t="s">
        <v>4188</v>
      </c>
      <c r="E723" s="1" t="s">
        <v>18</v>
      </c>
      <c r="F723" s="1" t="s">
        <v>18</v>
      </c>
      <c r="G723" s="1" t="s">
        <v>19</v>
      </c>
      <c r="H723" s="2">
        <v>2.171E7</v>
      </c>
      <c r="I723" s="1">
        <v>60.0</v>
      </c>
      <c r="J723" s="1" t="s">
        <v>47</v>
      </c>
      <c r="K723" s="5">
        <v>46128.0</v>
      </c>
      <c r="L723" s="4" t="str">
        <f t="shared" si="1"/>
        <v>Gonzalo Díaz Tapia</v>
      </c>
      <c r="M723" s="6" t="str">
        <f t="shared" si="2"/>
        <v>14557116-9</v>
      </c>
      <c r="N723" s="6" t="str">
        <f t="shared" si="3"/>
        <v>La Serena - La Serena - Región de Coquimbo</v>
      </c>
      <c r="O723" s="4"/>
    </row>
    <row r="724">
      <c r="A724" s="1" t="s">
        <v>4320</v>
      </c>
      <c r="B724" s="1" t="s">
        <v>4322</v>
      </c>
      <c r="C724" s="1" t="s">
        <v>4323</v>
      </c>
      <c r="D724" s="1" t="s">
        <v>4324</v>
      </c>
      <c r="E724" s="1" t="s">
        <v>56</v>
      </c>
      <c r="F724" s="1" t="s">
        <v>39</v>
      </c>
      <c r="G724" s="1" t="s">
        <v>40</v>
      </c>
      <c r="H724" s="2">
        <v>1.925E7</v>
      </c>
      <c r="I724" s="1">
        <v>45.0</v>
      </c>
      <c r="J724" s="1" t="s">
        <v>73</v>
      </c>
      <c r="K724" s="5">
        <v>46027.0</v>
      </c>
      <c r="L724" s="4" t="str">
        <f t="shared" si="1"/>
        <v>Macarena Rodríguez Díaz</v>
      </c>
      <c r="M724" s="6" t="str">
        <f t="shared" si="2"/>
        <v>21.504.216-K</v>
      </c>
      <c r="N724" s="6" t="str">
        <f t="shared" si="3"/>
        <v>Talcahuano - Concepción - Región del Biobío</v>
      </c>
      <c r="O724" s="4"/>
    </row>
    <row r="725">
      <c r="A725" s="1" t="s">
        <v>4325</v>
      </c>
      <c r="B725" s="1" t="s">
        <v>4326</v>
      </c>
      <c r="C725" s="1" t="s">
        <v>4327</v>
      </c>
      <c r="D725" s="1" t="s">
        <v>2989</v>
      </c>
      <c r="E725" s="1" t="s">
        <v>45</v>
      </c>
      <c r="F725" s="1" t="s">
        <v>45</v>
      </c>
      <c r="G725" s="1" t="s">
        <v>46</v>
      </c>
      <c r="H725" s="2">
        <v>1.793E7</v>
      </c>
      <c r="I725" s="1">
        <v>90.0</v>
      </c>
      <c r="J725" s="1" t="s">
        <v>97</v>
      </c>
      <c r="K725" s="5">
        <v>46150.0</v>
      </c>
      <c r="L725" s="4" t="str">
        <f t="shared" si="1"/>
        <v>Ignacio Pérez Muñoz</v>
      </c>
      <c r="M725" s="6" t="str">
        <f t="shared" si="2"/>
        <v>17181860-9</v>
      </c>
      <c r="N725" s="6" t="str">
        <f t="shared" si="3"/>
        <v>Temuco - Temuco - Región de la Araucanía</v>
      </c>
      <c r="O725" s="4"/>
    </row>
    <row r="726">
      <c r="A726" s="1" t="s">
        <v>4329</v>
      </c>
      <c r="B726" s="1" t="s">
        <v>4330</v>
      </c>
      <c r="C726" s="1" t="s">
        <v>4331</v>
      </c>
      <c r="D726" s="1" t="s">
        <v>4332</v>
      </c>
      <c r="E726" s="1" t="s">
        <v>109</v>
      </c>
      <c r="F726" s="1" t="s">
        <v>62</v>
      </c>
      <c r="G726" s="1" t="s">
        <v>63</v>
      </c>
      <c r="H726" s="2">
        <v>2.029E7</v>
      </c>
      <c r="I726" s="1">
        <v>120.0</v>
      </c>
      <c r="J726" s="1" t="s">
        <v>47</v>
      </c>
      <c r="K726" s="5">
        <v>46090.0</v>
      </c>
      <c r="L726" s="4" t="str">
        <f t="shared" si="1"/>
        <v>Valentina Rojas Vergara</v>
      </c>
      <c r="M726" s="6" t="str">
        <f t="shared" si="2"/>
        <v>16.481.237-2</v>
      </c>
      <c r="N726" s="6" t="str">
        <f t="shared" si="3"/>
        <v>Ñuñoa - Santiago - Región Metropolitana</v>
      </c>
      <c r="O726" s="4"/>
    </row>
    <row r="727">
      <c r="A727" s="1" t="s">
        <v>4174</v>
      </c>
      <c r="B727" s="1" t="s">
        <v>4175</v>
      </c>
      <c r="C727" s="1" t="s">
        <v>4176</v>
      </c>
      <c r="D727" s="1" t="s">
        <v>4177</v>
      </c>
      <c r="E727" s="1" t="s">
        <v>158</v>
      </c>
      <c r="F727" s="1" t="s">
        <v>158</v>
      </c>
      <c r="G727" s="1" t="s">
        <v>159</v>
      </c>
      <c r="H727" s="2">
        <v>1.93E7</v>
      </c>
      <c r="I727" s="1">
        <v>45.0</v>
      </c>
      <c r="J727" s="1" t="s">
        <v>20</v>
      </c>
      <c r="K727" s="5">
        <v>46061.0</v>
      </c>
      <c r="L727" s="4" t="str">
        <f t="shared" si="1"/>
        <v>Gonzalo Contreras González</v>
      </c>
      <c r="M727" s="6" t="str">
        <f t="shared" si="2"/>
        <v>21921753-0</v>
      </c>
      <c r="N727" s="6" t="str">
        <f t="shared" si="3"/>
        <v>Antofagasta - Antofagasta - Región de Antofagasta</v>
      </c>
      <c r="O727" s="4"/>
    </row>
    <row r="728">
      <c r="A728" s="1" t="s">
        <v>1571</v>
      </c>
      <c r="B728" s="1" t="s">
        <v>1572</v>
      </c>
      <c r="C728" s="1" t="s">
        <v>1573</v>
      </c>
      <c r="D728" s="1" t="s">
        <v>1574</v>
      </c>
      <c r="E728" s="1" t="s">
        <v>45</v>
      </c>
      <c r="F728" s="1" t="s">
        <v>45</v>
      </c>
      <c r="G728" s="1" t="s">
        <v>46</v>
      </c>
      <c r="H728" s="2">
        <v>2680000.0</v>
      </c>
      <c r="I728" s="1">
        <v>60.0</v>
      </c>
      <c r="J728" s="1" t="s">
        <v>97</v>
      </c>
      <c r="K728" s="5">
        <v>46097.0</v>
      </c>
      <c r="L728" s="4" t="str">
        <f t="shared" si="1"/>
        <v>Camila Rojas Tapia</v>
      </c>
      <c r="M728" s="6" t="str">
        <f t="shared" si="2"/>
        <v>12.684.699-1</v>
      </c>
      <c r="N728" s="6" t="str">
        <f t="shared" si="3"/>
        <v>Temuco - Temuco - Región de la Araucanía</v>
      </c>
      <c r="O728" s="4"/>
    </row>
    <row r="729">
      <c r="A729" s="1" t="s">
        <v>2453</v>
      </c>
      <c r="B729" s="1" t="s">
        <v>2454</v>
      </c>
      <c r="C729" s="1" t="s">
        <v>2456</v>
      </c>
      <c r="D729" s="1" t="s">
        <v>2458</v>
      </c>
      <c r="E729" s="1" t="s">
        <v>39</v>
      </c>
      <c r="F729" s="1" t="s">
        <v>39</v>
      </c>
      <c r="G729" s="1" t="s">
        <v>40</v>
      </c>
      <c r="H729" s="2">
        <v>1.649E7</v>
      </c>
      <c r="I729" s="1">
        <v>45.0</v>
      </c>
      <c r="J729" s="1" t="s">
        <v>20</v>
      </c>
      <c r="K729" s="5">
        <v>46068.0</v>
      </c>
      <c r="L729" s="4" t="str">
        <f t="shared" si="1"/>
        <v>Claudio Araya Fuentes</v>
      </c>
      <c r="M729" s="6" t="str">
        <f t="shared" si="2"/>
        <v>15.251.345-3</v>
      </c>
      <c r="N729" s="6" t="str">
        <f t="shared" si="3"/>
        <v>Concepción - Concepción - Región del Biobío</v>
      </c>
      <c r="O729" s="4"/>
    </row>
    <row r="730">
      <c r="A730" s="1" t="s">
        <v>4333</v>
      </c>
      <c r="B730" s="1" t="s">
        <v>4334</v>
      </c>
      <c r="C730" s="1" t="s">
        <v>4335</v>
      </c>
      <c r="D730" s="1" t="s">
        <v>2409</v>
      </c>
      <c r="E730" s="1" t="s">
        <v>109</v>
      </c>
      <c r="F730" s="1" t="s">
        <v>62</v>
      </c>
      <c r="G730" s="1" t="s">
        <v>63</v>
      </c>
      <c r="H730" s="2">
        <v>1.629E7</v>
      </c>
      <c r="I730" s="1">
        <v>120.0</v>
      </c>
      <c r="J730" s="1" t="s">
        <v>73</v>
      </c>
      <c r="K730" s="5">
        <v>46161.0</v>
      </c>
      <c r="L730" s="4" t="str">
        <f t="shared" si="1"/>
        <v>Javiera Silva Araya</v>
      </c>
      <c r="M730" s="6" t="str">
        <f t="shared" si="2"/>
        <v>19.479.808-K</v>
      </c>
      <c r="N730" s="6" t="str">
        <f t="shared" si="3"/>
        <v>Ñuñoa - Santiago - Región Metropolitana</v>
      </c>
      <c r="O730" s="4"/>
    </row>
    <row r="731">
      <c r="A731" s="1" t="s">
        <v>4287</v>
      </c>
      <c r="B731" s="1" t="s">
        <v>4288</v>
      </c>
      <c r="C731" s="1" t="s">
        <v>4336</v>
      </c>
      <c r="D731" s="1" t="s">
        <v>4290</v>
      </c>
      <c r="E731" s="1" t="s">
        <v>158</v>
      </c>
      <c r="F731" s="1" t="s">
        <v>158</v>
      </c>
      <c r="G731" s="1" t="s">
        <v>159</v>
      </c>
      <c r="H731" s="2">
        <v>5340000.0</v>
      </c>
      <c r="I731" s="1">
        <v>90.0</v>
      </c>
      <c r="J731" s="1" t="s">
        <v>73</v>
      </c>
      <c r="K731" s="5">
        <v>46080.0</v>
      </c>
      <c r="L731" s="4" t="str">
        <f t="shared" si="1"/>
        <v>Hernán Araya Silva</v>
      </c>
      <c r="M731" s="6" t="str">
        <f t="shared" si="2"/>
        <v>16460400-8</v>
      </c>
      <c r="N731" s="6" t="str">
        <f t="shared" si="3"/>
        <v>Antofagasta - Antofagasta - Región de Antofagasta</v>
      </c>
      <c r="O731" s="4"/>
    </row>
    <row r="732">
      <c r="A732" s="1" t="s">
        <v>4337</v>
      </c>
      <c r="B732" s="1" t="s">
        <v>4338</v>
      </c>
      <c r="C732" s="1" t="s">
        <v>4339</v>
      </c>
      <c r="D732" s="1" t="s">
        <v>4340</v>
      </c>
      <c r="E732" s="1" t="s">
        <v>45</v>
      </c>
      <c r="F732" s="1" t="s">
        <v>45</v>
      </c>
      <c r="G732" s="1" t="s">
        <v>46</v>
      </c>
      <c r="H732" s="2">
        <v>1.137E7</v>
      </c>
      <c r="I732" s="1">
        <v>45.0</v>
      </c>
      <c r="J732" s="1" t="s">
        <v>47</v>
      </c>
      <c r="K732" s="5">
        <v>46047.0</v>
      </c>
      <c r="L732" s="4" t="str">
        <f t="shared" si="1"/>
        <v>Paula Muñoz Pérez</v>
      </c>
      <c r="M732" s="6" t="str">
        <f t="shared" si="2"/>
        <v>15.595.705-8</v>
      </c>
      <c r="N732" s="6" t="str">
        <f t="shared" si="3"/>
        <v>Temuco - Temuco - Región de la Araucanía</v>
      </c>
      <c r="O732" s="4"/>
    </row>
    <row r="733">
      <c r="A733" s="1" t="s">
        <v>4342</v>
      </c>
      <c r="B733" s="1" t="s">
        <v>4343</v>
      </c>
      <c r="C733" s="1" t="s">
        <v>4344</v>
      </c>
      <c r="D733" s="1" t="s">
        <v>4345</v>
      </c>
      <c r="E733" s="1" t="s">
        <v>39</v>
      </c>
      <c r="F733" s="1" t="s">
        <v>39</v>
      </c>
      <c r="G733" s="1" t="s">
        <v>40</v>
      </c>
      <c r="H733" s="2">
        <v>2770000.0</v>
      </c>
      <c r="I733" s="1">
        <v>0.0</v>
      </c>
      <c r="J733" s="1" t="s">
        <v>20</v>
      </c>
      <c r="K733" s="5">
        <v>46125.0</v>
      </c>
      <c r="L733" s="4" t="str">
        <f t="shared" si="1"/>
        <v>Ignacio Vergara González</v>
      </c>
      <c r="M733" s="6" t="str">
        <f t="shared" si="2"/>
        <v>19.077.235-7</v>
      </c>
      <c r="N733" s="6" t="str">
        <f t="shared" si="3"/>
        <v>Concepción - Concepción - Región del Biobío</v>
      </c>
      <c r="O733" s="4"/>
    </row>
    <row r="734">
      <c r="A734" s="1" t="s">
        <v>1353</v>
      </c>
      <c r="B734" s="1" t="s">
        <v>1354</v>
      </c>
      <c r="C734" s="1" t="s">
        <v>4346</v>
      </c>
      <c r="D734" s="1" t="s">
        <v>1356</v>
      </c>
      <c r="E734" s="1" t="s">
        <v>158</v>
      </c>
      <c r="F734" s="1" t="s">
        <v>158</v>
      </c>
      <c r="G734" s="1" t="s">
        <v>159</v>
      </c>
      <c r="H734" s="2">
        <v>9160000.0</v>
      </c>
      <c r="I734" s="1">
        <v>90.0</v>
      </c>
      <c r="J734" s="1" t="s">
        <v>47</v>
      </c>
      <c r="K734" s="5">
        <v>46104.0</v>
      </c>
      <c r="L734" s="4" t="str">
        <f t="shared" si="1"/>
        <v>Beatriz Valenzuela Rodríguez</v>
      </c>
      <c r="M734" s="6" t="str">
        <f t="shared" si="2"/>
        <v>21.006.193-8</v>
      </c>
      <c r="N734" s="6" t="str">
        <f t="shared" si="3"/>
        <v>Antofagasta - Antofagasta - Región de Antofagasta</v>
      </c>
      <c r="O734" s="4"/>
    </row>
    <row r="735">
      <c r="A735" s="1" t="s">
        <v>150</v>
      </c>
      <c r="B735" s="1" t="s">
        <v>151</v>
      </c>
      <c r="C735" s="1" t="s">
        <v>154</v>
      </c>
      <c r="D735" s="1" t="s">
        <v>156</v>
      </c>
      <c r="E735" s="1" t="s">
        <v>158</v>
      </c>
      <c r="F735" s="1" t="s">
        <v>158</v>
      </c>
      <c r="G735" s="1" t="s">
        <v>159</v>
      </c>
      <c r="H735" s="2">
        <v>7870000.0</v>
      </c>
      <c r="I735" s="1">
        <v>45.0</v>
      </c>
      <c r="J735" s="1" t="s">
        <v>97</v>
      </c>
      <c r="K735" s="5">
        <v>46180.0</v>
      </c>
      <c r="L735" s="4" t="str">
        <f t="shared" si="1"/>
        <v>Álvaro Contreras Pérez</v>
      </c>
      <c r="M735" s="6" t="str">
        <f t="shared" si="2"/>
        <v>18.661.277-6</v>
      </c>
      <c r="N735" s="6" t="str">
        <f t="shared" si="3"/>
        <v>Antofagasta - Antofagasta - Región de Antofagasta</v>
      </c>
      <c r="O735" s="4"/>
    </row>
    <row r="736">
      <c r="A736" s="1" t="s">
        <v>3128</v>
      </c>
      <c r="B736" s="1" t="s">
        <v>3130</v>
      </c>
      <c r="C736" s="1" t="s">
        <v>3131</v>
      </c>
      <c r="D736" s="1" t="s">
        <v>3124</v>
      </c>
      <c r="E736" s="1" t="s">
        <v>109</v>
      </c>
      <c r="F736" s="1" t="s">
        <v>62</v>
      </c>
      <c r="G736" s="1" t="s">
        <v>63</v>
      </c>
      <c r="H736" s="2">
        <v>4850000.0</v>
      </c>
      <c r="I736" s="1">
        <v>90.0</v>
      </c>
      <c r="J736" s="1" t="s">
        <v>28</v>
      </c>
      <c r="K736" s="5">
        <v>46176.0</v>
      </c>
      <c r="L736" s="4" t="str">
        <f t="shared" si="1"/>
        <v>Daniela Muñoz Pérez</v>
      </c>
      <c r="M736" s="6" t="str">
        <f t="shared" si="2"/>
        <v>22321388-5</v>
      </c>
      <c r="N736" s="6" t="str">
        <f t="shared" si="3"/>
        <v>Ñuñoa - Santiago - Región Metropolitana</v>
      </c>
      <c r="O736" s="4"/>
    </row>
    <row r="737">
      <c r="A737" s="1" t="s">
        <v>4347</v>
      </c>
      <c r="B737" s="1" t="s">
        <v>4348</v>
      </c>
      <c r="C737" s="1" t="s">
        <v>4350</v>
      </c>
      <c r="D737" s="1" t="s">
        <v>4351</v>
      </c>
      <c r="E737" s="1" t="s">
        <v>25</v>
      </c>
      <c r="F737" s="1" t="s">
        <v>26</v>
      </c>
      <c r="G737" s="1" t="s">
        <v>27</v>
      </c>
      <c r="H737" s="2">
        <v>2.061E7</v>
      </c>
      <c r="I737" s="1">
        <v>90.0</v>
      </c>
      <c r="J737" s="1" t="s">
        <v>97</v>
      </c>
      <c r="K737" s="5">
        <v>46227.0</v>
      </c>
      <c r="L737" s="4" t="str">
        <f t="shared" si="1"/>
        <v>Ignacio Pérez Rodríguez</v>
      </c>
      <c r="M737" s="6" t="str">
        <f t="shared" si="2"/>
        <v>11.394.486-4</v>
      </c>
      <c r="N737" s="6" t="str">
        <f t="shared" si="3"/>
        <v>Viña del Mar - Valparaíso - Región de Valparaíso</v>
      </c>
      <c r="O737" s="4"/>
    </row>
    <row r="738">
      <c r="A738" s="1" t="s">
        <v>4352</v>
      </c>
      <c r="B738" s="1" t="s">
        <v>4353</v>
      </c>
      <c r="C738" s="1" t="s">
        <v>4354</v>
      </c>
      <c r="D738" s="1" t="s">
        <v>4355</v>
      </c>
      <c r="E738" s="1" t="s">
        <v>118</v>
      </c>
      <c r="F738" s="1" t="s">
        <v>62</v>
      </c>
      <c r="G738" s="1" t="s">
        <v>63</v>
      </c>
      <c r="H738" s="2">
        <v>3710000.0</v>
      </c>
      <c r="I738" s="1">
        <v>0.0</v>
      </c>
      <c r="J738" s="1" t="s">
        <v>20</v>
      </c>
      <c r="K738" s="5">
        <v>46065.0</v>
      </c>
      <c r="L738" s="4" t="str">
        <f t="shared" si="1"/>
        <v>Marcela Valenzuela Muñoz</v>
      </c>
      <c r="M738" s="6" t="str">
        <f t="shared" si="2"/>
        <v>15.578.153-2</v>
      </c>
      <c r="N738" s="6" t="str">
        <f t="shared" si="3"/>
        <v>Maipú - Santiago - Región Metropolitana</v>
      </c>
      <c r="O738" s="4"/>
    </row>
    <row r="739">
      <c r="A739" s="1" t="s">
        <v>4356</v>
      </c>
      <c r="B739" s="1" t="s">
        <v>4357</v>
      </c>
      <c r="C739" s="1" t="s">
        <v>4358</v>
      </c>
      <c r="D739" s="1" t="s">
        <v>4359</v>
      </c>
      <c r="E739" s="1" t="s">
        <v>26</v>
      </c>
      <c r="F739" s="1" t="s">
        <v>26</v>
      </c>
      <c r="G739" s="1" t="s">
        <v>27</v>
      </c>
      <c r="H739" s="2">
        <v>1.932E7</v>
      </c>
      <c r="I739" s="1">
        <v>15.0</v>
      </c>
      <c r="J739" s="1" t="s">
        <v>47</v>
      </c>
      <c r="K739" s="5">
        <v>46101.0</v>
      </c>
      <c r="L739" s="4" t="str">
        <f t="shared" si="1"/>
        <v>Matías Valenzuela Araya</v>
      </c>
      <c r="M739" s="6" t="str">
        <f t="shared" si="2"/>
        <v>19556534-4</v>
      </c>
      <c r="N739" s="6" t="str">
        <f t="shared" si="3"/>
        <v>Valparaíso - Valparaíso - Región de Valparaíso</v>
      </c>
      <c r="O739" s="4"/>
    </row>
    <row r="740">
      <c r="A740" s="1" t="s">
        <v>3821</v>
      </c>
      <c r="B740" s="1" t="s">
        <v>3822</v>
      </c>
      <c r="C740" s="1" t="s">
        <v>4360</v>
      </c>
      <c r="D740" s="1" t="s">
        <v>3824</v>
      </c>
      <c r="E740" s="1" t="s">
        <v>45</v>
      </c>
      <c r="F740" s="1" t="s">
        <v>45</v>
      </c>
      <c r="G740" s="1" t="s">
        <v>46</v>
      </c>
      <c r="H740" s="2">
        <v>1.617E7</v>
      </c>
      <c r="I740" s="1">
        <v>0.0</v>
      </c>
      <c r="J740" s="1" t="s">
        <v>20</v>
      </c>
      <c r="K740" s="5">
        <v>46212.0</v>
      </c>
      <c r="L740" s="4" t="str">
        <f t="shared" si="1"/>
        <v>Francisca Contreras Vergara</v>
      </c>
      <c r="M740" s="6" t="str">
        <f t="shared" si="2"/>
        <v>21.664.994-6</v>
      </c>
      <c r="N740" s="6" t="str">
        <f t="shared" si="3"/>
        <v>Temuco - Temuco - Región de la Araucanía</v>
      </c>
      <c r="O740" s="4"/>
    </row>
    <row r="741">
      <c r="A741" s="1" t="s">
        <v>4362</v>
      </c>
      <c r="B741" s="1" t="s">
        <v>4363</v>
      </c>
      <c r="C741" s="1" t="s">
        <v>4364</v>
      </c>
      <c r="D741" s="1" t="s">
        <v>4365</v>
      </c>
      <c r="E741" s="1" t="s">
        <v>158</v>
      </c>
      <c r="F741" s="1" t="s">
        <v>158</v>
      </c>
      <c r="G741" s="1" t="s">
        <v>159</v>
      </c>
      <c r="H741" s="2">
        <v>1.209E7</v>
      </c>
      <c r="I741" s="1">
        <v>45.0</v>
      </c>
      <c r="J741" s="1" t="s">
        <v>20</v>
      </c>
      <c r="K741" s="5">
        <v>46083.0</v>
      </c>
      <c r="L741" s="4" t="str">
        <f t="shared" si="1"/>
        <v>Sebastián López Espinoza</v>
      </c>
      <c r="M741" s="6" t="str">
        <f t="shared" si="2"/>
        <v>16.617.720-K</v>
      </c>
      <c r="N741" s="6" t="str">
        <f t="shared" si="3"/>
        <v>Antofagasta - Antofagasta - Región de Antofagasta</v>
      </c>
      <c r="O741" s="4"/>
    </row>
    <row r="742">
      <c r="A742" s="1" t="s">
        <v>4366</v>
      </c>
      <c r="B742" s="1" t="s">
        <v>4367</v>
      </c>
      <c r="C742" s="1" t="s">
        <v>4368</v>
      </c>
      <c r="D742" s="1" t="s">
        <v>4369</v>
      </c>
      <c r="E742" s="1" t="s">
        <v>118</v>
      </c>
      <c r="F742" s="1" t="s">
        <v>62</v>
      </c>
      <c r="G742" s="1" t="s">
        <v>63</v>
      </c>
      <c r="H742" s="2">
        <v>1.394E7</v>
      </c>
      <c r="I742" s="1">
        <v>30.0</v>
      </c>
      <c r="J742" s="1" t="s">
        <v>97</v>
      </c>
      <c r="K742" s="5">
        <v>46040.0</v>
      </c>
      <c r="L742" s="4" t="str">
        <f t="shared" si="1"/>
        <v>Valentina Silva Soto</v>
      </c>
      <c r="M742" s="6" t="str">
        <f t="shared" si="2"/>
        <v>13374637-1</v>
      </c>
      <c r="N742" s="6" t="str">
        <f t="shared" si="3"/>
        <v>Maipú - Santiago - Región Metropolitana</v>
      </c>
      <c r="O742" s="4"/>
    </row>
    <row r="743">
      <c r="A743" s="1" t="s">
        <v>4370</v>
      </c>
      <c r="B743" s="1" t="s">
        <v>4371</v>
      </c>
      <c r="C743" s="1" t="s">
        <v>4372</v>
      </c>
      <c r="D743" s="1" t="s">
        <v>4373</v>
      </c>
      <c r="E743" s="1" t="s">
        <v>56</v>
      </c>
      <c r="F743" s="1" t="s">
        <v>39</v>
      </c>
      <c r="G743" s="1" t="s">
        <v>40</v>
      </c>
      <c r="H743" s="2">
        <v>8450000.0</v>
      </c>
      <c r="I743" s="1">
        <v>90.0</v>
      </c>
      <c r="J743" s="1" t="s">
        <v>20</v>
      </c>
      <c r="K743" s="5">
        <v>46081.0</v>
      </c>
      <c r="L743" s="4" t="str">
        <f t="shared" si="1"/>
        <v>Sebastián Pérez Contreras</v>
      </c>
      <c r="M743" s="6" t="str">
        <f t="shared" si="2"/>
        <v>19.637.927-2</v>
      </c>
      <c r="N743" s="6" t="str">
        <f t="shared" si="3"/>
        <v>Talcahuano - Concepción - Región del Biobío</v>
      </c>
      <c r="O743" s="4"/>
    </row>
    <row r="744">
      <c r="A744" s="1" t="s">
        <v>2306</v>
      </c>
      <c r="B744" s="1" t="s">
        <v>2307</v>
      </c>
      <c r="C744" s="1" t="s">
        <v>2308</v>
      </c>
      <c r="D744" s="1" t="s">
        <v>2309</v>
      </c>
      <c r="E744" s="1" t="s">
        <v>18</v>
      </c>
      <c r="F744" s="1" t="s">
        <v>18</v>
      </c>
      <c r="G744" s="1" t="s">
        <v>19</v>
      </c>
      <c r="H744" s="2">
        <v>9920000.0</v>
      </c>
      <c r="I744" s="1">
        <v>90.0</v>
      </c>
      <c r="J744" s="1" t="s">
        <v>73</v>
      </c>
      <c r="K744" s="5">
        <v>46048.0</v>
      </c>
      <c r="L744" s="4" t="str">
        <f t="shared" si="1"/>
        <v>Catalina Rodríguez Fuentes</v>
      </c>
      <c r="M744" s="6" t="str">
        <f t="shared" si="2"/>
        <v>13.705.155-9</v>
      </c>
      <c r="N744" s="6" t="str">
        <f t="shared" si="3"/>
        <v>La Serena - La Serena - Región de Coquimbo</v>
      </c>
      <c r="O744" s="4"/>
    </row>
    <row r="745">
      <c r="A745" s="1" t="s">
        <v>4375</v>
      </c>
      <c r="B745" s="1" t="s">
        <v>4376</v>
      </c>
      <c r="C745" s="1" t="s">
        <v>4378</v>
      </c>
      <c r="D745" s="1" t="s">
        <v>4379</v>
      </c>
      <c r="E745" s="1" t="s">
        <v>26</v>
      </c>
      <c r="F745" s="1" t="s">
        <v>26</v>
      </c>
      <c r="G745" s="1" t="s">
        <v>27</v>
      </c>
      <c r="H745" s="2">
        <v>3350000.0</v>
      </c>
      <c r="I745" s="1">
        <v>60.0</v>
      </c>
      <c r="J745" s="1" t="s">
        <v>47</v>
      </c>
      <c r="K745" s="5">
        <v>46117.0</v>
      </c>
      <c r="L745" s="4" t="str">
        <f t="shared" si="1"/>
        <v>Javier López Fuentes</v>
      </c>
      <c r="M745" s="6" t="str">
        <f t="shared" si="2"/>
        <v>16186901-1</v>
      </c>
      <c r="N745" s="6" t="str">
        <f t="shared" si="3"/>
        <v>Valparaíso - Valparaíso - Región de Valparaíso</v>
      </c>
      <c r="O745" s="4"/>
    </row>
    <row r="746">
      <c r="A746" s="1" t="s">
        <v>3120</v>
      </c>
      <c r="B746" s="1" t="s">
        <v>3122</v>
      </c>
      <c r="C746" s="1" t="s">
        <v>3123</v>
      </c>
      <c r="D746" s="1" t="s">
        <v>3124</v>
      </c>
      <c r="E746" s="1" t="s">
        <v>158</v>
      </c>
      <c r="F746" s="1" t="s">
        <v>158</v>
      </c>
      <c r="G746" s="1" t="s">
        <v>159</v>
      </c>
      <c r="H746" s="2">
        <v>1.278E7</v>
      </c>
      <c r="I746" s="1">
        <v>0.0</v>
      </c>
      <c r="J746" s="1" t="s">
        <v>47</v>
      </c>
      <c r="K746" s="5">
        <v>46225.0</v>
      </c>
      <c r="L746" s="4" t="str">
        <f t="shared" si="1"/>
        <v>Daniela Muñoz González</v>
      </c>
      <c r="M746" s="6" t="str">
        <f t="shared" si="2"/>
        <v>12406274-K</v>
      </c>
      <c r="N746" s="6" t="str">
        <f t="shared" si="3"/>
        <v>Antofagasta - Antofagasta - Región de Antofagasta</v>
      </c>
      <c r="O746" s="4"/>
    </row>
    <row r="747">
      <c r="A747" s="1" t="s">
        <v>3401</v>
      </c>
      <c r="B747" s="1" t="s">
        <v>3402</v>
      </c>
      <c r="C747" s="1" t="s">
        <v>3403</v>
      </c>
      <c r="D747" s="1" t="s">
        <v>3404</v>
      </c>
      <c r="E747" s="1" t="s">
        <v>56</v>
      </c>
      <c r="F747" s="1" t="s">
        <v>39</v>
      </c>
      <c r="G747" s="1" t="s">
        <v>40</v>
      </c>
      <c r="H747" s="2">
        <v>9370000.0</v>
      </c>
      <c r="I747" s="1">
        <v>0.0</v>
      </c>
      <c r="J747" s="1" t="s">
        <v>73</v>
      </c>
      <c r="K747" s="5">
        <v>46163.0</v>
      </c>
      <c r="L747" s="4" t="str">
        <f t="shared" si="1"/>
        <v>Diego Valenzuela López</v>
      </c>
      <c r="M747" s="6" t="str">
        <f t="shared" si="2"/>
        <v>11.365.738-5</v>
      </c>
      <c r="N747" s="6" t="str">
        <f t="shared" si="3"/>
        <v>Talcahuano - Concepción - Región del Biobío</v>
      </c>
      <c r="O747" s="4"/>
    </row>
    <row r="748">
      <c r="A748" s="1" t="s">
        <v>533</v>
      </c>
      <c r="B748" s="1" t="s">
        <v>535</v>
      </c>
      <c r="C748" s="1" t="s">
        <v>536</v>
      </c>
      <c r="D748" s="1" t="s">
        <v>538</v>
      </c>
      <c r="E748" s="1" t="s">
        <v>33</v>
      </c>
      <c r="F748" s="1" t="s">
        <v>33</v>
      </c>
      <c r="G748" s="1" t="s">
        <v>34</v>
      </c>
      <c r="H748" s="2">
        <v>1.566E7</v>
      </c>
      <c r="I748" s="1">
        <v>90.0</v>
      </c>
      <c r="J748" s="1" t="s">
        <v>73</v>
      </c>
      <c r="K748" s="5">
        <v>46100.0</v>
      </c>
      <c r="L748" s="4" t="str">
        <f t="shared" si="1"/>
        <v>Andrea Contreras Díaz</v>
      </c>
      <c r="M748" s="6" t="str">
        <f t="shared" si="2"/>
        <v>14.068.812-0</v>
      </c>
      <c r="N748" s="6" t="str">
        <f t="shared" si="3"/>
        <v>Puerto Montt - Puerto Montt - Región de Los Lagos</v>
      </c>
      <c r="O748" s="4"/>
    </row>
    <row r="749">
      <c r="A749" s="1" t="s">
        <v>3469</v>
      </c>
      <c r="B749" s="1" t="s">
        <v>3471</v>
      </c>
      <c r="C749" s="1" t="s">
        <v>3472</v>
      </c>
      <c r="D749" s="1" t="s">
        <v>3473</v>
      </c>
      <c r="E749" s="1" t="s">
        <v>45</v>
      </c>
      <c r="F749" s="1" t="s">
        <v>45</v>
      </c>
      <c r="G749" s="1" t="s">
        <v>46</v>
      </c>
      <c r="H749" s="2">
        <v>1.513E7</v>
      </c>
      <c r="I749" s="1">
        <v>90.0</v>
      </c>
      <c r="J749" s="1" t="s">
        <v>20</v>
      </c>
      <c r="K749" s="5">
        <v>46219.0</v>
      </c>
      <c r="L749" s="4" t="str">
        <f t="shared" si="1"/>
        <v>Esteban González González</v>
      </c>
      <c r="M749" s="6" t="str">
        <f t="shared" si="2"/>
        <v>14.151.650-3</v>
      </c>
      <c r="N749" s="6" t="str">
        <f t="shared" si="3"/>
        <v>Temuco - Temuco - Región de la Araucanía</v>
      </c>
      <c r="O749" s="4"/>
    </row>
    <row r="750">
      <c r="A750" s="1" t="s">
        <v>4382</v>
      </c>
      <c r="B750" s="1" t="s">
        <v>4383</v>
      </c>
      <c r="C750" s="1" t="s">
        <v>4384</v>
      </c>
      <c r="D750" s="1" t="s">
        <v>2887</v>
      </c>
      <c r="E750" s="1" t="s">
        <v>158</v>
      </c>
      <c r="F750" s="1" t="s">
        <v>158</v>
      </c>
      <c r="G750" s="1" t="s">
        <v>159</v>
      </c>
      <c r="H750" s="2">
        <v>1.722E7</v>
      </c>
      <c r="I750" s="1">
        <v>30.0</v>
      </c>
      <c r="J750" s="1" t="s">
        <v>47</v>
      </c>
      <c r="K750" s="5">
        <v>46149.0</v>
      </c>
      <c r="L750" s="4" t="str">
        <f t="shared" si="1"/>
        <v>Javiera Vergara Rojas</v>
      </c>
      <c r="M750" s="6" t="str">
        <f t="shared" si="2"/>
        <v>20.261.325-7</v>
      </c>
      <c r="N750" s="6" t="str">
        <f t="shared" si="3"/>
        <v>Antofagasta - Antofagasta - Región de Antofagasta</v>
      </c>
      <c r="O750" s="4"/>
    </row>
    <row r="751">
      <c r="A751" s="1" t="s">
        <v>3228</v>
      </c>
      <c r="B751" s="1" t="s">
        <v>3229</v>
      </c>
      <c r="C751" s="1" t="s">
        <v>4388</v>
      </c>
      <c r="D751" s="1" t="s">
        <v>1598</v>
      </c>
      <c r="E751" s="1" t="s">
        <v>194</v>
      </c>
      <c r="F751" s="1" t="s">
        <v>62</v>
      </c>
      <c r="G751" s="1" t="s">
        <v>63</v>
      </c>
      <c r="H751" s="2">
        <v>6360000.0</v>
      </c>
      <c r="I751" s="1">
        <v>90.0</v>
      </c>
      <c r="J751" s="1" t="s">
        <v>47</v>
      </c>
      <c r="K751" s="5">
        <v>46072.0</v>
      </c>
      <c r="L751" s="4" t="str">
        <f t="shared" si="1"/>
        <v>Diego Araya Espinoza</v>
      </c>
      <c r="M751" s="6" t="str">
        <f t="shared" si="2"/>
        <v>11158641-2</v>
      </c>
      <c r="N751" s="6" t="str">
        <f t="shared" si="3"/>
        <v>Las Condes - Santiago - Región Metropolitana</v>
      </c>
      <c r="O751" s="4"/>
    </row>
    <row r="752">
      <c r="A752" s="1" t="s">
        <v>4390</v>
      </c>
      <c r="B752" s="1" t="s">
        <v>4391</v>
      </c>
      <c r="C752" s="1" t="s">
        <v>4392</v>
      </c>
      <c r="D752" s="1" t="s">
        <v>2690</v>
      </c>
      <c r="E752" s="1" t="s">
        <v>61</v>
      </c>
      <c r="F752" s="1" t="s">
        <v>62</v>
      </c>
      <c r="G752" s="1" t="s">
        <v>63</v>
      </c>
      <c r="H752" s="2">
        <v>1.295E7</v>
      </c>
      <c r="I752" s="1">
        <v>15.0</v>
      </c>
      <c r="J752" s="1" t="s">
        <v>47</v>
      </c>
      <c r="K752" s="5">
        <v>46154.0</v>
      </c>
      <c r="L752" s="4" t="str">
        <f t="shared" si="1"/>
        <v>Sofia Silva Vergara</v>
      </c>
      <c r="M752" s="6" t="str">
        <f t="shared" si="2"/>
        <v>13.978.939-6</v>
      </c>
      <c r="N752" s="6" t="str">
        <f t="shared" si="3"/>
        <v>Santiago Centro - Santiago - Región Metropolitana</v>
      </c>
      <c r="O752" s="4"/>
    </row>
    <row r="753">
      <c r="A753" s="1" t="s">
        <v>4393</v>
      </c>
      <c r="B753" s="1" t="s">
        <v>4394</v>
      </c>
      <c r="C753" s="1" t="s">
        <v>4395</v>
      </c>
      <c r="D753" s="1" t="s">
        <v>4396</v>
      </c>
      <c r="E753" s="1" t="s">
        <v>33</v>
      </c>
      <c r="F753" s="1" t="s">
        <v>33</v>
      </c>
      <c r="G753" s="1" t="s">
        <v>34</v>
      </c>
      <c r="H753" s="2">
        <v>1.844E7</v>
      </c>
      <c r="I753" s="1">
        <v>60.0</v>
      </c>
      <c r="J753" s="1" t="s">
        <v>20</v>
      </c>
      <c r="K753" s="5">
        <v>46176.0</v>
      </c>
      <c r="L753" s="4" t="str">
        <f t="shared" si="1"/>
        <v>Matías Díaz Sepúlveda</v>
      </c>
      <c r="M753" s="6" t="str">
        <f t="shared" si="2"/>
        <v>20.139.527-6</v>
      </c>
      <c r="N753" s="6" t="str">
        <f t="shared" si="3"/>
        <v>Puerto Montt - Puerto Montt - Región de Los Lagos</v>
      </c>
      <c r="O753" s="4"/>
    </row>
    <row r="754">
      <c r="A754" s="1" t="s">
        <v>4397</v>
      </c>
      <c r="B754" s="1" t="s">
        <v>4398</v>
      </c>
      <c r="C754" s="1" t="s">
        <v>4399</v>
      </c>
      <c r="D754" s="1" t="s">
        <v>4400</v>
      </c>
      <c r="E754" s="1" t="s">
        <v>45</v>
      </c>
      <c r="F754" s="1" t="s">
        <v>45</v>
      </c>
      <c r="G754" s="1" t="s">
        <v>46</v>
      </c>
      <c r="H754" s="2">
        <v>1.706E7</v>
      </c>
      <c r="I754" s="1">
        <v>15.0</v>
      </c>
      <c r="J754" s="1" t="s">
        <v>47</v>
      </c>
      <c r="K754" s="5">
        <v>46201.0</v>
      </c>
      <c r="L754" s="4" t="str">
        <f t="shared" si="1"/>
        <v>Sofia López Pérez</v>
      </c>
      <c r="M754" s="6" t="str">
        <f t="shared" si="2"/>
        <v>11.390.200-1</v>
      </c>
      <c r="N754" s="6" t="str">
        <f t="shared" si="3"/>
        <v>Temuco - Temuco - Región de la Araucanía</v>
      </c>
      <c r="O754" s="4"/>
    </row>
    <row r="755">
      <c r="A755" s="1" t="s">
        <v>2564</v>
      </c>
      <c r="B755" s="1" t="s">
        <v>2567</v>
      </c>
      <c r="C755" s="1" t="s">
        <v>2569</v>
      </c>
      <c r="D755" s="1" t="s">
        <v>2571</v>
      </c>
      <c r="E755" s="1" t="s">
        <v>18</v>
      </c>
      <c r="F755" s="1" t="s">
        <v>18</v>
      </c>
      <c r="G755" s="1" t="s">
        <v>19</v>
      </c>
      <c r="H755" s="2">
        <v>790000.0</v>
      </c>
      <c r="I755" s="1">
        <v>0.0</v>
      </c>
      <c r="J755" s="1" t="s">
        <v>20</v>
      </c>
      <c r="K755" s="5">
        <v>46097.0</v>
      </c>
      <c r="L755" s="4" t="str">
        <f t="shared" si="1"/>
        <v>Claudio Muñoz Sepúlveda</v>
      </c>
      <c r="M755" s="6" t="str">
        <f t="shared" si="2"/>
        <v>19.874.701-7</v>
      </c>
      <c r="N755" s="6" t="str">
        <f t="shared" si="3"/>
        <v>La Serena - La Serena - Región de Coquimbo</v>
      </c>
      <c r="O755" s="4"/>
    </row>
    <row r="756">
      <c r="A756" s="1" t="s">
        <v>3832</v>
      </c>
      <c r="B756" s="1" t="s">
        <v>3833</v>
      </c>
      <c r="C756" s="1" t="s">
        <v>4401</v>
      </c>
      <c r="D756" s="1" t="s">
        <v>3836</v>
      </c>
      <c r="E756" s="1" t="s">
        <v>61</v>
      </c>
      <c r="F756" s="1" t="s">
        <v>62</v>
      </c>
      <c r="G756" s="1" t="s">
        <v>63</v>
      </c>
      <c r="H756" s="2">
        <v>1.976E7</v>
      </c>
      <c r="I756" s="1">
        <v>30.0</v>
      </c>
      <c r="J756" s="1" t="s">
        <v>47</v>
      </c>
      <c r="K756" s="5">
        <v>46130.0</v>
      </c>
      <c r="L756" s="4" t="str">
        <f t="shared" si="1"/>
        <v>Francisca Díaz González</v>
      </c>
      <c r="M756" s="6" t="str">
        <f t="shared" si="2"/>
        <v>20.274.430-9</v>
      </c>
      <c r="N756" s="6" t="str">
        <f t="shared" si="3"/>
        <v>Santiago Centro - Santiago - Región Metropolitana</v>
      </c>
      <c r="O756" s="4"/>
    </row>
    <row r="757">
      <c r="A757" s="1" t="s">
        <v>3428</v>
      </c>
      <c r="B757" s="1" t="s">
        <v>3429</v>
      </c>
      <c r="C757" s="1" t="s">
        <v>4402</v>
      </c>
      <c r="D757" s="1" t="s">
        <v>3430</v>
      </c>
      <c r="E757" s="1" t="s">
        <v>158</v>
      </c>
      <c r="F757" s="1" t="s">
        <v>158</v>
      </c>
      <c r="G757" s="1" t="s">
        <v>159</v>
      </c>
      <c r="H757" s="2">
        <v>9170000.0</v>
      </c>
      <c r="I757" s="1">
        <v>0.0</v>
      </c>
      <c r="J757" s="1" t="s">
        <v>97</v>
      </c>
      <c r="K757" s="5">
        <v>46217.0</v>
      </c>
      <c r="L757" s="4" t="str">
        <f t="shared" si="1"/>
        <v>Esteban Contreras Contreras</v>
      </c>
      <c r="M757" s="6" t="str">
        <f t="shared" si="2"/>
        <v>22.490.862-3</v>
      </c>
      <c r="N757" s="6" t="str">
        <f t="shared" si="3"/>
        <v>Antofagasta - Antofagasta - Región de Antofagasta</v>
      </c>
      <c r="O757" s="4"/>
    </row>
    <row r="758">
      <c r="A758" s="1" t="s">
        <v>4403</v>
      </c>
      <c r="B758" s="1" t="s">
        <v>4405</v>
      </c>
      <c r="C758" s="1" t="s">
        <v>4407</v>
      </c>
      <c r="D758" s="1" t="s">
        <v>4409</v>
      </c>
      <c r="E758" s="1" t="s">
        <v>56</v>
      </c>
      <c r="F758" s="1" t="s">
        <v>39</v>
      </c>
      <c r="G758" s="1" t="s">
        <v>40</v>
      </c>
      <c r="H758" s="2">
        <v>1.594E7</v>
      </c>
      <c r="I758" s="1">
        <v>15.0</v>
      </c>
      <c r="J758" s="1" t="s">
        <v>47</v>
      </c>
      <c r="K758" s="5">
        <v>46213.0</v>
      </c>
      <c r="L758" s="4" t="str">
        <f t="shared" si="1"/>
        <v>Loreto Rodríguez Morales</v>
      </c>
      <c r="M758" s="6" t="str">
        <f t="shared" si="2"/>
        <v>16695468-8</v>
      </c>
      <c r="N758" s="6" t="str">
        <f t="shared" si="3"/>
        <v>Talcahuano - Concepción - Región del Biobío</v>
      </c>
      <c r="O758" s="4"/>
    </row>
    <row r="759">
      <c r="A759" s="1" t="s">
        <v>231</v>
      </c>
      <c r="B759" s="1" t="s">
        <v>232</v>
      </c>
      <c r="C759" s="1" t="s">
        <v>4411</v>
      </c>
      <c r="D759" s="1" t="s">
        <v>234</v>
      </c>
      <c r="E759" s="1" t="s">
        <v>61</v>
      </c>
      <c r="F759" s="1" t="s">
        <v>62</v>
      </c>
      <c r="G759" s="1" t="s">
        <v>63</v>
      </c>
      <c r="H759" s="2">
        <v>6070000.0</v>
      </c>
      <c r="I759" s="1">
        <v>90.0</v>
      </c>
      <c r="J759" s="1" t="s">
        <v>20</v>
      </c>
      <c r="K759" s="5">
        <v>46157.0</v>
      </c>
      <c r="L759" s="4" t="str">
        <f t="shared" si="1"/>
        <v>Álvaro López Morales</v>
      </c>
      <c r="M759" s="6" t="str">
        <f t="shared" si="2"/>
        <v>21.871.809-9</v>
      </c>
      <c r="N759" s="6" t="str">
        <f t="shared" si="3"/>
        <v>Santiago Centro - Santiago - Región Metropolitana</v>
      </c>
      <c r="O759" s="4"/>
    </row>
    <row r="760">
      <c r="A760" s="1" t="s">
        <v>1890</v>
      </c>
      <c r="B760" s="1" t="s">
        <v>1891</v>
      </c>
      <c r="C760" s="1" t="s">
        <v>1892</v>
      </c>
      <c r="D760" s="1" t="s">
        <v>1893</v>
      </c>
      <c r="E760" s="1" t="s">
        <v>194</v>
      </c>
      <c r="F760" s="1" t="s">
        <v>62</v>
      </c>
      <c r="G760" s="1" t="s">
        <v>63</v>
      </c>
      <c r="H760" s="2">
        <v>7850000.0</v>
      </c>
      <c r="I760" s="1">
        <v>0.0</v>
      </c>
      <c r="J760" s="1" t="s">
        <v>73</v>
      </c>
      <c r="K760" s="5">
        <v>46032.0</v>
      </c>
      <c r="L760" s="4" t="str">
        <f t="shared" si="1"/>
        <v>Carolina Rodríguez Espinoza</v>
      </c>
      <c r="M760" s="6" t="str">
        <f t="shared" si="2"/>
        <v>12923901-1</v>
      </c>
      <c r="N760" s="6" t="str">
        <f t="shared" si="3"/>
        <v>Las Condes - Santiago - Región Metropolitana</v>
      </c>
      <c r="O760" s="4"/>
    </row>
    <row r="761">
      <c r="A761" s="1" t="s">
        <v>4230</v>
      </c>
      <c r="B761" s="1" t="s">
        <v>4231</v>
      </c>
      <c r="C761" s="1" t="s">
        <v>4232</v>
      </c>
      <c r="D761" s="1" t="s">
        <v>4233</v>
      </c>
      <c r="E761" s="1" t="s">
        <v>118</v>
      </c>
      <c r="F761" s="1" t="s">
        <v>62</v>
      </c>
      <c r="G761" s="1" t="s">
        <v>63</v>
      </c>
      <c r="H761" s="2">
        <v>2400000.0</v>
      </c>
      <c r="I761" s="1">
        <v>0.0</v>
      </c>
      <c r="J761" s="1" t="s">
        <v>97</v>
      </c>
      <c r="K761" s="5">
        <v>46210.0</v>
      </c>
      <c r="L761" s="4" t="str">
        <f t="shared" si="1"/>
        <v>Gonzalo Rojas Fuentes</v>
      </c>
      <c r="M761" s="6" t="str">
        <f t="shared" si="2"/>
        <v>14.269.683-0</v>
      </c>
      <c r="N761" s="6" t="str">
        <f t="shared" si="3"/>
        <v>Maipú - Santiago - Región Metropolitana</v>
      </c>
      <c r="O761" s="4"/>
    </row>
    <row r="762">
      <c r="A762" s="1" t="s">
        <v>866</v>
      </c>
      <c r="B762" s="1" t="s">
        <v>868</v>
      </c>
      <c r="C762" s="1" t="s">
        <v>4413</v>
      </c>
      <c r="D762" s="1" t="s">
        <v>845</v>
      </c>
      <c r="E762" s="1" t="s">
        <v>194</v>
      </c>
      <c r="F762" s="1" t="s">
        <v>62</v>
      </c>
      <c r="G762" s="1" t="s">
        <v>63</v>
      </c>
      <c r="H762" s="2">
        <v>1.704E7</v>
      </c>
      <c r="I762" s="1">
        <v>0.0</v>
      </c>
      <c r="J762" s="1" t="s">
        <v>28</v>
      </c>
      <c r="K762" s="5">
        <v>46192.0</v>
      </c>
      <c r="L762" s="4" t="str">
        <f t="shared" si="1"/>
        <v>Andrea Sepúlveda López</v>
      </c>
      <c r="M762" s="6" t="str">
        <f t="shared" si="2"/>
        <v>17191972-2</v>
      </c>
      <c r="N762" s="6" t="str">
        <f t="shared" si="3"/>
        <v>Las Condes - Santiago - Región Metropolitana</v>
      </c>
      <c r="O762" s="4"/>
    </row>
    <row r="763">
      <c r="A763" s="1" t="s">
        <v>2502</v>
      </c>
      <c r="B763" s="1" t="s">
        <v>2503</v>
      </c>
      <c r="C763" s="1" t="s">
        <v>4414</v>
      </c>
      <c r="D763" s="1" t="s">
        <v>2505</v>
      </c>
      <c r="E763" s="1" t="s">
        <v>25</v>
      </c>
      <c r="F763" s="1" t="s">
        <v>26</v>
      </c>
      <c r="G763" s="1" t="s">
        <v>27</v>
      </c>
      <c r="H763" s="2">
        <v>1.559E7</v>
      </c>
      <c r="I763" s="1">
        <v>60.0</v>
      </c>
      <c r="J763" s="1" t="s">
        <v>73</v>
      </c>
      <c r="K763" s="5">
        <v>46163.0</v>
      </c>
      <c r="L763" s="4" t="str">
        <f t="shared" si="1"/>
        <v>Claudio Fuentes López</v>
      </c>
      <c r="M763" s="6" t="str">
        <f t="shared" si="2"/>
        <v>14875190-K</v>
      </c>
      <c r="N763" s="6" t="str">
        <f t="shared" si="3"/>
        <v>Viña del Mar - Valparaíso - Región de Valparaíso</v>
      </c>
      <c r="O763" s="4"/>
    </row>
    <row r="764">
      <c r="A764" s="1" t="s">
        <v>4415</v>
      </c>
      <c r="B764" s="1" t="s">
        <v>4416</v>
      </c>
      <c r="C764" s="1" t="s">
        <v>4418</v>
      </c>
      <c r="D764" s="1" t="s">
        <v>3393</v>
      </c>
      <c r="E764" s="1" t="s">
        <v>72</v>
      </c>
      <c r="F764" s="1" t="s">
        <v>62</v>
      </c>
      <c r="G764" s="1" t="s">
        <v>63</v>
      </c>
      <c r="H764" s="2">
        <v>1.814E7</v>
      </c>
      <c r="I764" s="1">
        <v>0.0</v>
      </c>
      <c r="J764" s="1" t="s">
        <v>73</v>
      </c>
      <c r="K764" s="5">
        <v>46136.0</v>
      </c>
      <c r="L764" s="4" t="str">
        <f t="shared" si="1"/>
        <v>Javiera Soto Pérez</v>
      </c>
      <c r="M764" s="6" t="str">
        <f t="shared" si="2"/>
        <v>19783717-4</v>
      </c>
      <c r="N764" s="6" t="str">
        <f t="shared" si="3"/>
        <v>Providencia - Santiago - Región Metropolitana</v>
      </c>
      <c r="O764" s="4"/>
    </row>
    <row r="765">
      <c r="A765" s="1" t="s">
        <v>4419</v>
      </c>
      <c r="B765" s="1" t="s">
        <v>4420</v>
      </c>
      <c r="C765" s="1" t="s">
        <v>4421</v>
      </c>
      <c r="D765" s="1" t="s">
        <v>4422</v>
      </c>
      <c r="E765" s="1" t="s">
        <v>158</v>
      </c>
      <c r="F765" s="1" t="s">
        <v>158</v>
      </c>
      <c r="G765" s="1" t="s">
        <v>159</v>
      </c>
      <c r="H765" s="2">
        <v>2760000.0</v>
      </c>
      <c r="I765" s="1">
        <v>0.0</v>
      </c>
      <c r="J765" s="1" t="s">
        <v>28</v>
      </c>
      <c r="K765" s="5">
        <v>46066.0</v>
      </c>
      <c r="L765" s="4" t="str">
        <f t="shared" si="1"/>
        <v>Tomas Fuentes Valenzuela</v>
      </c>
      <c r="M765" s="6" t="str">
        <f t="shared" si="2"/>
        <v>11.053.368-6</v>
      </c>
      <c r="N765" s="6" t="str">
        <f t="shared" si="3"/>
        <v>Antofagasta - Antofagasta - Región de Antofagasta</v>
      </c>
      <c r="O765" s="4"/>
    </row>
    <row r="766">
      <c r="A766" s="1" t="s">
        <v>4423</v>
      </c>
      <c r="B766" s="1" t="s">
        <v>4424</v>
      </c>
      <c r="C766" s="1" t="s">
        <v>4425</v>
      </c>
      <c r="D766" s="1" t="s">
        <v>4426</v>
      </c>
      <c r="E766" s="1" t="s">
        <v>194</v>
      </c>
      <c r="F766" s="1" t="s">
        <v>62</v>
      </c>
      <c r="G766" s="1" t="s">
        <v>63</v>
      </c>
      <c r="H766" s="2">
        <v>2990000.0</v>
      </c>
      <c r="I766" s="1">
        <v>0.0</v>
      </c>
      <c r="J766" s="1" t="s">
        <v>97</v>
      </c>
      <c r="K766" s="5">
        <v>46170.0</v>
      </c>
      <c r="L766" s="4" t="str">
        <f t="shared" si="1"/>
        <v>Sofia Silva Espinoza</v>
      </c>
      <c r="M766" s="6" t="str">
        <f t="shared" si="2"/>
        <v>17.034.609-0</v>
      </c>
      <c r="N766" s="6" t="str">
        <f t="shared" si="3"/>
        <v>Las Condes - Santiago - Región Metropolitana</v>
      </c>
      <c r="O766" s="4"/>
    </row>
    <row r="767">
      <c r="A767" s="1" t="s">
        <v>4427</v>
      </c>
      <c r="B767" s="1" t="s">
        <v>4428</v>
      </c>
      <c r="C767" s="1" t="s">
        <v>4429</v>
      </c>
      <c r="D767" s="1" t="s">
        <v>4430</v>
      </c>
      <c r="E767" s="1" t="s">
        <v>39</v>
      </c>
      <c r="F767" s="1" t="s">
        <v>39</v>
      </c>
      <c r="G767" s="1" t="s">
        <v>40</v>
      </c>
      <c r="H767" s="2">
        <v>2.036E7</v>
      </c>
      <c r="I767" s="1">
        <v>15.0</v>
      </c>
      <c r="J767" s="1" t="s">
        <v>97</v>
      </c>
      <c r="K767" s="5">
        <v>46060.0</v>
      </c>
      <c r="L767" s="4" t="str">
        <f t="shared" si="1"/>
        <v>Ignacio González Rojas</v>
      </c>
      <c r="M767" s="6" t="str">
        <f t="shared" si="2"/>
        <v>18.689.610-6</v>
      </c>
      <c r="N767" s="6" t="str">
        <f t="shared" si="3"/>
        <v>Concepción - Concepción - Región del Biobío</v>
      </c>
      <c r="O767" s="4"/>
    </row>
    <row r="768">
      <c r="A768" s="1" t="s">
        <v>4432</v>
      </c>
      <c r="B768" s="1" t="s">
        <v>4433</v>
      </c>
      <c r="C768" s="1" t="s">
        <v>4434</v>
      </c>
      <c r="D768" s="1" t="s">
        <v>4435</v>
      </c>
      <c r="E768" s="1" t="s">
        <v>56</v>
      </c>
      <c r="F768" s="1" t="s">
        <v>39</v>
      </c>
      <c r="G768" s="1" t="s">
        <v>40</v>
      </c>
      <c r="H768" s="2">
        <v>5570000.0</v>
      </c>
      <c r="I768" s="1">
        <v>15.0</v>
      </c>
      <c r="J768" s="1" t="s">
        <v>47</v>
      </c>
      <c r="K768" s="5">
        <v>46156.0</v>
      </c>
      <c r="L768" s="4" t="str">
        <f t="shared" si="1"/>
        <v>Macarena Morales Vergara</v>
      </c>
      <c r="M768" s="6" t="str">
        <f t="shared" si="2"/>
        <v>11.806.861-7</v>
      </c>
      <c r="N768" s="6" t="str">
        <f t="shared" si="3"/>
        <v>Talcahuano - Concepción - Región del Biobío</v>
      </c>
      <c r="O768" s="4"/>
    </row>
    <row r="769">
      <c r="A769" s="1" t="s">
        <v>4437</v>
      </c>
      <c r="B769" s="1" t="s">
        <v>4438</v>
      </c>
      <c r="C769" s="1" t="s">
        <v>4439</v>
      </c>
      <c r="D769" s="1" t="s">
        <v>4135</v>
      </c>
      <c r="E769" s="1" t="s">
        <v>109</v>
      </c>
      <c r="F769" s="1" t="s">
        <v>62</v>
      </c>
      <c r="G769" s="1" t="s">
        <v>63</v>
      </c>
      <c r="H769" s="2">
        <v>3760000.0</v>
      </c>
      <c r="I769" s="1">
        <v>120.0</v>
      </c>
      <c r="J769" s="1" t="s">
        <v>47</v>
      </c>
      <c r="K769" s="5">
        <v>46223.0</v>
      </c>
      <c r="L769" s="4" t="str">
        <f t="shared" si="1"/>
        <v>Javier Díaz González</v>
      </c>
      <c r="M769" s="6" t="str">
        <f t="shared" si="2"/>
        <v>18036179-1</v>
      </c>
      <c r="N769" s="6" t="str">
        <f t="shared" si="3"/>
        <v>Ñuñoa - Santiago - Región Metropolitana</v>
      </c>
      <c r="O769" s="4"/>
    </row>
    <row r="770">
      <c r="A770" s="1" t="s">
        <v>4440</v>
      </c>
      <c r="B770" s="1" t="s">
        <v>4441</v>
      </c>
      <c r="C770" s="1" t="s">
        <v>4442</v>
      </c>
      <c r="D770" s="1" t="s">
        <v>4443</v>
      </c>
      <c r="E770" s="1" t="s">
        <v>26</v>
      </c>
      <c r="F770" s="1" t="s">
        <v>26</v>
      </c>
      <c r="G770" s="1" t="s">
        <v>27</v>
      </c>
      <c r="H770" s="2">
        <v>1.509E7</v>
      </c>
      <c r="I770" s="1">
        <v>120.0</v>
      </c>
      <c r="J770" s="1" t="s">
        <v>73</v>
      </c>
      <c r="K770" s="5">
        <v>46097.0</v>
      </c>
      <c r="L770" s="4" t="str">
        <f t="shared" si="1"/>
        <v>Marcela Morales Morales</v>
      </c>
      <c r="M770" s="6" t="str">
        <f t="shared" si="2"/>
        <v>16.570.888-6</v>
      </c>
      <c r="N770" s="6" t="str">
        <f t="shared" si="3"/>
        <v>Valparaíso - Valparaíso - Región de Valparaíso</v>
      </c>
      <c r="O770" s="4"/>
    </row>
    <row r="771">
      <c r="A771" s="1" t="s">
        <v>4444</v>
      </c>
      <c r="B771" s="1" t="s">
        <v>4445</v>
      </c>
      <c r="C771" s="1" t="s">
        <v>4446</v>
      </c>
      <c r="D771" s="1" t="s">
        <v>2327</v>
      </c>
      <c r="E771" s="1" t="s">
        <v>118</v>
      </c>
      <c r="F771" s="1" t="s">
        <v>62</v>
      </c>
      <c r="G771" s="1" t="s">
        <v>63</v>
      </c>
      <c r="H771" s="2">
        <v>1410000.0</v>
      </c>
      <c r="I771" s="1">
        <v>0.0</v>
      </c>
      <c r="J771" s="1" t="s">
        <v>28</v>
      </c>
      <c r="K771" s="5">
        <v>46200.0</v>
      </c>
      <c r="L771" s="4" t="str">
        <f t="shared" si="1"/>
        <v>Matías Rojas Araya</v>
      </c>
      <c r="M771" s="6" t="str">
        <f t="shared" si="2"/>
        <v>18.344.489-0</v>
      </c>
      <c r="N771" s="6" t="str">
        <f t="shared" si="3"/>
        <v>Maipú - Santiago - Región Metropolitana</v>
      </c>
      <c r="O771" s="4"/>
    </row>
    <row r="772">
      <c r="A772" s="1" t="s">
        <v>2123</v>
      </c>
      <c r="B772" s="1" t="s">
        <v>2124</v>
      </c>
      <c r="C772" s="1" t="s">
        <v>2125</v>
      </c>
      <c r="D772" s="1" t="s">
        <v>2126</v>
      </c>
      <c r="E772" s="1" t="s">
        <v>72</v>
      </c>
      <c r="F772" s="1" t="s">
        <v>62</v>
      </c>
      <c r="G772" s="1" t="s">
        <v>63</v>
      </c>
      <c r="H772" s="2">
        <v>1.237E7</v>
      </c>
      <c r="I772" s="1">
        <v>30.0</v>
      </c>
      <c r="J772" s="1" t="s">
        <v>20</v>
      </c>
      <c r="K772" s="5">
        <v>46031.0</v>
      </c>
      <c r="L772" s="4" t="str">
        <f t="shared" si="1"/>
        <v>Catalina Espinoza González</v>
      </c>
      <c r="M772" s="6" t="str">
        <f t="shared" si="2"/>
        <v>20978853-9</v>
      </c>
      <c r="N772" s="6" t="str">
        <f t="shared" si="3"/>
        <v>Providencia - Santiago - Región Metropolitana</v>
      </c>
      <c r="O772" s="4"/>
    </row>
    <row r="773">
      <c r="A773" s="1" t="s">
        <v>2929</v>
      </c>
      <c r="B773" s="1" t="s">
        <v>2930</v>
      </c>
      <c r="C773" s="1" t="s">
        <v>2931</v>
      </c>
      <c r="D773" s="1" t="s">
        <v>2932</v>
      </c>
      <c r="E773" s="1" t="s">
        <v>26</v>
      </c>
      <c r="F773" s="1" t="s">
        <v>26</v>
      </c>
      <c r="G773" s="1" t="s">
        <v>27</v>
      </c>
      <c r="H773" s="2">
        <v>1.474E7</v>
      </c>
      <c r="I773" s="1">
        <v>0.0</v>
      </c>
      <c r="J773" s="1" t="s">
        <v>47</v>
      </c>
      <c r="K773" s="5">
        <v>46075.0</v>
      </c>
      <c r="L773" s="4" t="str">
        <f t="shared" si="1"/>
        <v>Cristián González Contreras</v>
      </c>
      <c r="M773" s="6" t="str">
        <f t="shared" si="2"/>
        <v>20947764-8</v>
      </c>
      <c r="N773" s="6" t="str">
        <f t="shared" si="3"/>
        <v>Valparaíso - Valparaíso - Región de Valparaíso</v>
      </c>
      <c r="O773" s="4"/>
    </row>
    <row r="774">
      <c r="A774" s="1" t="s">
        <v>4448</v>
      </c>
      <c r="B774" s="1" t="s">
        <v>4449</v>
      </c>
      <c r="C774" s="1" t="s">
        <v>4450</v>
      </c>
      <c r="D774" s="1" t="s">
        <v>3194</v>
      </c>
      <c r="E774" s="1" t="s">
        <v>194</v>
      </c>
      <c r="F774" s="1" t="s">
        <v>62</v>
      </c>
      <c r="G774" s="1" t="s">
        <v>63</v>
      </c>
      <c r="H774" s="2">
        <v>1.996E7</v>
      </c>
      <c r="I774" s="1">
        <v>30.0</v>
      </c>
      <c r="J774" s="1" t="s">
        <v>28</v>
      </c>
      <c r="K774" s="5">
        <v>46091.0</v>
      </c>
      <c r="L774" s="4" t="str">
        <f t="shared" si="1"/>
        <v>Sofia Rodríguez Tapia</v>
      </c>
      <c r="M774" s="6" t="str">
        <f t="shared" si="2"/>
        <v>14361797-0</v>
      </c>
      <c r="N774" s="6" t="str">
        <f t="shared" si="3"/>
        <v>Las Condes - Santiago - Región Metropolitana</v>
      </c>
      <c r="O774" s="4"/>
    </row>
    <row r="775">
      <c r="A775" s="1" t="s">
        <v>4270</v>
      </c>
      <c r="B775" s="1" t="s">
        <v>4271</v>
      </c>
      <c r="C775" s="1" t="s">
        <v>4272</v>
      </c>
      <c r="D775" s="1" t="s">
        <v>4273</v>
      </c>
      <c r="E775" s="1" t="s">
        <v>18</v>
      </c>
      <c r="F775" s="1" t="s">
        <v>18</v>
      </c>
      <c r="G775" s="1" t="s">
        <v>19</v>
      </c>
      <c r="H775" s="2">
        <v>1.249E7</v>
      </c>
      <c r="I775" s="1">
        <v>15.0</v>
      </c>
      <c r="J775" s="1" t="s">
        <v>97</v>
      </c>
      <c r="K775" s="5">
        <v>46113.0</v>
      </c>
      <c r="L775" s="4" t="str">
        <f t="shared" si="1"/>
        <v>Gonzalo Vergara Araya</v>
      </c>
      <c r="M775" s="6" t="str">
        <f t="shared" si="2"/>
        <v>19.972.651-K</v>
      </c>
      <c r="N775" s="6" t="str">
        <f t="shared" si="3"/>
        <v>La Serena - La Serena - Región de Coquimbo</v>
      </c>
      <c r="O775" s="4"/>
    </row>
    <row r="776">
      <c r="A776" s="1" t="s">
        <v>4451</v>
      </c>
      <c r="B776" s="1" t="s">
        <v>4452</v>
      </c>
      <c r="C776" s="1" t="s">
        <v>4453</v>
      </c>
      <c r="D776" s="1" t="s">
        <v>3455</v>
      </c>
      <c r="E776" s="1" t="s">
        <v>109</v>
      </c>
      <c r="F776" s="1" t="s">
        <v>62</v>
      </c>
      <c r="G776" s="1" t="s">
        <v>63</v>
      </c>
      <c r="H776" s="2">
        <v>8910000.0</v>
      </c>
      <c r="I776" s="1">
        <v>120.0</v>
      </c>
      <c r="J776" s="1" t="s">
        <v>73</v>
      </c>
      <c r="K776" s="5">
        <v>46044.0</v>
      </c>
      <c r="L776" s="4" t="str">
        <f t="shared" si="1"/>
        <v>Javiera Soto González</v>
      </c>
      <c r="M776" s="6" t="str">
        <f t="shared" si="2"/>
        <v>12.183.435-6</v>
      </c>
      <c r="N776" s="6" t="str">
        <f t="shared" si="3"/>
        <v>Ñuñoa - Santiago - Región Metropolitana</v>
      </c>
      <c r="O776" s="4"/>
    </row>
    <row r="777">
      <c r="A777" s="1" t="s">
        <v>4458</v>
      </c>
      <c r="B777" s="1" t="s">
        <v>4459</v>
      </c>
      <c r="C777" s="1" t="s">
        <v>4460</v>
      </c>
      <c r="D777" s="1" t="s">
        <v>4461</v>
      </c>
      <c r="E777" s="1" t="s">
        <v>18</v>
      </c>
      <c r="F777" s="1" t="s">
        <v>18</v>
      </c>
      <c r="G777" s="1" t="s">
        <v>19</v>
      </c>
      <c r="H777" s="2">
        <v>1.706E7</v>
      </c>
      <c r="I777" s="1">
        <v>45.0</v>
      </c>
      <c r="J777" s="1" t="s">
        <v>20</v>
      </c>
      <c r="K777" s="5">
        <v>46067.0</v>
      </c>
      <c r="L777" s="4" t="str">
        <f t="shared" si="1"/>
        <v>Mauricio Contreras González</v>
      </c>
      <c r="M777" s="6" t="str">
        <f t="shared" si="2"/>
        <v>13.095.448-9</v>
      </c>
      <c r="N777" s="6" t="str">
        <f t="shared" si="3"/>
        <v>La Serena - La Serena - Región de Coquimbo</v>
      </c>
      <c r="O777" s="4"/>
    </row>
    <row r="778">
      <c r="A778" s="1" t="s">
        <v>4463</v>
      </c>
      <c r="B778" s="1" t="s">
        <v>4464</v>
      </c>
      <c r="C778" s="1" t="s">
        <v>4465</v>
      </c>
      <c r="D778" s="1" t="s">
        <v>4466</v>
      </c>
      <c r="E778" s="1" t="s">
        <v>39</v>
      </c>
      <c r="F778" s="1" t="s">
        <v>39</v>
      </c>
      <c r="G778" s="1" t="s">
        <v>40</v>
      </c>
      <c r="H778" s="2">
        <v>1.137E7</v>
      </c>
      <c r="I778" s="1">
        <v>0.0</v>
      </c>
      <c r="J778" s="1" t="s">
        <v>97</v>
      </c>
      <c r="K778" s="5">
        <v>46218.0</v>
      </c>
      <c r="L778" s="4" t="str">
        <f t="shared" si="1"/>
        <v>Macarena Pérez Vergara</v>
      </c>
      <c r="M778" s="6" t="str">
        <f t="shared" si="2"/>
        <v>21241989-7</v>
      </c>
      <c r="N778" s="6" t="str">
        <f t="shared" si="3"/>
        <v>Concepción - Concepción - Región del Biobío</v>
      </c>
      <c r="O778" s="4"/>
    </row>
    <row r="779">
      <c r="A779" s="1" t="s">
        <v>4467</v>
      </c>
      <c r="B779" s="1" t="s">
        <v>4468</v>
      </c>
      <c r="C779" s="1" t="s">
        <v>4469</v>
      </c>
      <c r="D779" s="1" t="s">
        <v>4470</v>
      </c>
      <c r="E779" s="1" t="s">
        <v>33</v>
      </c>
      <c r="F779" s="1" t="s">
        <v>33</v>
      </c>
      <c r="G779" s="1" t="s">
        <v>34</v>
      </c>
      <c r="H779" s="2">
        <v>9420000.0</v>
      </c>
      <c r="I779" s="1">
        <v>0.0</v>
      </c>
      <c r="J779" s="1" t="s">
        <v>47</v>
      </c>
      <c r="K779" s="5">
        <v>46146.0</v>
      </c>
      <c r="L779" s="4" t="str">
        <f t="shared" si="1"/>
        <v>Sebastián Tapia Soto</v>
      </c>
      <c r="M779" s="6" t="str">
        <f t="shared" si="2"/>
        <v>14.398.770-5</v>
      </c>
      <c r="N779" s="6" t="str">
        <f t="shared" si="3"/>
        <v>Puerto Montt - Puerto Montt - Región de Los Lagos</v>
      </c>
      <c r="O779" s="4"/>
    </row>
    <row r="780">
      <c r="A780" s="1" t="s">
        <v>4471</v>
      </c>
      <c r="B780" s="1" t="s">
        <v>4472</v>
      </c>
      <c r="C780" s="1" t="s">
        <v>4473</v>
      </c>
      <c r="D780" s="1" t="s">
        <v>442</v>
      </c>
      <c r="E780" s="1" t="s">
        <v>56</v>
      </c>
      <c r="F780" s="1" t="s">
        <v>39</v>
      </c>
      <c r="G780" s="1" t="s">
        <v>40</v>
      </c>
      <c r="H780" s="2">
        <v>1.799E7</v>
      </c>
      <c r="I780" s="1">
        <v>45.0</v>
      </c>
      <c r="J780" s="1" t="s">
        <v>97</v>
      </c>
      <c r="K780" s="5">
        <v>46067.0</v>
      </c>
      <c r="L780" s="4" t="str">
        <f t="shared" si="1"/>
        <v>Loreto Morales Contreras</v>
      </c>
      <c r="M780" s="6" t="str">
        <f t="shared" si="2"/>
        <v>18.332.488-6</v>
      </c>
      <c r="N780" s="6" t="str">
        <f t="shared" si="3"/>
        <v>Talcahuano - Concepción - Región del Biobío</v>
      </c>
      <c r="O780" s="4"/>
    </row>
    <row r="781">
      <c r="A781" s="1" t="s">
        <v>4474</v>
      </c>
      <c r="B781" s="1" t="s">
        <v>4475</v>
      </c>
      <c r="C781" s="1" t="s">
        <v>4476</v>
      </c>
      <c r="D781" s="1" t="s">
        <v>4477</v>
      </c>
      <c r="E781" s="1" t="s">
        <v>109</v>
      </c>
      <c r="F781" s="1" t="s">
        <v>62</v>
      </c>
      <c r="G781" s="1" t="s">
        <v>63</v>
      </c>
      <c r="H781" s="2">
        <v>2850000.0</v>
      </c>
      <c r="I781" s="1">
        <v>15.0</v>
      </c>
      <c r="J781" s="1" t="s">
        <v>73</v>
      </c>
      <c r="K781" s="5">
        <v>46033.0</v>
      </c>
      <c r="L781" s="4" t="str">
        <f t="shared" si="1"/>
        <v>Matías Valenzuela Tapia</v>
      </c>
      <c r="M781" s="6" t="str">
        <f t="shared" si="2"/>
        <v>13.977.978-6</v>
      </c>
      <c r="N781" s="6" t="str">
        <f t="shared" si="3"/>
        <v>Ñuñoa - Santiago - Región Metropolitana</v>
      </c>
      <c r="O781" s="4"/>
    </row>
    <row r="782">
      <c r="A782" s="1" t="s">
        <v>3930</v>
      </c>
      <c r="B782" s="1" t="s">
        <v>3931</v>
      </c>
      <c r="C782" s="1" t="s">
        <v>3932</v>
      </c>
      <c r="D782" s="1" t="s">
        <v>1659</v>
      </c>
      <c r="E782" s="1" t="s">
        <v>25</v>
      </c>
      <c r="F782" s="1" t="s">
        <v>26</v>
      </c>
      <c r="G782" s="1" t="s">
        <v>27</v>
      </c>
      <c r="H782" s="2">
        <v>1490000.0</v>
      </c>
      <c r="I782" s="1">
        <v>0.0</v>
      </c>
      <c r="J782" s="1" t="s">
        <v>73</v>
      </c>
      <c r="K782" s="5">
        <v>46031.0</v>
      </c>
      <c r="L782" s="4" t="str">
        <f t="shared" si="1"/>
        <v>Francisca Silva Rojas</v>
      </c>
      <c r="M782" s="6" t="str">
        <f t="shared" si="2"/>
        <v>17516727-7</v>
      </c>
      <c r="N782" s="6" t="str">
        <f t="shared" si="3"/>
        <v>Viña del Mar - Valparaíso - Región de Valparaíso</v>
      </c>
      <c r="O782" s="4"/>
    </row>
    <row r="783">
      <c r="A783" s="1" t="s">
        <v>3042</v>
      </c>
      <c r="B783" s="1" t="s">
        <v>3043</v>
      </c>
      <c r="C783" s="1" t="s">
        <v>3044</v>
      </c>
      <c r="D783" s="1" t="s">
        <v>3045</v>
      </c>
      <c r="E783" s="1" t="s">
        <v>26</v>
      </c>
      <c r="F783" s="1" t="s">
        <v>26</v>
      </c>
      <c r="G783" s="1" t="s">
        <v>27</v>
      </c>
      <c r="H783" s="2">
        <v>1.943E7</v>
      </c>
      <c r="I783" s="1">
        <v>30.0</v>
      </c>
      <c r="J783" s="1" t="s">
        <v>47</v>
      </c>
      <c r="K783" s="5">
        <v>46118.0</v>
      </c>
      <c r="L783" s="4" t="str">
        <f t="shared" si="1"/>
        <v>Cristián Valenzuela Vergara</v>
      </c>
      <c r="M783" s="6" t="str">
        <f t="shared" si="2"/>
        <v>19.354.909-4</v>
      </c>
      <c r="N783" s="6" t="str">
        <f t="shared" si="3"/>
        <v>Valparaíso - Valparaíso - Región de Valparaíso</v>
      </c>
      <c r="O783" s="4"/>
    </row>
    <row r="784">
      <c r="A784" s="1" t="s">
        <v>4479</v>
      </c>
      <c r="B784" s="1" t="s">
        <v>4481</v>
      </c>
      <c r="C784" s="1" t="s">
        <v>4482</v>
      </c>
      <c r="D784" s="1" t="s">
        <v>4483</v>
      </c>
      <c r="E784" s="1" t="s">
        <v>109</v>
      </c>
      <c r="F784" s="1" t="s">
        <v>62</v>
      </c>
      <c r="G784" s="1" t="s">
        <v>63</v>
      </c>
      <c r="H784" s="2">
        <v>2.079E7</v>
      </c>
      <c r="I784" s="1">
        <v>30.0</v>
      </c>
      <c r="J784" s="1" t="s">
        <v>47</v>
      </c>
      <c r="K784" s="5">
        <v>46092.0</v>
      </c>
      <c r="L784" s="4" t="str">
        <f t="shared" si="1"/>
        <v>Sofia Espinoza Espinoza</v>
      </c>
      <c r="M784" s="6" t="str">
        <f t="shared" si="2"/>
        <v>16.766.254-5</v>
      </c>
      <c r="N784" s="6" t="str">
        <f t="shared" si="3"/>
        <v>Ñuñoa - Santiago - Región Metropolitana</v>
      </c>
      <c r="O784" s="4"/>
    </row>
    <row r="785">
      <c r="A785" s="1" t="s">
        <v>4484</v>
      </c>
      <c r="B785" s="1" t="s">
        <v>4485</v>
      </c>
      <c r="C785" s="1" t="s">
        <v>4486</v>
      </c>
      <c r="D785" s="1" t="s">
        <v>4487</v>
      </c>
      <c r="E785" s="1" t="s">
        <v>61</v>
      </c>
      <c r="F785" s="1" t="s">
        <v>62</v>
      </c>
      <c r="G785" s="1" t="s">
        <v>63</v>
      </c>
      <c r="H785" s="2">
        <v>1.879E7</v>
      </c>
      <c r="I785" s="1">
        <v>0.0</v>
      </c>
      <c r="J785" s="1" t="s">
        <v>73</v>
      </c>
      <c r="K785" s="5">
        <v>46147.0</v>
      </c>
      <c r="L785" s="4" t="str">
        <f t="shared" si="1"/>
        <v>Tomas Rodríguez Valenzuela</v>
      </c>
      <c r="M785" s="6" t="str">
        <f t="shared" si="2"/>
        <v>17.956.679-5</v>
      </c>
      <c r="N785" s="6" t="str">
        <f t="shared" si="3"/>
        <v>Santiago Centro - Santiago - Región Metropolitana</v>
      </c>
      <c r="O785" s="4"/>
    </row>
    <row r="786">
      <c r="A786" s="1" t="s">
        <v>4489</v>
      </c>
      <c r="B786" s="1" t="s">
        <v>4490</v>
      </c>
      <c r="C786" s="1" t="s">
        <v>4491</v>
      </c>
      <c r="D786" s="1" t="s">
        <v>4492</v>
      </c>
      <c r="E786" s="1" t="s">
        <v>18</v>
      </c>
      <c r="F786" s="1" t="s">
        <v>18</v>
      </c>
      <c r="G786" s="1" t="s">
        <v>19</v>
      </c>
      <c r="H786" s="2">
        <v>3720000.0</v>
      </c>
      <c r="I786" s="1">
        <v>60.0</v>
      </c>
      <c r="J786" s="1" t="s">
        <v>97</v>
      </c>
      <c r="K786" s="5">
        <v>46095.0</v>
      </c>
      <c r="L786" s="4" t="str">
        <f t="shared" si="1"/>
        <v>Loreto Vergara Contreras</v>
      </c>
      <c r="M786" s="6" t="str">
        <f t="shared" si="2"/>
        <v>13.573.284-1</v>
      </c>
      <c r="N786" s="6" t="str">
        <f t="shared" si="3"/>
        <v>La Serena - La Serena - Región de Coquimbo</v>
      </c>
      <c r="O786" s="4"/>
    </row>
    <row r="787">
      <c r="A787" s="1" t="s">
        <v>4493</v>
      </c>
      <c r="B787" s="1" t="s">
        <v>4494</v>
      </c>
      <c r="C787" s="1" t="s">
        <v>4495</v>
      </c>
      <c r="D787" s="1" t="s">
        <v>4496</v>
      </c>
      <c r="E787" s="1" t="s">
        <v>72</v>
      </c>
      <c r="F787" s="1" t="s">
        <v>62</v>
      </c>
      <c r="G787" s="1" t="s">
        <v>63</v>
      </c>
      <c r="H787" s="2">
        <v>9100000.0</v>
      </c>
      <c r="I787" s="1">
        <v>60.0</v>
      </c>
      <c r="J787" s="1" t="s">
        <v>28</v>
      </c>
      <c r="K787" s="5">
        <v>46225.0</v>
      </c>
      <c r="L787" s="4" t="str">
        <f t="shared" si="1"/>
        <v>Mauricio Rojas Pérez</v>
      </c>
      <c r="M787" s="6" t="str">
        <f t="shared" si="2"/>
        <v>17404614-9</v>
      </c>
      <c r="N787" s="6" t="str">
        <f t="shared" si="3"/>
        <v>Providencia - Santiago - Región Metropolitana</v>
      </c>
      <c r="O787" s="4"/>
    </row>
    <row r="788">
      <c r="A788" s="1" t="s">
        <v>3703</v>
      </c>
      <c r="B788" s="1" t="s">
        <v>3704</v>
      </c>
      <c r="C788" s="1" t="s">
        <v>4497</v>
      </c>
      <c r="D788" s="1" t="s">
        <v>3706</v>
      </c>
      <c r="E788" s="1" t="s">
        <v>26</v>
      </c>
      <c r="F788" s="1" t="s">
        <v>26</v>
      </c>
      <c r="G788" s="1" t="s">
        <v>27</v>
      </c>
      <c r="H788" s="2">
        <v>1.936E7</v>
      </c>
      <c r="I788" s="1">
        <v>45.0</v>
      </c>
      <c r="J788" s="1" t="s">
        <v>73</v>
      </c>
      <c r="K788" s="5">
        <v>46153.0</v>
      </c>
      <c r="L788" s="4" t="str">
        <f t="shared" si="1"/>
        <v>Fernanda Morales Díaz</v>
      </c>
      <c r="M788" s="6" t="str">
        <f t="shared" si="2"/>
        <v>13300212-9</v>
      </c>
      <c r="N788" s="6" t="str">
        <f t="shared" si="3"/>
        <v>Valparaíso - Valparaíso - Región de Valparaíso</v>
      </c>
      <c r="O788" s="4"/>
    </row>
    <row r="789">
      <c r="A789" s="1" t="s">
        <v>2982</v>
      </c>
      <c r="B789" s="1" t="s">
        <v>2983</v>
      </c>
      <c r="C789" s="1" t="s">
        <v>2984</v>
      </c>
      <c r="D789" s="1" t="s">
        <v>2986</v>
      </c>
      <c r="E789" s="1" t="s">
        <v>45</v>
      </c>
      <c r="F789" s="1" t="s">
        <v>45</v>
      </c>
      <c r="G789" s="1" t="s">
        <v>46</v>
      </c>
      <c r="H789" s="2">
        <v>7230000.0</v>
      </c>
      <c r="I789" s="1">
        <v>15.0</v>
      </c>
      <c r="J789" s="1" t="s">
        <v>47</v>
      </c>
      <c r="K789" s="5">
        <v>46154.0</v>
      </c>
      <c r="L789" s="4" t="str">
        <f t="shared" si="1"/>
        <v>Cristián Rojas Rodríguez</v>
      </c>
      <c r="M789" s="6" t="str">
        <f t="shared" si="2"/>
        <v>16.782.697-2</v>
      </c>
      <c r="N789" s="6" t="str">
        <f t="shared" si="3"/>
        <v>Temuco - Temuco - Región de la Araucanía</v>
      </c>
      <c r="O789" s="4"/>
    </row>
    <row r="790">
      <c r="A790" s="1" t="s">
        <v>4498</v>
      </c>
      <c r="B790" s="1" t="s">
        <v>4499</v>
      </c>
      <c r="C790" s="1" t="s">
        <v>4501</v>
      </c>
      <c r="D790" s="1" t="s">
        <v>4502</v>
      </c>
      <c r="E790" s="1" t="s">
        <v>158</v>
      </c>
      <c r="F790" s="1" t="s">
        <v>158</v>
      </c>
      <c r="G790" s="1" t="s">
        <v>159</v>
      </c>
      <c r="H790" s="2">
        <v>5960000.0</v>
      </c>
      <c r="I790" s="1">
        <v>45.0</v>
      </c>
      <c r="J790" s="1" t="s">
        <v>97</v>
      </c>
      <c r="K790" s="5">
        <v>46083.0</v>
      </c>
      <c r="L790" s="4" t="str">
        <f t="shared" si="1"/>
        <v>Loreto Araya Vergara</v>
      </c>
      <c r="M790" s="6" t="str">
        <f t="shared" si="2"/>
        <v>20134873-K</v>
      </c>
      <c r="N790" s="6" t="str">
        <f t="shared" si="3"/>
        <v>Antofagasta - Antofagasta - Región de Antofagasta</v>
      </c>
      <c r="O790" s="4"/>
    </row>
    <row r="791">
      <c r="A791" s="1" t="s">
        <v>3439</v>
      </c>
      <c r="B791" s="1" t="s">
        <v>3440</v>
      </c>
      <c r="C791" s="1" t="s">
        <v>4503</v>
      </c>
      <c r="D791" s="1" t="s">
        <v>3434</v>
      </c>
      <c r="E791" s="1" t="s">
        <v>45</v>
      </c>
      <c r="F791" s="1" t="s">
        <v>45</v>
      </c>
      <c r="G791" s="1" t="s">
        <v>46</v>
      </c>
      <c r="H791" s="2">
        <v>9850000.0</v>
      </c>
      <c r="I791" s="1">
        <v>120.0</v>
      </c>
      <c r="J791" s="1" t="s">
        <v>97</v>
      </c>
      <c r="K791" s="5">
        <v>46095.0</v>
      </c>
      <c r="L791" s="4" t="str">
        <f t="shared" si="1"/>
        <v>Esteban Contreras Pérez</v>
      </c>
      <c r="M791" s="6" t="str">
        <f t="shared" si="2"/>
        <v>14.353.927-5</v>
      </c>
      <c r="N791" s="6" t="str">
        <f t="shared" si="3"/>
        <v>Temuco - Temuco - Región de la Araucanía</v>
      </c>
      <c r="O791" s="4"/>
    </row>
    <row r="792">
      <c r="A792" s="1" t="s">
        <v>4504</v>
      </c>
      <c r="B792" s="1" t="s">
        <v>4505</v>
      </c>
      <c r="C792" s="1" t="s">
        <v>4506</v>
      </c>
      <c r="D792" s="1" t="s">
        <v>2649</v>
      </c>
      <c r="E792" s="1" t="s">
        <v>18</v>
      </c>
      <c r="F792" s="1" t="s">
        <v>18</v>
      </c>
      <c r="G792" s="1" t="s">
        <v>19</v>
      </c>
      <c r="H792" s="2">
        <v>9200000.0</v>
      </c>
      <c r="I792" s="1">
        <v>30.0</v>
      </c>
      <c r="J792" s="1" t="s">
        <v>73</v>
      </c>
      <c r="K792" s="5">
        <v>46204.0</v>
      </c>
      <c r="L792" s="4" t="str">
        <f t="shared" si="1"/>
        <v>Paula Tapia Muñoz</v>
      </c>
      <c r="M792" s="6" t="str">
        <f t="shared" si="2"/>
        <v>18.589.730-4</v>
      </c>
      <c r="N792" s="6" t="str">
        <f t="shared" si="3"/>
        <v>La Serena - La Serena - Región de Coquimbo</v>
      </c>
      <c r="O792" s="4"/>
    </row>
    <row r="793">
      <c r="A793" s="1" t="s">
        <v>313</v>
      </c>
      <c r="B793" s="1" t="s">
        <v>314</v>
      </c>
      <c r="C793" s="1" t="s">
        <v>315</v>
      </c>
      <c r="D793" s="1" t="s">
        <v>316</v>
      </c>
      <c r="E793" s="1" t="s">
        <v>118</v>
      </c>
      <c r="F793" s="1" t="s">
        <v>62</v>
      </c>
      <c r="G793" s="1" t="s">
        <v>63</v>
      </c>
      <c r="H793" s="2">
        <v>3080000.0</v>
      </c>
      <c r="I793" s="1">
        <v>30.0</v>
      </c>
      <c r="J793" s="1" t="s">
        <v>20</v>
      </c>
      <c r="K793" s="5">
        <v>46129.0</v>
      </c>
      <c r="L793" s="4" t="str">
        <f t="shared" si="1"/>
        <v>Álvaro Rodríguez Rodríguez</v>
      </c>
      <c r="M793" s="6" t="str">
        <f t="shared" si="2"/>
        <v>13.189.660-2</v>
      </c>
      <c r="N793" s="6" t="str">
        <f t="shared" si="3"/>
        <v>Maipú - Santiago - Región Metropolitana</v>
      </c>
      <c r="O793" s="4"/>
    </row>
    <row r="794">
      <c r="A794" s="1" t="s">
        <v>2183</v>
      </c>
      <c r="B794" s="1" t="s">
        <v>2184</v>
      </c>
      <c r="C794" s="1" t="s">
        <v>2185</v>
      </c>
      <c r="D794" s="1" t="s">
        <v>2186</v>
      </c>
      <c r="E794" s="1" t="s">
        <v>194</v>
      </c>
      <c r="F794" s="1" t="s">
        <v>62</v>
      </c>
      <c r="G794" s="1" t="s">
        <v>63</v>
      </c>
      <c r="H794" s="2">
        <v>2.085E7</v>
      </c>
      <c r="I794" s="1">
        <v>120.0</v>
      </c>
      <c r="J794" s="1" t="s">
        <v>28</v>
      </c>
      <c r="K794" s="5">
        <v>46025.0</v>
      </c>
      <c r="L794" s="4" t="str">
        <f t="shared" si="1"/>
        <v>Catalina López Fuentes</v>
      </c>
      <c r="M794" s="6" t="str">
        <f t="shared" si="2"/>
        <v>16.198.351-5</v>
      </c>
      <c r="N794" s="6" t="str">
        <f t="shared" si="3"/>
        <v>Las Condes - Santiago - Región Metropolitana</v>
      </c>
      <c r="O794" s="4"/>
    </row>
    <row r="795">
      <c r="A795" s="1" t="s">
        <v>4507</v>
      </c>
      <c r="B795" s="1" t="s">
        <v>4508</v>
      </c>
      <c r="C795" s="1" t="s">
        <v>4509</v>
      </c>
      <c r="D795" s="1" t="s">
        <v>4510</v>
      </c>
      <c r="E795" s="1" t="s">
        <v>194</v>
      </c>
      <c r="F795" s="1" t="s">
        <v>62</v>
      </c>
      <c r="G795" s="1" t="s">
        <v>63</v>
      </c>
      <c r="H795" s="2">
        <v>2420000.0</v>
      </c>
      <c r="I795" s="1">
        <v>0.0</v>
      </c>
      <c r="J795" s="1" t="s">
        <v>97</v>
      </c>
      <c r="K795" s="5">
        <v>46164.0</v>
      </c>
      <c r="L795" s="4" t="str">
        <f t="shared" si="1"/>
        <v>Mauricio Rojas Fuentes</v>
      </c>
      <c r="M795" s="6" t="str">
        <f t="shared" si="2"/>
        <v>15.099.642-7</v>
      </c>
      <c r="N795" s="6" t="str">
        <f t="shared" si="3"/>
        <v>Las Condes - Santiago - Región Metropolitana</v>
      </c>
      <c r="O795" s="4"/>
    </row>
    <row r="796">
      <c r="A796" s="1" t="s">
        <v>4511</v>
      </c>
      <c r="B796" s="1" t="s">
        <v>4512</v>
      </c>
      <c r="C796" s="1" t="s">
        <v>4513</v>
      </c>
      <c r="D796" s="1" t="s">
        <v>4514</v>
      </c>
      <c r="E796" s="1" t="s">
        <v>26</v>
      </c>
      <c r="F796" s="1" t="s">
        <v>26</v>
      </c>
      <c r="G796" s="1" t="s">
        <v>27</v>
      </c>
      <c r="H796" s="2">
        <v>6830000.0</v>
      </c>
      <c r="I796" s="1">
        <v>0.0</v>
      </c>
      <c r="J796" s="1" t="s">
        <v>47</v>
      </c>
      <c r="K796" s="5">
        <v>46132.0</v>
      </c>
      <c r="L796" s="4" t="str">
        <f t="shared" si="1"/>
        <v>Javiera Díaz Espinoza</v>
      </c>
      <c r="M796" s="6" t="str">
        <f t="shared" si="2"/>
        <v>12.244.266-8</v>
      </c>
      <c r="N796" s="6" t="str">
        <f t="shared" si="3"/>
        <v>Valparaíso - Valparaíso - Región de Valparaíso</v>
      </c>
      <c r="O796" s="4"/>
    </row>
    <row r="797">
      <c r="A797" s="1" t="s">
        <v>3417</v>
      </c>
      <c r="B797" s="1" t="s">
        <v>3418</v>
      </c>
      <c r="C797" s="1" t="s">
        <v>3419</v>
      </c>
      <c r="D797" s="1" t="s">
        <v>3420</v>
      </c>
      <c r="E797" s="1" t="s">
        <v>56</v>
      </c>
      <c r="F797" s="1" t="s">
        <v>39</v>
      </c>
      <c r="G797" s="1" t="s">
        <v>40</v>
      </c>
      <c r="H797" s="2">
        <v>1.605E7</v>
      </c>
      <c r="I797" s="1">
        <v>90.0</v>
      </c>
      <c r="J797" s="1" t="s">
        <v>20</v>
      </c>
      <c r="K797" s="5">
        <v>46224.0</v>
      </c>
      <c r="L797" s="4" t="str">
        <f t="shared" si="1"/>
        <v>Esteban Araya Sepúlveda</v>
      </c>
      <c r="M797" s="6" t="str">
        <f t="shared" si="2"/>
        <v>13.248.557-6</v>
      </c>
      <c r="N797" s="6" t="str">
        <f t="shared" si="3"/>
        <v>Talcahuano - Concepción - Región del Biobío</v>
      </c>
      <c r="O797" s="4"/>
    </row>
    <row r="798">
      <c r="A798" s="1" t="s">
        <v>2062</v>
      </c>
      <c r="B798" s="1" t="s">
        <v>2064</v>
      </c>
      <c r="C798" s="1" t="s">
        <v>2066</v>
      </c>
      <c r="D798" s="1" t="s">
        <v>2067</v>
      </c>
      <c r="E798" s="1" t="s">
        <v>158</v>
      </c>
      <c r="F798" s="1" t="s">
        <v>158</v>
      </c>
      <c r="G798" s="1" t="s">
        <v>159</v>
      </c>
      <c r="H798" s="2">
        <v>2.143E7</v>
      </c>
      <c r="I798" s="1">
        <v>15.0</v>
      </c>
      <c r="J798" s="1" t="s">
        <v>28</v>
      </c>
      <c r="K798" s="5">
        <v>46155.0</v>
      </c>
      <c r="L798" s="4" t="str">
        <f t="shared" si="1"/>
        <v>Catalina Contreras Rojas</v>
      </c>
      <c r="M798" s="6" t="str">
        <f t="shared" si="2"/>
        <v>11.334.295-K</v>
      </c>
      <c r="N798" s="6" t="str">
        <f t="shared" si="3"/>
        <v>Antofagasta - Antofagasta - Región de Antofagasta</v>
      </c>
      <c r="O798" s="4"/>
    </row>
    <row r="799">
      <c r="A799" s="1" t="s">
        <v>4017</v>
      </c>
      <c r="B799" s="1" t="s">
        <v>4018</v>
      </c>
      <c r="C799" s="1" t="s">
        <v>4515</v>
      </c>
      <c r="D799" s="1" t="s">
        <v>4019</v>
      </c>
      <c r="E799" s="1" t="s">
        <v>25</v>
      </c>
      <c r="F799" s="1" t="s">
        <v>26</v>
      </c>
      <c r="G799" s="1" t="s">
        <v>27</v>
      </c>
      <c r="H799" s="2">
        <v>1.059E7</v>
      </c>
      <c r="I799" s="1">
        <v>0.0</v>
      </c>
      <c r="J799" s="1" t="s">
        <v>20</v>
      </c>
      <c r="K799" s="5">
        <v>46084.0</v>
      </c>
      <c r="L799" s="4" t="str">
        <f t="shared" si="1"/>
        <v>Gabriel Espinoza Araya</v>
      </c>
      <c r="M799" s="6" t="str">
        <f t="shared" si="2"/>
        <v>13959448-7</v>
      </c>
      <c r="N799" s="6" t="str">
        <f t="shared" si="3"/>
        <v>Viña del Mar - Valparaíso - Región de Valparaíso</v>
      </c>
      <c r="O799" s="4"/>
    </row>
    <row r="800">
      <c r="A800" s="1" t="s">
        <v>841</v>
      </c>
      <c r="B800" s="1" t="s">
        <v>842</v>
      </c>
      <c r="C800" s="1" t="s">
        <v>4516</v>
      </c>
      <c r="D800" s="1" t="s">
        <v>845</v>
      </c>
      <c r="E800" s="1" t="s">
        <v>194</v>
      </c>
      <c r="F800" s="1" t="s">
        <v>62</v>
      </c>
      <c r="G800" s="1" t="s">
        <v>63</v>
      </c>
      <c r="H800" s="2">
        <v>3460000.0</v>
      </c>
      <c r="I800" s="1">
        <v>90.0</v>
      </c>
      <c r="J800" s="1" t="s">
        <v>20</v>
      </c>
      <c r="K800" s="5">
        <v>46065.0</v>
      </c>
      <c r="L800" s="4" t="str">
        <f t="shared" si="1"/>
        <v>Andrea Sepúlveda Espinoza</v>
      </c>
      <c r="M800" s="6" t="str">
        <f t="shared" si="2"/>
        <v>11.124.171-2</v>
      </c>
      <c r="N800" s="6" t="str">
        <f t="shared" si="3"/>
        <v>Las Condes - Santiago - Región Metropolitana</v>
      </c>
      <c r="O800" s="4"/>
    </row>
    <row r="801">
      <c r="A801" s="1" t="s">
        <v>4517</v>
      </c>
      <c r="B801" s="1" t="s">
        <v>4518</v>
      </c>
      <c r="C801" s="1" t="s">
        <v>4519</v>
      </c>
      <c r="D801" s="1" t="s">
        <v>4520</v>
      </c>
      <c r="E801" s="1" t="s">
        <v>39</v>
      </c>
      <c r="F801" s="1" t="s">
        <v>39</v>
      </c>
      <c r="G801" s="1" t="s">
        <v>40</v>
      </c>
      <c r="H801" s="2">
        <v>1.589E7</v>
      </c>
      <c r="I801" s="1">
        <v>0.0</v>
      </c>
      <c r="J801" s="1" t="s">
        <v>20</v>
      </c>
      <c r="K801" s="5">
        <v>46187.0</v>
      </c>
      <c r="L801" s="4" t="str">
        <f t="shared" si="1"/>
        <v>Tomas Valenzuela Muñoz</v>
      </c>
      <c r="M801" s="6" t="str">
        <f t="shared" si="2"/>
        <v>20.151.659-4</v>
      </c>
      <c r="N801" s="6" t="str">
        <f t="shared" si="3"/>
        <v>Concepción - Concepción - Región del Biobío</v>
      </c>
      <c r="O801" s="4"/>
    </row>
    <row r="802">
      <c r="A802" s="1" t="s">
        <v>3903</v>
      </c>
      <c r="B802" s="1" t="s">
        <v>3904</v>
      </c>
      <c r="C802" s="1" t="s">
        <v>4521</v>
      </c>
      <c r="D802" s="1" t="s">
        <v>3906</v>
      </c>
      <c r="E802" s="1" t="s">
        <v>194</v>
      </c>
      <c r="F802" s="1" t="s">
        <v>62</v>
      </c>
      <c r="G802" s="1" t="s">
        <v>63</v>
      </c>
      <c r="H802" s="2">
        <v>1.258E7</v>
      </c>
      <c r="I802" s="1">
        <v>120.0</v>
      </c>
      <c r="J802" s="1" t="s">
        <v>20</v>
      </c>
      <c r="K802" s="5">
        <v>46184.0</v>
      </c>
      <c r="L802" s="4" t="str">
        <f t="shared" si="1"/>
        <v>Francisca Rojas Valenzuela</v>
      </c>
      <c r="M802" s="6" t="str">
        <f t="shared" si="2"/>
        <v>13.023.527-6</v>
      </c>
      <c r="N802" s="6" t="str">
        <f t="shared" si="3"/>
        <v>Las Condes - Santiago - Región Metropolitana</v>
      </c>
      <c r="O802" s="4"/>
    </row>
    <row r="803">
      <c r="A803" s="1" t="s">
        <v>2521</v>
      </c>
      <c r="B803" s="1" t="s">
        <v>2522</v>
      </c>
      <c r="C803" s="1" t="s">
        <v>4522</v>
      </c>
      <c r="D803" s="1" t="s">
        <v>2524</v>
      </c>
      <c r="E803" s="1" t="s">
        <v>194</v>
      </c>
      <c r="F803" s="1" t="s">
        <v>62</v>
      </c>
      <c r="G803" s="1" t="s">
        <v>63</v>
      </c>
      <c r="H803" s="2">
        <v>1.738E7</v>
      </c>
      <c r="I803" s="1">
        <v>15.0</v>
      </c>
      <c r="J803" s="1" t="s">
        <v>73</v>
      </c>
      <c r="K803" s="5">
        <v>46099.0</v>
      </c>
      <c r="L803" s="4" t="str">
        <f t="shared" si="1"/>
        <v>Claudio González Pérez</v>
      </c>
      <c r="M803" s="6" t="str">
        <f t="shared" si="2"/>
        <v>22.452.644-K</v>
      </c>
      <c r="N803" s="6" t="str">
        <f t="shared" si="3"/>
        <v>Las Condes - Santiago - Región Metropolitana</v>
      </c>
      <c r="O803" s="4"/>
    </row>
    <row r="804">
      <c r="A804" s="1" t="s">
        <v>1245</v>
      </c>
      <c r="B804" s="1" t="s">
        <v>1246</v>
      </c>
      <c r="C804" s="1" t="s">
        <v>1247</v>
      </c>
      <c r="D804" s="1" t="s">
        <v>1248</v>
      </c>
      <c r="E804" s="1" t="s">
        <v>18</v>
      </c>
      <c r="F804" s="1" t="s">
        <v>18</v>
      </c>
      <c r="G804" s="1" t="s">
        <v>19</v>
      </c>
      <c r="H804" s="2">
        <v>1.531E7</v>
      </c>
      <c r="I804" s="1">
        <v>0.0</v>
      </c>
      <c r="J804" s="1" t="s">
        <v>20</v>
      </c>
      <c r="K804" s="5">
        <v>46100.0</v>
      </c>
      <c r="L804" s="4" t="str">
        <f t="shared" si="1"/>
        <v>Beatriz Silva Araya</v>
      </c>
      <c r="M804" s="6" t="str">
        <f t="shared" si="2"/>
        <v>19.334.906-5</v>
      </c>
      <c r="N804" s="6" t="str">
        <f t="shared" si="3"/>
        <v>La Serena - La Serena - Región de Coquimbo</v>
      </c>
      <c r="O804" s="4"/>
    </row>
    <row r="805">
      <c r="A805" s="1" t="s">
        <v>4282</v>
      </c>
      <c r="B805" s="1" t="s">
        <v>4283</v>
      </c>
      <c r="C805" s="1" t="s">
        <v>4523</v>
      </c>
      <c r="D805" s="1" t="s">
        <v>4285</v>
      </c>
      <c r="E805" s="1" t="s">
        <v>26</v>
      </c>
      <c r="F805" s="1" t="s">
        <v>26</v>
      </c>
      <c r="G805" s="1" t="s">
        <v>27</v>
      </c>
      <c r="H805" s="2">
        <v>610000.0</v>
      </c>
      <c r="I805" s="1">
        <v>30.0</v>
      </c>
      <c r="J805" s="1" t="s">
        <v>97</v>
      </c>
      <c r="K805" s="5">
        <v>46206.0</v>
      </c>
      <c r="L805" s="4" t="str">
        <f t="shared" si="1"/>
        <v>Hernán Araya Fuentes</v>
      </c>
      <c r="M805" s="6" t="str">
        <f t="shared" si="2"/>
        <v>21.702.391-4</v>
      </c>
      <c r="N805" s="6" t="str">
        <f t="shared" si="3"/>
        <v>Valparaíso - Valparaíso - Región de Valparaíso</v>
      </c>
      <c r="O805" s="4"/>
    </row>
    <row r="806">
      <c r="A806" s="1" t="s">
        <v>4524</v>
      </c>
      <c r="B806" s="1" t="s">
        <v>4525</v>
      </c>
      <c r="C806" s="1" t="s">
        <v>4526</v>
      </c>
      <c r="D806" s="1" t="s">
        <v>4527</v>
      </c>
      <c r="E806" s="1" t="s">
        <v>61</v>
      </c>
      <c r="F806" s="1" t="s">
        <v>62</v>
      </c>
      <c r="G806" s="1" t="s">
        <v>63</v>
      </c>
      <c r="H806" s="2">
        <v>2.106E7</v>
      </c>
      <c r="I806" s="1">
        <v>30.0</v>
      </c>
      <c r="J806" s="1" t="s">
        <v>97</v>
      </c>
      <c r="K806" s="5">
        <v>46157.0</v>
      </c>
      <c r="L806" s="4" t="str">
        <f t="shared" si="1"/>
        <v>Sofia Fuentes López</v>
      </c>
      <c r="M806" s="6" t="str">
        <f t="shared" si="2"/>
        <v>16259379-5</v>
      </c>
      <c r="N806" s="6" t="str">
        <f t="shared" si="3"/>
        <v>Santiago Centro - Santiago - Región Metropolitana</v>
      </c>
      <c r="O806" s="4"/>
    </row>
    <row r="807">
      <c r="A807" s="1" t="s">
        <v>3644</v>
      </c>
      <c r="B807" s="1" t="s">
        <v>3645</v>
      </c>
      <c r="C807" s="1" t="s">
        <v>3646</v>
      </c>
      <c r="D807" s="1" t="s">
        <v>3647</v>
      </c>
      <c r="E807" s="1" t="s">
        <v>56</v>
      </c>
      <c r="F807" s="1" t="s">
        <v>39</v>
      </c>
      <c r="G807" s="1" t="s">
        <v>40</v>
      </c>
      <c r="H807" s="2">
        <v>1.12E7</v>
      </c>
      <c r="I807" s="1">
        <v>15.0</v>
      </c>
      <c r="J807" s="1" t="s">
        <v>28</v>
      </c>
      <c r="K807" s="5">
        <v>46159.0</v>
      </c>
      <c r="L807" s="4" t="str">
        <f t="shared" si="1"/>
        <v>Felipe Valenzuela Soto</v>
      </c>
      <c r="M807" s="6" t="str">
        <f t="shared" si="2"/>
        <v>13804487-9</v>
      </c>
      <c r="N807" s="6" t="str">
        <f t="shared" si="3"/>
        <v>Talcahuano - Concepción - Región del Biobío</v>
      </c>
      <c r="O807" s="4"/>
    </row>
    <row r="808">
      <c r="A808" s="1" t="s">
        <v>4529</v>
      </c>
      <c r="B808" s="1" t="s">
        <v>4530</v>
      </c>
      <c r="C808" s="1" t="s">
        <v>4531</v>
      </c>
      <c r="D808" s="1" t="s">
        <v>4532</v>
      </c>
      <c r="E808" s="1" t="s">
        <v>158</v>
      </c>
      <c r="F808" s="1" t="s">
        <v>158</v>
      </c>
      <c r="G808" s="1" t="s">
        <v>159</v>
      </c>
      <c r="H808" s="2">
        <v>540000.0</v>
      </c>
      <c r="I808" s="1">
        <v>15.0</v>
      </c>
      <c r="J808" s="1" t="s">
        <v>47</v>
      </c>
      <c r="K808" s="5">
        <v>46037.0</v>
      </c>
      <c r="L808" s="4" t="str">
        <f t="shared" si="1"/>
        <v>Sofia Soto Araya</v>
      </c>
      <c r="M808" s="6" t="str">
        <f t="shared" si="2"/>
        <v>15.366.388-1</v>
      </c>
      <c r="N808" s="6" t="str">
        <f t="shared" si="3"/>
        <v>Antofagasta - Antofagasta - Región de Antofagasta</v>
      </c>
      <c r="O808" s="4"/>
    </row>
    <row r="809">
      <c r="A809" s="1" t="s">
        <v>3456</v>
      </c>
      <c r="B809" s="1" t="s">
        <v>3457</v>
      </c>
      <c r="C809" s="1" t="s">
        <v>3048</v>
      </c>
      <c r="D809" s="1" t="s">
        <v>3459</v>
      </c>
      <c r="E809" s="1" t="s">
        <v>109</v>
      </c>
      <c r="F809" s="1" t="s">
        <v>62</v>
      </c>
      <c r="G809" s="1" t="s">
        <v>63</v>
      </c>
      <c r="H809" s="2">
        <v>1.8E7</v>
      </c>
      <c r="I809" s="1">
        <v>0.0</v>
      </c>
      <c r="J809" s="1" t="s">
        <v>97</v>
      </c>
      <c r="K809" s="5">
        <v>46152.0</v>
      </c>
      <c r="L809" s="4" t="str">
        <f t="shared" si="1"/>
        <v>Esteban Díaz Rojas</v>
      </c>
      <c r="M809" s="6" t="str">
        <f t="shared" si="2"/>
        <v>17.574.755-4</v>
      </c>
      <c r="N809" s="6" t="str">
        <f t="shared" si="3"/>
        <v>Ñuñoa - Santiago - Región Metropolitana</v>
      </c>
      <c r="O809" s="4"/>
    </row>
    <row r="810">
      <c r="A810" s="1" t="s">
        <v>2752</v>
      </c>
      <c r="B810" s="1" t="s">
        <v>2753</v>
      </c>
      <c r="C810" s="1" t="s">
        <v>4533</v>
      </c>
      <c r="D810" s="1" t="s">
        <v>2755</v>
      </c>
      <c r="E810" s="1" t="s">
        <v>18</v>
      </c>
      <c r="F810" s="1" t="s">
        <v>18</v>
      </c>
      <c r="G810" s="1" t="s">
        <v>19</v>
      </c>
      <c r="H810" s="2">
        <v>1.715E7</v>
      </c>
      <c r="I810" s="1">
        <v>0.0</v>
      </c>
      <c r="J810" s="1" t="s">
        <v>20</v>
      </c>
      <c r="K810" s="5">
        <v>46210.0</v>
      </c>
      <c r="L810" s="4" t="str">
        <f t="shared" si="1"/>
        <v>Constanza Contreras Fuentes</v>
      </c>
      <c r="M810" s="6" t="str">
        <f t="shared" si="2"/>
        <v>17294373-7</v>
      </c>
      <c r="N810" s="6" t="str">
        <f t="shared" si="3"/>
        <v>La Serena - La Serena - Región de Coquimbo</v>
      </c>
      <c r="O810" s="4"/>
    </row>
    <row r="811">
      <c r="A811" s="1" t="s">
        <v>3002</v>
      </c>
      <c r="B811" s="1" t="s">
        <v>3003</v>
      </c>
      <c r="C811" s="1" t="s">
        <v>4535</v>
      </c>
      <c r="D811" s="1" t="s">
        <v>3005</v>
      </c>
      <c r="E811" s="1" t="s">
        <v>158</v>
      </c>
      <c r="F811" s="1" t="s">
        <v>158</v>
      </c>
      <c r="G811" s="1" t="s">
        <v>159</v>
      </c>
      <c r="H811" s="2">
        <v>1.176E7</v>
      </c>
      <c r="I811" s="1">
        <v>30.0</v>
      </c>
      <c r="J811" s="1" t="s">
        <v>47</v>
      </c>
      <c r="K811" s="5">
        <v>46133.0</v>
      </c>
      <c r="L811" s="4" t="str">
        <f t="shared" si="1"/>
        <v>Cristián Silva González</v>
      </c>
      <c r="M811" s="6" t="str">
        <f t="shared" si="2"/>
        <v>18.814.444-8</v>
      </c>
      <c r="N811" s="6" t="str">
        <f t="shared" si="3"/>
        <v>Antofagasta - Antofagasta - Región de Antofagasta</v>
      </c>
      <c r="O811" s="4"/>
    </row>
    <row r="812">
      <c r="A812" s="1" t="s">
        <v>4536</v>
      </c>
      <c r="B812" s="1" t="s">
        <v>4537</v>
      </c>
      <c r="C812" s="1" t="s">
        <v>4538</v>
      </c>
      <c r="D812" s="1" t="s">
        <v>4443</v>
      </c>
      <c r="E812" s="1" t="s">
        <v>56</v>
      </c>
      <c r="F812" s="1" t="s">
        <v>39</v>
      </c>
      <c r="G812" s="1" t="s">
        <v>40</v>
      </c>
      <c r="H812" s="2">
        <v>1.101E7</v>
      </c>
      <c r="I812" s="1">
        <v>0.0</v>
      </c>
      <c r="J812" s="1" t="s">
        <v>20</v>
      </c>
      <c r="K812" s="5">
        <v>46127.0</v>
      </c>
      <c r="L812" s="4" t="str">
        <f t="shared" si="1"/>
        <v>Marcela Morales López</v>
      </c>
      <c r="M812" s="6" t="str">
        <f t="shared" si="2"/>
        <v>18460324-5</v>
      </c>
      <c r="N812" s="6" t="str">
        <f t="shared" si="3"/>
        <v>Talcahuano - Concepción - Región del Biobío</v>
      </c>
      <c r="O812" s="4"/>
    </row>
    <row r="813">
      <c r="A813" s="1" t="s">
        <v>4539</v>
      </c>
      <c r="B813" s="1" t="s">
        <v>4540</v>
      </c>
      <c r="C813" s="1" t="s">
        <v>4541</v>
      </c>
      <c r="D813" s="1" t="s">
        <v>4542</v>
      </c>
      <c r="E813" s="1" t="s">
        <v>26</v>
      </c>
      <c r="F813" s="1" t="s">
        <v>26</v>
      </c>
      <c r="G813" s="1" t="s">
        <v>27</v>
      </c>
      <c r="H813" s="2">
        <v>1.053E7</v>
      </c>
      <c r="I813" s="1">
        <v>0.0</v>
      </c>
      <c r="J813" s="1" t="s">
        <v>73</v>
      </c>
      <c r="K813" s="5">
        <v>46153.0</v>
      </c>
      <c r="L813" s="4" t="str">
        <f t="shared" si="1"/>
        <v>Ignacio Valenzuela Muñoz</v>
      </c>
      <c r="M813" s="6" t="str">
        <f t="shared" si="2"/>
        <v>11154460-6</v>
      </c>
      <c r="N813" s="6" t="str">
        <f t="shared" si="3"/>
        <v>Valparaíso - Valparaíso - Región de Valparaíso</v>
      </c>
      <c r="O813" s="4"/>
    </row>
    <row r="814">
      <c r="A814" s="1" t="s">
        <v>4543</v>
      </c>
      <c r="B814" s="1" t="s">
        <v>4544</v>
      </c>
      <c r="C814" s="1" t="s">
        <v>4545</v>
      </c>
      <c r="D814" s="1" t="s">
        <v>4527</v>
      </c>
      <c r="E814" s="1" t="s">
        <v>194</v>
      </c>
      <c r="F814" s="1" t="s">
        <v>62</v>
      </c>
      <c r="G814" s="1" t="s">
        <v>63</v>
      </c>
      <c r="H814" s="2">
        <v>1.42E7</v>
      </c>
      <c r="I814" s="1">
        <v>30.0</v>
      </c>
      <c r="J814" s="1" t="s">
        <v>20</v>
      </c>
      <c r="K814" s="5">
        <v>46121.0</v>
      </c>
      <c r="L814" s="4" t="str">
        <f t="shared" si="1"/>
        <v>Sofia Fuentes Valenzuela</v>
      </c>
      <c r="M814" s="6" t="str">
        <f t="shared" si="2"/>
        <v>17.633.779-8</v>
      </c>
      <c r="N814" s="6" t="str">
        <f t="shared" si="3"/>
        <v>Las Condes - Santiago - Región Metropolitana</v>
      </c>
      <c r="O814" s="4"/>
    </row>
    <row r="815">
      <c r="A815" s="1" t="s">
        <v>3443</v>
      </c>
      <c r="B815" s="1" t="s">
        <v>3444</v>
      </c>
      <c r="C815" s="1" t="s">
        <v>4546</v>
      </c>
      <c r="D815" s="1" t="s">
        <v>3446</v>
      </c>
      <c r="E815" s="1" t="s">
        <v>72</v>
      </c>
      <c r="F815" s="1" t="s">
        <v>62</v>
      </c>
      <c r="G815" s="1" t="s">
        <v>63</v>
      </c>
      <c r="H815" s="2">
        <v>5370000.0</v>
      </c>
      <c r="I815" s="1">
        <v>60.0</v>
      </c>
      <c r="J815" s="1" t="s">
        <v>97</v>
      </c>
      <c r="K815" s="5">
        <v>46137.0</v>
      </c>
      <c r="L815" s="4" t="str">
        <f t="shared" si="1"/>
        <v>Esteban Contreras Sepúlveda</v>
      </c>
      <c r="M815" s="6" t="str">
        <f t="shared" si="2"/>
        <v>22.111.002-6</v>
      </c>
      <c r="N815" s="6" t="str">
        <f t="shared" si="3"/>
        <v>Providencia - Santiago - Región Metropolitana</v>
      </c>
      <c r="O815" s="4"/>
    </row>
    <row r="816">
      <c r="A816" s="1" t="s">
        <v>4548</v>
      </c>
      <c r="B816" s="1" t="s">
        <v>4549</v>
      </c>
      <c r="C816" s="1" t="s">
        <v>4550</v>
      </c>
      <c r="D816" s="1" t="s">
        <v>4551</v>
      </c>
      <c r="E816" s="1" t="s">
        <v>118</v>
      </c>
      <c r="F816" s="1" t="s">
        <v>62</v>
      </c>
      <c r="G816" s="1" t="s">
        <v>63</v>
      </c>
      <c r="H816" s="2">
        <v>1.718E7</v>
      </c>
      <c r="I816" s="1">
        <v>120.0</v>
      </c>
      <c r="J816" s="1" t="s">
        <v>73</v>
      </c>
      <c r="K816" s="5">
        <v>46119.0</v>
      </c>
      <c r="L816" s="4" t="str">
        <f t="shared" si="1"/>
        <v>Javiera Silva Contreras</v>
      </c>
      <c r="M816" s="6" t="str">
        <f t="shared" si="2"/>
        <v>20481651-5</v>
      </c>
      <c r="N816" s="6" t="str">
        <f t="shared" si="3"/>
        <v>Maipú - Santiago - Región Metropolitana</v>
      </c>
      <c r="O816" s="4"/>
    </row>
    <row r="817">
      <c r="A817" s="1" t="s">
        <v>4552</v>
      </c>
      <c r="B817" s="1" t="s">
        <v>4553</v>
      </c>
      <c r="C817" s="1" t="s">
        <v>4554</v>
      </c>
      <c r="D817" s="1" t="s">
        <v>4555</v>
      </c>
      <c r="E817" s="1" t="s">
        <v>56</v>
      </c>
      <c r="F817" s="1" t="s">
        <v>39</v>
      </c>
      <c r="G817" s="1" t="s">
        <v>40</v>
      </c>
      <c r="H817" s="2">
        <v>7090000.0</v>
      </c>
      <c r="I817" s="1">
        <v>90.0</v>
      </c>
      <c r="J817" s="1" t="s">
        <v>28</v>
      </c>
      <c r="K817" s="5">
        <v>46090.0</v>
      </c>
      <c r="L817" s="4" t="str">
        <f t="shared" si="1"/>
        <v>Matías Morales Araya</v>
      </c>
      <c r="M817" s="6" t="str">
        <f t="shared" si="2"/>
        <v>13.923.397-K</v>
      </c>
      <c r="N817" s="6" t="str">
        <f t="shared" si="3"/>
        <v>Talcahuano - Concepción - Región del Biobío</v>
      </c>
      <c r="O817" s="4"/>
    </row>
    <row r="818">
      <c r="A818" s="1" t="s">
        <v>1656</v>
      </c>
      <c r="B818" s="1" t="s">
        <v>1658</v>
      </c>
      <c r="C818" s="1" t="s">
        <v>4556</v>
      </c>
      <c r="D818" s="1" t="s">
        <v>1661</v>
      </c>
      <c r="E818" s="1" t="s">
        <v>56</v>
      </c>
      <c r="F818" s="1" t="s">
        <v>39</v>
      </c>
      <c r="G818" s="1" t="s">
        <v>40</v>
      </c>
      <c r="H818" s="2">
        <v>9430000.0</v>
      </c>
      <c r="I818" s="1">
        <v>0.0</v>
      </c>
      <c r="J818" s="1" t="s">
        <v>28</v>
      </c>
      <c r="K818" s="5">
        <v>46226.0</v>
      </c>
      <c r="L818" s="4" t="str">
        <f t="shared" si="1"/>
        <v>Camila Vergara Morales</v>
      </c>
      <c r="M818" s="6" t="str">
        <f t="shared" si="2"/>
        <v>15.389.419-1</v>
      </c>
      <c r="N818" s="6" t="str">
        <f t="shared" si="3"/>
        <v>Talcahuano - Concepción - Región del Biobío</v>
      </c>
      <c r="O818" s="4"/>
    </row>
    <row r="819">
      <c r="A819" s="1" t="s">
        <v>212</v>
      </c>
      <c r="B819" s="1" t="s">
        <v>213</v>
      </c>
      <c r="C819" s="1" t="s">
        <v>4557</v>
      </c>
      <c r="D819" s="1" t="s">
        <v>215</v>
      </c>
      <c r="E819" s="1" t="s">
        <v>194</v>
      </c>
      <c r="F819" s="1" t="s">
        <v>62</v>
      </c>
      <c r="G819" s="1" t="s">
        <v>63</v>
      </c>
      <c r="H819" s="2">
        <v>5230000.0</v>
      </c>
      <c r="I819" s="1">
        <v>60.0</v>
      </c>
      <c r="J819" s="1" t="s">
        <v>47</v>
      </c>
      <c r="K819" s="5">
        <v>46156.0</v>
      </c>
      <c r="L819" s="4" t="str">
        <f t="shared" si="1"/>
        <v>Álvaro Fuentes González</v>
      </c>
      <c r="M819" s="6" t="str">
        <f t="shared" si="2"/>
        <v>15.617.915-5</v>
      </c>
      <c r="N819" s="6" t="str">
        <f t="shared" si="3"/>
        <v>Las Condes - Santiago - Región Metropolitana</v>
      </c>
      <c r="O819" s="4"/>
    </row>
    <row r="820">
      <c r="A820" s="1" t="s">
        <v>1133</v>
      </c>
      <c r="B820" s="1" t="s">
        <v>1135</v>
      </c>
      <c r="C820" s="1" t="s">
        <v>4558</v>
      </c>
      <c r="D820" s="1" t="s">
        <v>1138</v>
      </c>
      <c r="E820" s="1" t="s">
        <v>33</v>
      </c>
      <c r="F820" s="1" t="s">
        <v>33</v>
      </c>
      <c r="G820" s="1" t="s">
        <v>34</v>
      </c>
      <c r="H820" s="2">
        <v>6230000.0</v>
      </c>
      <c r="I820" s="1">
        <v>90.0</v>
      </c>
      <c r="J820" s="1" t="s">
        <v>28</v>
      </c>
      <c r="K820" s="5">
        <v>46133.0</v>
      </c>
      <c r="L820" s="4" t="str">
        <f t="shared" si="1"/>
        <v>Beatriz Fuentes Rojas</v>
      </c>
      <c r="M820" s="6" t="str">
        <f t="shared" si="2"/>
        <v>17.180.304-4</v>
      </c>
      <c r="N820" s="6" t="str">
        <f t="shared" si="3"/>
        <v>Puerto Montt - Puerto Montt - Región de Los Lagos</v>
      </c>
      <c r="O820" s="4"/>
    </row>
    <row r="821">
      <c r="A821" s="1" t="s">
        <v>4039</v>
      </c>
      <c r="B821" s="1" t="s">
        <v>4040</v>
      </c>
      <c r="C821" s="1" t="s">
        <v>4041</v>
      </c>
      <c r="D821" s="1" t="s">
        <v>4042</v>
      </c>
      <c r="E821" s="1" t="s">
        <v>26</v>
      </c>
      <c r="F821" s="1" t="s">
        <v>26</v>
      </c>
      <c r="G821" s="1" t="s">
        <v>27</v>
      </c>
      <c r="H821" s="2">
        <v>2.07E7</v>
      </c>
      <c r="I821" s="1">
        <v>0.0</v>
      </c>
      <c r="J821" s="1" t="s">
        <v>28</v>
      </c>
      <c r="K821" s="5">
        <v>46145.0</v>
      </c>
      <c r="L821" s="4" t="str">
        <f t="shared" si="1"/>
        <v>Gabriel González Silva</v>
      </c>
      <c r="M821" s="6" t="str">
        <f t="shared" si="2"/>
        <v>12.811.449-9</v>
      </c>
      <c r="N821" s="6" t="str">
        <f t="shared" si="3"/>
        <v>Valparaíso - Valparaíso - Región de Valparaíso</v>
      </c>
      <c r="O821" s="4"/>
    </row>
    <row r="822">
      <c r="A822" s="1" t="s">
        <v>3727</v>
      </c>
      <c r="B822" s="1" t="s">
        <v>3729</v>
      </c>
      <c r="C822" s="1" t="s">
        <v>3731</v>
      </c>
      <c r="D822" s="1" t="s">
        <v>3330</v>
      </c>
      <c r="E822" s="1" t="s">
        <v>61</v>
      </c>
      <c r="F822" s="1" t="s">
        <v>62</v>
      </c>
      <c r="G822" s="1" t="s">
        <v>63</v>
      </c>
      <c r="H822" s="2">
        <v>6270000.0</v>
      </c>
      <c r="I822" s="1">
        <v>45.0</v>
      </c>
      <c r="J822" s="1" t="s">
        <v>20</v>
      </c>
      <c r="K822" s="5">
        <v>46183.0</v>
      </c>
      <c r="L822" s="4" t="str">
        <f t="shared" si="1"/>
        <v>Fernanda Muñoz Morales</v>
      </c>
      <c r="M822" s="6" t="str">
        <f t="shared" si="2"/>
        <v>13935105-3</v>
      </c>
      <c r="N822" s="6" t="str">
        <f t="shared" si="3"/>
        <v>Santiago Centro - Santiago - Región Metropolitana</v>
      </c>
      <c r="O822" s="4"/>
    </row>
    <row r="823">
      <c r="A823" s="1" t="s">
        <v>251</v>
      </c>
      <c r="B823" s="1" t="s">
        <v>253</v>
      </c>
      <c r="C823" s="1" t="s">
        <v>254</v>
      </c>
      <c r="D823" s="1" t="s">
        <v>255</v>
      </c>
      <c r="E823" s="1" t="s">
        <v>26</v>
      </c>
      <c r="F823" s="1" t="s">
        <v>26</v>
      </c>
      <c r="G823" s="1" t="s">
        <v>27</v>
      </c>
      <c r="H823" s="2">
        <v>7680000.0</v>
      </c>
      <c r="I823" s="1">
        <v>45.0</v>
      </c>
      <c r="J823" s="1" t="s">
        <v>28</v>
      </c>
      <c r="K823" s="5">
        <v>46164.0</v>
      </c>
      <c r="L823" s="4" t="str">
        <f t="shared" si="1"/>
        <v>Álvaro López Vergara</v>
      </c>
      <c r="M823" s="6" t="str">
        <f t="shared" si="2"/>
        <v>22.476.077-K</v>
      </c>
      <c r="N823" s="6" t="str">
        <f t="shared" si="3"/>
        <v>Valparaíso - Valparaíso - Región de Valparaíso</v>
      </c>
      <c r="O823" s="4"/>
    </row>
    <row r="824">
      <c r="A824" s="1" t="s">
        <v>1873</v>
      </c>
      <c r="B824" s="1" t="s">
        <v>1874</v>
      </c>
      <c r="C824" s="1" t="s">
        <v>4560</v>
      </c>
      <c r="D824" s="1" t="s">
        <v>1876</v>
      </c>
      <c r="E824" s="1" t="s">
        <v>109</v>
      </c>
      <c r="F824" s="1" t="s">
        <v>62</v>
      </c>
      <c r="G824" s="1" t="s">
        <v>63</v>
      </c>
      <c r="H824" s="2">
        <v>8610000.0</v>
      </c>
      <c r="I824" s="1">
        <v>30.0</v>
      </c>
      <c r="J824" s="1" t="s">
        <v>47</v>
      </c>
      <c r="K824" s="5">
        <v>46061.0</v>
      </c>
      <c r="L824" s="4" t="str">
        <f t="shared" si="1"/>
        <v>Carolina Pérez Sepúlveda</v>
      </c>
      <c r="M824" s="6" t="str">
        <f t="shared" si="2"/>
        <v>13.182.612-K</v>
      </c>
      <c r="N824" s="6" t="str">
        <f t="shared" si="3"/>
        <v>Ñuñoa - Santiago - Región Metropolitana</v>
      </c>
      <c r="O824" s="4"/>
    </row>
    <row r="825">
      <c r="A825" s="1" t="s">
        <v>2691</v>
      </c>
      <c r="B825" s="1" t="s">
        <v>2693</v>
      </c>
      <c r="C825" s="1" t="s">
        <v>2694</v>
      </c>
      <c r="D825" s="1" t="s">
        <v>2695</v>
      </c>
      <c r="E825" s="1" t="s">
        <v>194</v>
      </c>
      <c r="F825" s="1" t="s">
        <v>62</v>
      </c>
      <c r="G825" s="1" t="s">
        <v>63</v>
      </c>
      <c r="H825" s="2">
        <v>1.992E7</v>
      </c>
      <c r="I825" s="1">
        <v>15.0</v>
      </c>
      <c r="J825" s="1" t="s">
        <v>28</v>
      </c>
      <c r="K825" s="5">
        <v>46228.0</v>
      </c>
      <c r="L825" s="4" t="str">
        <f t="shared" si="1"/>
        <v>Claudio Soto González</v>
      </c>
      <c r="M825" s="6" t="str">
        <f t="shared" si="2"/>
        <v>19.801.145-6</v>
      </c>
      <c r="N825" s="6" t="str">
        <f t="shared" si="3"/>
        <v>Las Condes - Santiago - Región Metropolitana</v>
      </c>
      <c r="O825" s="4"/>
    </row>
    <row r="826">
      <c r="A826" s="1" t="s">
        <v>3776</v>
      </c>
      <c r="B826" s="1" t="s">
        <v>3777</v>
      </c>
      <c r="C826" s="1" t="s">
        <v>3778</v>
      </c>
      <c r="D826" s="1" t="s">
        <v>3779</v>
      </c>
      <c r="E826" s="1" t="s">
        <v>39</v>
      </c>
      <c r="F826" s="1" t="s">
        <v>39</v>
      </c>
      <c r="G826" s="1" t="s">
        <v>40</v>
      </c>
      <c r="H826" s="2">
        <v>4800000.0</v>
      </c>
      <c r="I826" s="1">
        <v>45.0</v>
      </c>
      <c r="J826" s="1" t="s">
        <v>97</v>
      </c>
      <c r="K826" s="5">
        <v>46056.0</v>
      </c>
      <c r="L826" s="4" t="str">
        <f t="shared" si="1"/>
        <v>Fernanda Soto Rodríguez</v>
      </c>
      <c r="M826" s="6" t="str">
        <f t="shared" si="2"/>
        <v>20.481.881-6</v>
      </c>
      <c r="N826" s="6" t="str">
        <f t="shared" si="3"/>
        <v>Concepción - Concepción - Región del Biobío</v>
      </c>
      <c r="O826" s="4"/>
    </row>
    <row r="827">
      <c r="A827" s="1" t="s">
        <v>3394</v>
      </c>
      <c r="B827" s="1" t="s">
        <v>3395</v>
      </c>
      <c r="C827" s="1" t="s">
        <v>3396</v>
      </c>
      <c r="D827" s="1" t="s">
        <v>3389</v>
      </c>
      <c r="E827" s="1" t="s">
        <v>194</v>
      </c>
      <c r="F827" s="1" t="s">
        <v>62</v>
      </c>
      <c r="G827" s="1" t="s">
        <v>63</v>
      </c>
      <c r="H827" s="2">
        <v>1.177E7</v>
      </c>
      <c r="I827" s="1">
        <v>15.0</v>
      </c>
      <c r="J827" s="1" t="s">
        <v>28</v>
      </c>
      <c r="K827" s="5">
        <v>46191.0</v>
      </c>
      <c r="L827" s="4" t="str">
        <f t="shared" si="1"/>
        <v>Diego Soto Soto</v>
      </c>
      <c r="M827" s="6" t="str">
        <f t="shared" si="2"/>
        <v>18.309.696-0</v>
      </c>
      <c r="N827" s="6" t="str">
        <f t="shared" si="3"/>
        <v>Las Condes - Santiago - Región Metropolitana</v>
      </c>
      <c r="O827" s="4"/>
    </row>
    <row r="828">
      <c r="A828" s="1" t="s">
        <v>3792</v>
      </c>
      <c r="B828" s="1" t="s">
        <v>3793</v>
      </c>
      <c r="C828" s="1" t="s">
        <v>3794</v>
      </c>
      <c r="D828" s="1" t="s">
        <v>3795</v>
      </c>
      <c r="E828" s="1" t="s">
        <v>72</v>
      </c>
      <c r="F828" s="1" t="s">
        <v>62</v>
      </c>
      <c r="G828" s="1" t="s">
        <v>63</v>
      </c>
      <c r="H828" s="2">
        <v>6130000.0</v>
      </c>
      <c r="I828" s="1">
        <v>90.0</v>
      </c>
      <c r="J828" s="1" t="s">
        <v>97</v>
      </c>
      <c r="K828" s="5">
        <v>46038.0</v>
      </c>
      <c r="L828" s="4" t="str">
        <f t="shared" si="1"/>
        <v>Fernanda Tapia Fuentes</v>
      </c>
      <c r="M828" s="6" t="str">
        <f t="shared" si="2"/>
        <v>20813557-K</v>
      </c>
      <c r="N828" s="6" t="str">
        <f t="shared" si="3"/>
        <v>Providencia - Santiago - Región Metropolitana</v>
      </c>
      <c r="O828" s="4"/>
    </row>
    <row r="829">
      <c r="A829" s="1" t="s">
        <v>3996</v>
      </c>
      <c r="B829" s="1" t="s">
        <v>3998</v>
      </c>
      <c r="C829" s="1" t="s">
        <v>3999</v>
      </c>
      <c r="D829" s="1" t="s">
        <v>117</v>
      </c>
      <c r="E829" s="1" t="s">
        <v>39</v>
      </c>
      <c r="F829" s="1" t="s">
        <v>39</v>
      </c>
      <c r="G829" s="1" t="s">
        <v>40</v>
      </c>
      <c r="H829" s="2">
        <v>2.047E7</v>
      </c>
      <c r="I829" s="1">
        <v>120.0</v>
      </c>
      <c r="J829" s="1" t="s">
        <v>47</v>
      </c>
      <c r="K829" s="5">
        <v>46072.0</v>
      </c>
      <c r="L829" s="4" t="str">
        <f t="shared" si="1"/>
        <v>Gabriel Contreras Morales</v>
      </c>
      <c r="M829" s="6" t="str">
        <f t="shared" si="2"/>
        <v>22.414.645-5</v>
      </c>
      <c r="N829" s="6" t="str">
        <f t="shared" si="3"/>
        <v>Concepción - Concepción - Región del Biobío</v>
      </c>
      <c r="O829" s="4"/>
    </row>
    <row r="830">
      <c r="A830" s="1" t="s">
        <v>4561</v>
      </c>
      <c r="B830" s="1" t="s">
        <v>4562</v>
      </c>
      <c r="C830" s="1" t="s">
        <v>4563</v>
      </c>
      <c r="D830" s="1" t="s">
        <v>4564</v>
      </c>
      <c r="E830" s="1" t="s">
        <v>45</v>
      </c>
      <c r="F830" s="1" t="s">
        <v>45</v>
      </c>
      <c r="G830" s="1" t="s">
        <v>46</v>
      </c>
      <c r="H830" s="2">
        <v>1.322E7</v>
      </c>
      <c r="I830" s="1">
        <v>0.0</v>
      </c>
      <c r="J830" s="1" t="s">
        <v>28</v>
      </c>
      <c r="K830" s="5">
        <v>46176.0</v>
      </c>
      <c r="L830" s="4" t="str">
        <f t="shared" si="1"/>
        <v>Loreto Morales Valenzuela</v>
      </c>
      <c r="M830" s="6" t="str">
        <f t="shared" si="2"/>
        <v>18.376.078-9</v>
      </c>
      <c r="N830" s="6" t="str">
        <f t="shared" si="3"/>
        <v>Temuco - Temuco - Región de la Araucanía</v>
      </c>
      <c r="O830" s="4"/>
    </row>
    <row r="831">
      <c r="A831" s="1" t="s">
        <v>2585</v>
      </c>
      <c r="B831" s="1" t="s">
        <v>2586</v>
      </c>
      <c r="C831" s="1" t="s">
        <v>4565</v>
      </c>
      <c r="D831" s="1" t="s">
        <v>2571</v>
      </c>
      <c r="E831" s="1" t="s">
        <v>158</v>
      </c>
      <c r="F831" s="1" t="s">
        <v>158</v>
      </c>
      <c r="G831" s="1" t="s">
        <v>159</v>
      </c>
      <c r="H831" s="2">
        <v>560000.0</v>
      </c>
      <c r="I831" s="1">
        <v>0.0</v>
      </c>
      <c r="J831" s="1" t="s">
        <v>97</v>
      </c>
      <c r="K831" s="5">
        <v>46208.0</v>
      </c>
      <c r="L831" s="4" t="str">
        <f t="shared" si="1"/>
        <v>Claudio Muñoz Tapia</v>
      </c>
      <c r="M831" s="6" t="str">
        <f t="shared" si="2"/>
        <v>14.379.132-7</v>
      </c>
      <c r="N831" s="6" t="str">
        <f t="shared" si="3"/>
        <v>Antofagasta - Antofagasta - Región de Antofagasta</v>
      </c>
      <c r="O831" s="4"/>
    </row>
    <row r="832">
      <c r="A832" s="1" t="s">
        <v>1636</v>
      </c>
      <c r="B832" s="1" t="s">
        <v>1637</v>
      </c>
      <c r="C832" s="1" t="s">
        <v>1629</v>
      </c>
      <c r="D832" s="1" t="s">
        <v>1638</v>
      </c>
      <c r="E832" s="1" t="s">
        <v>18</v>
      </c>
      <c r="F832" s="1" t="s">
        <v>18</v>
      </c>
      <c r="G832" s="1" t="s">
        <v>19</v>
      </c>
      <c r="H832" s="2">
        <v>1.594E7</v>
      </c>
      <c r="I832" s="1">
        <v>60.0</v>
      </c>
      <c r="J832" s="1" t="s">
        <v>28</v>
      </c>
      <c r="K832" s="5">
        <v>46180.0</v>
      </c>
      <c r="L832" s="4" t="str">
        <f t="shared" si="1"/>
        <v>Camila Valenzuela Rojas</v>
      </c>
      <c r="M832" s="6" t="str">
        <f t="shared" si="2"/>
        <v>22.465.052-9</v>
      </c>
      <c r="N832" s="6" t="str">
        <f t="shared" si="3"/>
        <v>La Serena - La Serena - Región de Coquimbo</v>
      </c>
      <c r="O832" s="4"/>
    </row>
    <row r="833">
      <c r="A833" s="1" t="s">
        <v>4566</v>
      </c>
      <c r="B833" s="1" t="s">
        <v>4567</v>
      </c>
      <c r="C833" s="1" t="s">
        <v>4568</v>
      </c>
      <c r="D833" s="1" t="s">
        <v>4569</v>
      </c>
      <c r="E833" s="1" t="s">
        <v>194</v>
      </c>
      <c r="F833" s="1" t="s">
        <v>62</v>
      </c>
      <c r="G833" s="1" t="s">
        <v>63</v>
      </c>
      <c r="H833" s="2">
        <v>750000.0</v>
      </c>
      <c r="I833" s="1">
        <v>0.0</v>
      </c>
      <c r="J833" s="1" t="s">
        <v>47</v>
      </c>
      <c r="K833" s="5">
        <v>46163.0</v>
      </c>
      <c r="L833" s="4" t="str">
        <f t="shared" si="1"/>
        <v>Matías Morales Rojas</v>
      </c>
      <c r="M833" s="6" t="str">
        <f t="shared" si="2"/>
        <v>20.947.049-9</v>
      </c>
      <c r="N833" s="6" t="str">
        <f t="shared" si="3"/>
        <v>Las Condes - Santiago - Región Metropolitana</v>
      </c>
      <c r="O833" s="4"/>
    </row>
    <row r="834">
      <c r="A834" s="1" t="s">
        <v>3203</v>
      </c>
      <c r="B834" s="1" t="s">
        <v>3204</v>
      </c>
      <c r="C834" s="1" t="s">
        <v>3205</v>
      </c>
      <c r="D834" s="1" t="s">
        <v>3206</v>
      </c>
      <c r="E834" s="1" t="s">
        <v>72</v>
      </c>
      <c r="F834" s="1" t="s">
        <v>62</v>
      </c>
      <c r="G834" s="1" t="s">
        <v>63</v>
      </c>
      <c r="H834" s="2">
        <v>1.652E7</v>
      </c>
      <c r="I834" s="1">
        <v>0.0</v>
      </c>
      <c r="J834" s="1" t="s">
        <v>47</v>
      </c>
      <c r="K834" s="5">
        <v>46200.0</v>
      </c>
      <c r="L834" s="4" t="str">
        <f t="shared" si="1"/>
        <v>Daniela Tapia Tapia</v>
      </c>
      <c r="M834" s="6" t="str">
        <f t="shared" si="2"/>
        <v>13.089.278-7</v>
      </c>
      <c r="N834" s="6" t="str">
        <f t="shared" si="3"/>
        <v>Providencia - Santiago - Región Metropolitana</v>
      </c>
      <c r="O834" s="4"/>
    </row>
    <row r="835">
      <c r="A835" s="1" t="s">
        <v>2917</v>
      </c>
      <c r="B835" s="1" t="s">
        <v>2918</v>
      </c>
      <c r="C835" s="1" t="s">
        <v>2919</v>
      </c>
      <c r="D835" s="1" t="s">
        <v>2920</v>
      </c>
      <c r="E835" s="1" t="s">
        <v>158</v>
      </c>
      <c r="F835" s="1" t="s">
        <v>158</v>
      </c>
      <c r="G835" s="1" t="s">
        <v>159</v>
      </c>
      <c r="H835" s="2">
        <v>1.314E7</v>
      </c>
      <c r="I835" s="1">
        <v>45.0</v>
      </c>
      <c r="J835" s="1" t="s">
        <v>20</v>
      </c>
      <c r="K835" s="5">
        <v>46056.0</v>
      </c>
      <c r="L835" s="4" t="str">
        <f t="shared" si="1"/>
        <v>Cristián Fuentes González</v>
      </c>
      <c r="M835" s="6" t="str">
        <f t="shared" si="2"/>
        <v>20.171.697-K</v>
      </c>
      <c r="N835" s="6" t="str">
        <f t="shared" si="3"/>
        <v>Antofagasta - Antofagasta - Región de Antofagasta</v>
      </c>
      <c r="O835" s="4"/>
    </row>
    <row r="836">
      <c r="A836" s="1" t="s">
        <v>4571</v>
      </c>
      <c r="B836" s="1" t="s">
        <v>4572</v>
      </c>
      <c r="C836" s="1" t="s">
        <v>4573</v>
      </c>
      <c r="D836" s="1" t="s">
        <v>4574</v>
      </c>
      <c r="E836" s="1" t="s">
        <v>26</v>
      </c>
      <c r="F836" s="1" t="s">
        <v>26</v>
      </c>
      <c r="G836" s="1" t="s">
        <v>27</v>
      </c>
      <c r="H836" s="2">
        <v>2.031E7</v>
      </c>
      <c r="I836" s="1">
        <v>0.0</v>
      </c>
      <c r="J836" s="1" t="s">
        <v>20</v>
      </c>
      <c r="K836" s="5">
        <v>46153.0</v>
      </c>
      <c r="L836" s="4" t="str">
        <f t="shared" si="1"/>
        <v>Valentina Silva Vergara</v>
      </c>
      <c r="M836" s="6" t="str">
        <f t="shared" si="2"/>
        <v>22175780-4</v>
      </c>
      <c r="N836" s="6" t="str">
        <f t="shared" si="3"/>
        <v>Valparaíso - Valparaíso - Región de Valparaíso</v>
      </c>
      <c r="O836" s="4"/>
    </row>
    <row r="837">
      <c r="A837" s="1" t="s">
        <v>3593</v>
      </c>
      <c r="B837" s="1" t="s">
        <v>3595</v>
      </c>
      <c r="C837" s="1" t="s">
        <v>3596</v>
      </c>
      <c r="D837" s="1" t="s">
        <v>1817</v>
      </c>
      <c r="E837" s="1" t="s">
        <v>39</v>
      </c>
      <c r="F837" s="1" t="s">
        <v>39</v>
      </c>
      <c r="G837" s="1" t="s">
        <v>40</v>
      </c>
      <c r="H837" s="2">
        <v>2.19E7</v>
      </c>
      <c r="I837" s="1">
        <v>0.0</v>
      </c>
      <c r="J837" s="1" t="s">
        <v>20</v>
      </c>
      <c r="K837" s="5">
        <v>46077.0</v>
      </c>
      <c r="L837" s="4" t="str">
        <f t="shared" si="1"/>
        <v>Felipe Pérez Muñoz</v>
      </c>
      <c r="M837" s="6" t="str">
        <f t="shared" si="2"/>
        <v>12.232.514-4</v>
      </c>
      <c r="N837" s="6" t="str">
        <f t="shared" si="3"/>
        <v>Concepción - Concepción - Región del Biobío</v>
      </c>
      <c r="O837" s="4"/>
    </row>
    <row r="838">
      <c r="A838" s="1" t="s">
        <v>4575</v>
      </c>
      <c r="B838" s="1" t="s">
        <v>4576</v>
      </c>
      <c r="C838" s="1" t="s">
        <v>1026</v>
      </c>
      <c r="D838" s="1" t="s">
        <v>1027</v>
      </c>
      <c r="E838" s="1" t="s">
        <v>26</v>
      </c>
      <c r="F838" s="1" t="s">
        <v>26</v>
      </c>
      <c r="G838" s="1" t="s">
        <v>27</v>
      </c>
      <c r="H838" s="2">
        <v>1.327E7</v>
      </c>
      <c r="I838" s="1">
        <v>120.0</v>
      </c>
      <c r="J838" s="1" t="s">
        <v>47</v>
      </c>
      <c r="K838" s="5">
        <v>46140.0</v>
      </c>
      <c r="L838" s="4" t="str">
        <f t="shared" si="1"/>
        <v>Marcela Pérez Fuentes</v>
      </c>
      <c r="M838" s="6" t="str">
        <f t="shared" si="2"/>
        <v>21.872.901-7</v>
      </c>
      <c r="N838" s="6" t="str">
        <f t="shared" si="3"/>
        <v>Valparaíso - Valparaíso - Región de Valparaíso</v>
      </c>
      <c r="O838" s="4"/>
    </row>
    <row r="839">
      <c r="A839" s="1" t="s">
        <v>4577</v>
      </c>
      <c r="B839" s="1" t="s">
        <v>4578</v>
      </c>
      <c r="C839" s="1" t="s">
        <v>4579</v>
      </c>
      <c r="D839" s="1" t="s">
        <v>3926</v>
      </c>
      <c r="E839" s="1" t="s">
        <v>26</v>
      </c>
      <c r="F839" s="1" t="s">
        <v>26</v>
      </c>
      <c r="G839" s="1" t="s">
        <v>27</v>
      </c>
      <c r="H839" s="2">
        <v>6460000.0</v>
      </c>
      <c r="I839" s="1">
        <v>45.0</v>
      </c>
      <c r="J839" s="1" t="s">
        <v>97</v>
      </c>
      <c r="K839" s="5">
        <v>46034.0</v>
      </c>
      <c r="L839" s="4" t="str">
        <f t="shared" si="1"/>
        <v>Sebastián Pérez Muñoz</v>
      </c>
      <c r="M839" s="6" t="str">
        <f t="shared" si="2"/>
        <v>17.694.695-2</v>
      </c>
      <c r="N839" s="6" t="str">
        <f t="shared" si="3"/>
        <v>Valparaíso - Valparaíso - Región de Valparaíso</v>
      </c>
      <c r="O839" s="4"/>
    </row>
    <row r="840">
      <c r="A840" s="1" t="s">
        <v>4580</v>
      </c>
      <c r="B840" s="1" t="s">
        <v>4581</v>
      </c>
      <c r="C840" s="1" t="s">
        <v>4582</v>
      </c>
      <c r="D840" s="1" t="s">
        <v>3910</v>
      </c>
      <c r="E840" s="1" t="s">
        <v>25</v>
      </c>
      <c r="F840" s="1" t="s">
        <v>26</v>
      </c>
      <c r="G840" s="1" t="s">
        <v>27</v>
      </c>
      <c r="H840" s="2">
        <v>1890000.0</v>
      </c>
      <c r="I840" s="1">
        <v>30.0</v>
      </c>
      <c r="J840" s="1" t="s">
        <v>20</v>
      </c>
      <c r="K840" s="5">
        <v>46106.0</v>
      </c>
      <c r="L840" s="4" t="str">
        <f t="shared" si="1"/>
        <v>Paula López Sepúlveda</v>
      </c>
      <c r="M840" s="6" t="str">
        <f t="shared" si="2"/>
        <v>12419872-K</v>
      </c>
      <c r="N840" s="6" t="str">
        <f t="shared" si="3"/>
        <v>Viña del Mar - Valparaíso - Región de Valparaíso</v>
      </c>
      <c r="O840" s="4"/>
    </row>
    <row r="841">
      <c r="A841" s="1" t="s">
        <v>4583</v>
      </c>
      <c r="B841" s="1" t="s">
        <v>4584</v>
      </c>
      <c r="C841" s="1" t="s">
        <v>4585</v>
      </c>
      <c r="D841" s="1" t="s">
        <v>4586</v>
      </c>
      <c r="E841" s="1" t="s">
        <v>194</v>
      </c>
      <c r="F841" s="1" t="s">
        <v>62</v>
      </c>
      <c r="G841" s="1" t="s">
        <v>63</v>
      </c>
      <c r="H841" s="2">
        <v>660000.0</v>
      </c>
      <c r="I841" s="1">
        <v>60.0</v>
      </c>
      <c r="J841" s="1" t="s">
        <v>73</v>
      </c>
      <c r="K841" s="5">
        <v>46120.0</v>
      </c>
      <c r="L841" s="4" t="str">
        <f t="shared" si="1"/>
        <v>Matías González López</v>
      </c>
      <c r="M841" s="6" t="str">
        <f t="shared" si="2"/>
        <v>16.466.946-4</v>
      </c>
      <c r="N841" s="6" t="str">
        <f t="shared" si="3"/>
        <v>Las Condes - Santiago - Región Metropolitana</v>
      </c>
      <c r="O841" s="4"/>
    </row>
    <row r="842">
      <c r="A842" s="1" t="s">
        <v>3963</v>
      </c>
      <c r="B842" s="1" t="s">
        <v>3964</v>
      </c>
      <c r="C842" s="1" t="s">
        <v>3965</v>
      </c>
      <c r="D842" s="1" t="s">
        <v>3966</v>
      </c>
      <c r="E842" s="1" t="s">
        <v>25</v>
      </c>
      <c r="F842" s="1" t="s">
        <v>26</v>
      </c>
      <c r="G842" s="1" t="s">
        <v>27</v>
      </c>
      <c r="H842" s="2">
        <v>5940000.0</v>
      </c>
      <c r="I842" s="1">
        <v>45.0</v>
      </c>
      <c r="J842" s="1" t="s">
        <v>97</v>
      </c>
      <c r="K842" s="5">
        <v>46056.0</v>
      </c>
      <c r="L842" s="4" t="str">
        <f t="shared" si="1"/>
        <v>Francisca Valenzuela Rodríguez</v>
      </c>
      <c r="M842" s="6" t="str">
        <f t="shared" si="2"/>
        <v>11085741-5</v>
      </c>
      <c r="N842" s="6" t="str">
        <f t="shared" si="3"/>
        <v>Viña del Mar - Valparaíso - Región de Valparaíso</v>
      </c>
      <c r="O842" s="4"/>
    </row>
    <row r="843">
      <c r="A843" s="1" t="s">
        <v>278</v>
      </c>
      <c r="B843" s="1" t="s">
        <v>279</v>
      </c>
      <c r="C843" s="1" t="s">
        <v>280</v>
      </c>
      <c r="D843" s="1" t="s">
        <v>282</v>
      </c>
      <c r="E843" s="1" t="s">
        <v>194</v>
      </c>
      <c r="F843" s="1" t="s">
        <v>62</v>
      </c>
      <c r="G843" s="1" t="s">
        <v>63</v>
      </c>
      <c r="H843" s="2">
        <v>7440000.0</v>
      </c>
      <c r="I843" s="1">
        <v>60.0</v>
      </c>
      <c r="J843" s="1" t="s">
        <v>97</v>
      </c>
      <c r="K843" s="5">
        <v>46153.0</v>
      </c>
      <c r="L843" s="4" t="str">
        <f t="shared" si="1"/>
        <v>Álvaro Muñoz Sepúlveda</v>
      </c>
      <c r="M843" s="6" t="str">
        <f t="shared" si="2"/>
        <v>20.297.968-3</v>
      </c>
      <c r="N843" s="6" t="str">
        <f t="shared" si="3"/>
        <v>Las Condes - Santiago - Región Metropolitana</v>
      </c>
      <c r="O843" s="4"/>
    </row>
    <row r="844">
      <c r="A844" s="1" t="s">
        <v>1398</v>
      </c>
      <c r="B844" s="1" t="s">
        <v>1399</v>
      </c>
      <c r="C844" s="1" t="s">
        <v>4587</v>
      </c>
      <c r="D844" s="1" t="s">
        <v>1402</v>
      </c>
      <c r="E844" s="1" t="s">
        <v>72</v>
      </c>
      <c r="F844" s="1" t="s">
        <v>62</v>
      </c>
      <c r="G844" s="1" t="s">
        <v>63</v>
      </c>
      <c r="H844" s="2">
        <v>4200000.0</v>
      </c>
      <c r="I844" s="1">
        <v>90.0</v>
      </c>
      <c r="J844" s="1" t="s">
        <v>47</v>
      </c>
      <c r="K844" s="5">
        <v>46197.0</v>
      </c>
      <c r="L844" s="4" t="str">
        <f t="shared" si="1"/>
        <v>Camila Araya Sepúlveda</v>
      </c>
      <c r="M844" s="6" t="str">
        <f t="shared" si="2"/>
        <v>16.640.904-8</v>
      </c>
      <c r="N844" s="6" t="str">
        <f t="shared" si="3"/>
        <v>Providencia - Santiago - Región Metropolitana</v>
      </c>
      <c r="O844" s="4"/>
    </row>
    <row r="845">
      <c r="A845" s="1" t="s">
        <v>4588</v>
      </c>
      <c r="B845" s="1" t="s">
        <v>4589</v>
      </c>
      <c r="C845" s="1" t="s">
        <v>4590</v>
      </c>
      <c r="D845" s="1" t="s">
        <v>4592</v>
      </c>
      <c r="E845" s="1" t="s">
        <v>45</v>
      </c>
      <c r="F845" s="1" t="s">
        <v>45</v>
      </c>
      <c r="G845" s="1" t="s">
        <v>46</v>
      </c>
      <c r="H845" s="2">
        <v>1.882E7</v>
      </c>
      <c r="I845" s="1">
        <v>90.0</v>
      </c>
      <c r="J845" s="1" t="s">
        <v>20</v>
      </c>
      <c r="K845" s="5">
        <v>46188.0</v>
      </c>
      <c r="L845" s="4" t="str">
        <f t="shared" si="1"/>
        <v>Javier Morales Morales</v>
      </c>
      <c r="M845" s="6" t="str">
        <f t="shared" si="2"/>
        <v>16.608.401-9</v>
      </c>
      <c r="N845" s="6" t="str">
        <f t="shared" si="3"/>
        <v>Temuco - Temuco - Región de la Araucanía</v>
      </c>
      <c r="O845" s="4"/>
    </row>
    <row r="846">
      <c r="A846" s="1" t="s">
        <v>1188</v>
      </c>
      <c r="B846" s="1" t="s">
        <v>1190</v>
      </c>
      <c r="C846" s="1" t="s">
        <v>1192</v>
      </c>
      <c r="D846" s="1" t="s">
        <v>1194</v>
      </c>
      <c r="E846" s="1" t="s">
        <v>194</v>
      </c>
      <c r="F846" s="1" t="s">
        <v>62</v>
      </c>
      <c r="G846" s="1" t="s">
        <v>63</v>
      </c>
      <c r="H846" s="2">
        <v>1.482E7</v>
      </c>
      <c r="I846" s="1">
        <v>45.0</v>
      </c>
      <c r="J846" s="1" t="s">
        <v>28</v>
      </c>
      <c r="K846" s="5">
        <v>46034.0</v>
      </c>
      <c r="L846" s="4" t="str">
        <f t="shared" si="1"/>
        <v>Beatriz Pérez Fuentes</v>
      </c>
      <c r="M846" s="6" t="str">
        <f t="shared" si="2"/>
        <v>21.961.385-3</v>
      </c>
      <c r="N846" s="6" t="str">
        <f t="shared" si="3"/>
        <v>Las Condes - Santiago - Región Metropolitana</v>
      </c>
      <c r="O846" s="4"/>
    </row>
    <row r="847">
      <c r="A847" s="1" t="s">
        <v>3386</v>
      </c>
      <c r="B847" s="1" t="s">
        <v>3387</v>
      </c>
      <c r="C847" s="1" t="s">
        <v>3388</v>
      </c>
      <c r="D847" s="1" t="s">
        <v>3389</v>
      </c>
      <c r="E847" s="1" t="s">
        <v>194</v>
      </c>
      <c r="F847" s="1" t="s">
        <v>62</v>
      </c>
      <c r="G847" s="1" t="s">
        <v>63</v>
      </c>
      <c r="H847" s="2">
        <v>1.751E7</v>
      </c>
      <c r="I847" s="1">
        <v>120.0</v>
      </c>
      <c r="J847" s="1" t="s">
        <v>97</v>
      </c>
      <c r="K847" s="5">
        <v>46030.0</v>
      </c>
      <c r="L847" s="4" t="str">
        <f t="shared" si="1"/>
        <v>Diego Soto Muñoz</v>
      </c>
      <c r="M847" s="6" t="str">
        <f t="shared" si="2"/>
        <v>20.607.532-5</v>
      </c>
      <c r="N847" s="6" t="str">
        <f t="shared" si="3"/>
        <v>Las Condes - Santiago - Región Metropolitana</v>
      </c>
      <c r="O847" s="4"/>
    </row>
    <row r="848">
      <c r="A848" s="1" t="s">
        <v>1600</v>
      </c>
      <c r="B848" s="1" t="s">
        <v>1602</v>
      </c>
      <c r="C848" s="1" t="s">
        <v>4593</v>
      </c>
      <c r="D848" s="1" t="s">
        <v>1607</v>
      </c>
      <c r="E848" s="1" t="s">
        <v>109</v>
      </c>
      <c r="F848" s="1" t="s">
        <v>62</v>
      </c>
      <c r="G848" s="1" t="s">
        <v>63</v>
      </c>
      <c r="H848" s="2">
        <v>1.211E7</v>
      </c>
      <c r="I848" s="1">
        <v>120.0</v>
      </c>
      <c r="J848" s="1" t="s">
        <v>73</v>
      </c>
      <c r="K848" s="5">
        <v>46075.0</v>
      </c>
      <c r="L848" s="4" t="str">
        <f t="shared" si="1"/>
        <v>Camila Tapia Sepúlveda</v>
      </c>
      <c r="M848" s="6" t="str">
        <f t="shared" si="2"/>
        <v>12983533-4</v>
      </c>
      <c r="N848" s="6" t="str">
        <f t="shared" si="3"/>
        <v>Ñuñoa - Santiago - Región Metropolitana</v>
      </c>
      <c r="O848" s="4"/>
    </row>
    <row r="849">
      <c r="A849" s="1" t="s">
        <v>4295</v>
      </c>
      <c r="B849" s="1" t="s">
        <v>4296</v>
      </c>
      <c r="C849" s="1" t="s">
        <v>4594</v>
      </c>
      <c r="D849" s="1" t="s">
        <v>4298</v>
      </c>
      <c r="E849" s="1" t="s">
        <v>72</v>
      </c>
      <c r="F849" s="1" t="s">
        <v>62</v>
      </c>
      <c r="G849" s="1" t="s">
        <v>63</v>
      </c>
      <c r="H849" s="2">
        <v>2180000.0</v>
      </c>
      <c r="I849" s="1">
        <v>45.0</v>
      </c>
      <c r="J849" s="1" t="s">
        <v>20</v>
      </c>
      <c r="K849" s="5">
        <v>46131.0</v>
      </c>
      <c r="L849" s="4" t="str">
        <f t="shared" si="1"/>
        <v>Hernán Araya Vergara</v>
      </c>
      <c r="M849" s="6" t="str">
        <f t="shared" si="2"/>
        <v>19.291.077-K</v>
      </c>
      <c r="N849" s="6" t="str">
        <f t="shared" si="3"/>
        <v>Providencia - Santiago - Región Metropolitana</v>
      </c>
      <c r="O849" s="4"/>
    </row>
    <row r="850">
      <c r="A850" s="1" t="s">
        <v>2033</v>
      </c>
      <c r="B850" s="1" t="s">
        <v>2034</v>
      </c>
      <c r="C850" s="1" t="s">
        <v>2035</v>
      </c>
      <c r="D850" s="1" t="s">
        <v>2036</v>
      </c>
      <c r="E850" s="1" t="s">
        <v>45</v>
      </c>
      <c r="F850" s="1" t="s">
        <v>45</v>
      </c>
      <c r="G850" s="1" t="s">
        <v>46</v>
      </c>
      <c r="H850" s="2">
        <v>1430000.0</v>
      </c>
      <c r="I850" s="1">
        <v>60.0</v>
      </c>
      <c r="J850" s="1" t="s">
        <v>28</v>
      </c>
      <c r="K850" s="5">
        <v>46200.0</v>
      </c>
      <c r="L850" s="4" t="str">
        <f t="shared" si="1"/>
        <v>Catalina Araya Soto</v>
      </c>
      <c r="M850" s="6" t="str">
        <f t="shared" si="2"/>
        <v>19041953-0</v>
      </c>
      <c r="N850" s="6" t="str">
        <f t="shared" si="3"/>
        <v>Temuco - Temuco - Región de la Araucanía</v>
      </c>
      <c r="O850" s="4"/>
    </row>
    <row r="851">
      <c r="A851" s="1" t="s">
        <v>4598</v>
      </c>
      <c r="B851" s="1" t="s">
        <v>4599</v>
      </c>
      <c r="C851" s="1" t="s">
        <v>4600</v>
      </c>
      <c r="D851" s="1" t="s">
        <v>4601</v>
      </c>
      <c r="E851" s="1" t="s">
        <v>39</v>
      </c>
      <c r="F851" s="1" t="s">
        <v>39</v>
      </c>
      <c r="G851" s="1" t="s">
        <v>40</v>
      </c>
      <c r="H851" s="2">
        <v>1.662E7</v>
      </c>
      <c r="I851" s="1">
        <v>90.0</v>
      </c>
      <c r="J851" s="1" t="s">
        <v>20</v>
      </c>
      <c r="K851" s="5">
        <v>46065.0</v>
      </c>
      <c r="L851" s="4" t="str">
        <f t="shared" si="1"/>
        <v>Rodrigo Contreras Tapia</v>
      </c>
      <c r="M851" s="6" t="str">
        <f t="shared" si="2"/>
        <v>17.700.855-2</v>
      </c>
      <c r="N851" s="6" t="str">
        <f t="shared" si="3"/>
        <v>Concepción - Concepción - Región del Biobío</v>
      </c>
      <c r="O851" s="4"/>
    </row>
    <row r="852">
      <c r="A852" s="1" t="s">
        <v>4603</v>
      </c>
      <c r="B852" s="1" t="s">
        <v>4604</v>
      </c>
      <c r="C852" s="1" t="s">
        <v>4605</v>
      </c>
      <c r="D852" s="1" t="s">
        <v>2856</v>
      </c>
      <c r="E852" s="1" t="s">
        <v>26</v>
      </c>
      <c r="F852" s="1" t="s">
        <v>26</v>
      </c>
      <c r="G852" s="1" t="s">
        <v>27</v>
      </c>
      <c r="H852" s="2">
        <v>4650000.0</v>
      </c>
      <c r="I852" s="1">
        <v>0.0</v>
      </c>
      <c r="J852" s="1" t="s">
        <v>28</v>
      </c>
      <c r="K852" s="5">
        <v>46225.0</v>
      </c>
      <c r="L852" s="4" t="str">
        <f t="shared" si="1"/>
        <v>Javiera Rodríguez Soto</v>
      </c>
      <c r="M852" s="6" t="str">
        <f t="shared" si="2"/>
        <v>14.853.288-K</v>
      </c>
      <c r="N852" s="6" t="str">
        <f t="shared" si="3"/>
        <v>Valparaíso - Valparaíso - Región de Valparaíso</v>
      </c>
      <c r="O852" s="4"/>
    </row>
    <row r="853">
      <c r="A853" s="1" t="s">
        <v>4606</v>
      </c>
      <c r="B853" s="1" t="s">
        <v>4607</v>
      </c>
      <c r="C853" s="1" t="s">
        <v>4608</v>
      </c>
      <c r="D853" s="1" t="s">
        <v>1704</v>
      </c>
      <c r="E853" s="1" t="s">
        <v>118</v>
      </c>
      <c r="F853" s="1" t="s">
        <v>62</v>
      </c>
      <c r="G853" s="1" t="s">
        <v>63</v>
      </c>
      <c r="H853" s="2">
        <v>7840000.0</v>
      </c>
      <c r="I853" s="1">
        <v>0.0</v>
      </c>
      <c r="J853" s="1" t="s">
        <v>73</v>
      </c>
      <c r="K853" s="5">
        <v>46029.0</v>
      </c>
      <c r="L853" s="4" t="str">
        <f t="shared" si="1"/>
        <v>Javier Morales Sepúlveda</v>
      </c>
      <c r="M853" s="6" t="str">
        <f t="shared" si="2"/>
        <v>16635029-5</v>
      </c>
      <c r="N853" s="6" t="str">
        <f t="shared" si="3"/>
        <v>Maipú - Santiago - Región Metropolitana</v>
      </c>
      <c r="O853" s="4"/>
    </row>
    <row r="854">
      <c r="A854" s="1" t="s">
        <v>951</v>
      </c>
      <c r="B854" s="1" t="s">
        <v>953</v>
      </c>
      <c r="C854" s="1" t="s">
        <v>4609</v>
      </c>
      <c r="D854" s="1" t="s">
        <v>956</v>
      </c>
      <c r="E854" s="1" t="s">
        <v>61</v>
      </c>
      <c r="F854" s="1" t="s">
        <v>62</v>
      </c>
      <c r="G854" s="1" t="s">
        <v>63</v>
      </c>
      <c r="H854" s="2">
        <v>1.055E7</v>
      </c>
      <c r="I854" s="1">
        <v>30.0</v>
      </c>
      <c r="J854" s="1" t="s">
        <v>28</v>
      </c>
      <c r="K854" s="5">
        <v>46047.0</v>
      </c>
      <c r="L854" s="4" t="str">
        <f t="shared" si="1"/>
        <v>Andrea Soto Rodríguez</v>
      </c>
      <c r="M854" s="6" t="str">
        <f t="shared" si="2"/>
        <v>17.550.135-7</v>
      </c>
      <c r="N854" s="6" t="str">
        <f t="shared" si="3"/>
        <v>Santiago Centro - Santiago - Región Metropolitana</v>
      </c>
      <c r="O854" s="4"/>
    </row>
    <row r="855">
      <c r="A855" s="1" t="s">
        <v>4068</v>
      </c>
      <c r="B855" s="1" t="s">
        <v>4069</v>
      </c>
      <c r="C855" s="1" t="s">
        <v>4610</v>
      </c>
      <c r="D855" s="1" t="s">
        <v>1443</v>
      </c>
      <c r="E855" s="1" t="s">
        <v>158</v>
      </c>
      <c r="F855" s="1" t="s">
        <v>158</v>
      </c>
      <c r="G855" s="1" t="s">
        <v>159</v>
      </c>
      <c r="H855" s="2">
        <v>2740000.0</v>
      </c>
      <c r="I855" s="1">
        <v>0.0</v>
      </c>
      <c r="J855" s="1" t="s">
        <v>47</v>
      </c>
      <c r="K855" s="5">
        <v>46086.0</v>
      </c>
      <c r="L855" s="4" t="str">
        <f t="shared" si="1"/>
        <v>Gabriel López Soto</v>
      </c>
      <c r="M855" s="6" t="str">
        <f t="shared" si="2"/>
        <v>18.005.566-2</v>
      </c>
      <c r="N855" s="6" t="str">
        <f t="shared" si="3"/>
        <v>Antofagasta - Antofagasta - Región de Antofagasta</v>
      </c>
      <c r="O855" s="4"/>
    </row>
    <row r="856">
      <c r="A856" s="1" t="s">
        <v>3768</v>
      </c>
      <c r="B856" s="1" t="s">
        <v>3769</v>
      </c>
      <c r="C856" s="1" t="s">
        <v>4611</v>
      </c>
      <c r="D856" s="1" t="s">
        <v>3771</v>
      </c>
      <c r="E856" s="1" t="s">
        <v>118</v>
      </c>
      <c r="F856" s="1" t="s">
        <v>62</v>
      </c>
      <c r="G856" s="1" t="s">
        <v>63</v>
      </c>
      <c r="H856" s="2">
        <v>1.356E7</v>
      </c>
      <c r="I856" s="1">
        <v>0.0</v>
      </c>
      <c r="J856" s="1" t="s">
        <v>47</v>
      </c>
      <c r="K856" s="5">
        <v>46165.0</v>
      </c>
      <c r="L856" s="4" t="str">
        <f t="shared" si="1"/>
        <v>Fernanda Soto López</v>
      </c>
      <c r="M856" s="6" t="str">
        <f t="shared" si="2"/>
        <v>11.035.787-2</v>
      </c>
      <c r="N856" s="6" t="str">
        <f t="shared" si="3"/>
        <v>Maipú - Santiago - Región Metropolitana</v>
      </c>
      <c r="O856" s="4"/>
    </row>
    <row r="857">
      <c r="A857" s="1" t="s">
        <v>4024</v>
      </c>
      <c r="B857" s="1" t="s">
        <v>4025</v>
      </c>
      <c r="C857" s="1" t="s">
        <v>4026</v>
      </c>
      <c r="D857" s="1" t="s">
        <v>4019</v>
      </c>
      <c r="E857" s="1" t="s">
        <v>61</v>
      </c>
      <c r="F857" s="1" t="s">
        <v>62</v>
      </c>
      <c r="G857" s="1" t="s">
        <v>63</v>
      </c>
      <c r="H857" s="2">
        <v>2.008E7</v>
      </c>
      <c r="I857" s="1">
        <v>15.0</v>
      </c>
      <c r="J857" s="1" t="s">
        <v>47</v>
      </c>
      <c r="K857" s="5">
        <v>46117.0</v>
      </c>
      <c r="L857" s="4" t="str">
        <f t="shared" si="1"/>
        <v>Gabriel Espinoza Vergara</v>
      </c>
      <c r="M857" s="6" t="str">
        <f t="shared" si="2"/>
        <v>15.379.306-8</v>
      </c>
      <c r="N857" s="6" t="str">
        <f t="shared" si="3"/>
        <v>Santiago Centro - Santiago - Región Metropolitana</v>
      </c>
      <c r="O857" s="4"/>
    </row>
    <row r="858">
      <c r="A858" s="1" t="s">
        <v>1383</v>
      </c>
      <c r="B858" s="1" t="s">
        <v>1384</v>
      </c>
      <c r="C858" s="1" t="s">
        <v>1386</v>
      </c>
      <c r="D858" s="1" t="s">
        <v>1388</v>
      </c>
      <c r="E858" s="1" t="s">
        <v>26</v>
      </c>
      <c r="F858" s="1" t="s">
        <v>26</v>
      </c>
      <c r="G858" s="1" t="s">
        <v>27</v>
      </c>
      <c r="H858" s="2">
        <v>2.134E7</v>
      </c>
      <c r="I858" s="1">
        <v>30.0</v>
      </c>
      <c r="J858" s="1" t="s">
        <v>97</v>
      </c>
      <c r="K858" s="5">
        <v>46081.0</v>
      </c>
      <c r="L858" s="4" t="str">
        <f t="shared" si="1"/>
        <v>Camila Araya Fuentes</v>
      </c>
      <c r="M858" s="6" t="str">
        <f t="shared" si="2"/>
        <v>12.338.090-0</v>
      </c>
      <c r="N858" s="6" t="str">
        <f t="shared" si="3"/>
        <v>Valparaíso - Valparaíso - Región de Valparaíso</v>
      </c>
      <c r="O858" s="4"/>
    </row>
    <row r="859">
      <c r="A859" s="1" t="s">
        <v>4595</v>
      </c>
      <c r="B859" s="1" t="s">
        <v>4596</v>
      </c>
      <c r="C859" s="1" t="s">
        <v>4597</v>
      </c>
      <c r="D859" s="1" t="s">
        <v>4379</v>
      </c>
      <c r="E859" s="1" t="s">
        <v>158</v>
      </c>
      <c r="F859" s="1" t="s">
        <v>158</v>
      </c>
      <c r="G859" s="1" t="s">
        <v>159</v>
      </c>
      <c r="H859" s="2">
        <v>1.885E7</v>
      </c>
      <c r="I859" s="1">
        <v>45.0</v>
      </c>
      <c r="J859" s="1" t="s">
        <v>97</v>
      </c>
      <c r="K859" s="5">
        <v>46188.0</v>
      </c>
      <c r="L859" s="4" t="str">
        <f t="shared" si="1"/>
        <v>Javier López Morales</v>
      </c>
      <c r="M859" s="6" t="str">
        <f t="shared" si="2"/>
        <v>19445442-K</v>
      </c>
      <c r="N859" s="6" t="str">
        <f t="shared" si="3"/>
        <v>Antofagasta - Antofagasta - Región de Antofagasta</v>
      </c>
      <c r="O859" s="4"/>
    </row>
    <row r="860">
      <c r="A860" s="1" t="s">
        <v>4617</v>
      </c>
      <c r="B860" s="1" t="s">
        <v>4618</v>
      </c>
      <c r="C860" s="1" t="s">
        <v>4619</v>
      </c>
      <c r="D860" s="1" t="s">
        <v>2606</v>
      </c>
      <c r="E860" s="1" t="s">
        <v>45</v>
      </c>
      <c r="F860" s="1" t="s">
        <v>45</v>
      </c>
      <c r="G860" s="1" t="s">
        <v>46</v>
      </c>
      <c r="H860" s="2">
        <v>4920000.0</v>
      </c>
      <c r="I860" s="1">
        <v>0.0</v>
      </c>
      <c r="J860" s="1" t="s">
        <v>73</v>
      </c>
      <c r="K860" s="5">
        <v>46076.0</v>
      </c>
      <c r="L860" s="4" t="str">
        <f t="shared" si="1"/>
        <v>Sofia Soto López</v>
      </c>
      <c r="M860" s="6" t="str">
        <f t="shared" si="2"/>
        <v>12.664.059-K</v>
      </c>
      <c r="N860" s="6" t="str">
        <f t="shared" si="3"/>
        <v>Temuco - Temuco - Región de la Araucanía</v>
      </c>
      <c r="O860" s="4"/>
    </row>
    <row r="861">
      <c r="A861" s="1" t="s">
        <v>4620</v>
      </c>
      <c r="B861" s="1" t="s">
        <v>4621</v>
      </c>
      <c r="C861" s="1" t="s">
        <v>4622</v>
      </c>
      <c r="D861" s="1" t="s">
        <v>2341</v>
      </c>
      <c r="E861" s="1" t="s">
        <v>26</v>
      </c>
      <c r="F861" s="1" t="s">
        <v>26</v>
      </c>
      <c r="G861" s="1" t="s">
        <v>27</v>
      </c>
      <c r="H861" s="2">
        <v>8230000.0</v>
      </c>
      <c r="I861" s="1">
        <v>0.0</v>
      </c>
      <c r="J861" s="1" t="s">
        <v>28</v>
      </c>
      <c r="K861" s="5">
        <v>46192.0</v>
      </c>
      <c r="L861" s="4" t="str">
        <f t="shared" si="1"/>
        <v>Tomas Araya Rodríguez</v>
      </c>
      <c r="M861" s="6" t="str">
        <f t="shared" si="2"/>
        <v>11.272.844-6</v>
      </c>
      <c r="N861" s="6" t="str">
        <f t="shared" si="3"/>
        <v>Valparaíso - Valparaíso - Región de Valparaíso</v>
      </c>
      <c r="O861" s="4"/>
    </row>
    <row r="862">
      <c r="A862" s="1" t="s">
        <v>4624</v>
      </c>
      <c r="B862" s="1" t="s">
        <v>4625</v>
      </c>
      <c r="C862" s="1" t="s">
        <v>4626</v>
      </c>
      <c r="D862" s="1" t="s">
        <v>4627</v>
      </c>
      <c r="E862" s="1" t="s">
        <v>33</v>
      </c>
      <c r="F862" s="1" t="s">
        <v>33</v>
      </c>
      <c r="G862" s="1" t="s">
        <v>34</v>
      </c>
      <c r="H862" s="2">
        <v>1.98E7</v>
      </c>
      <c r="I862" s="1">
        <v>0.0</v>
      </c>
      <c r="J862" s="1" t="s">
        <v>73</v>
      </c>
      <c r="K862" s="5">
        <v>46186.0</v>
      </c>
      <c r="L862" s="4" t="str">
        <f t="shared" si="1"/>
        <v>Valentina López Soto</v>
      </c>
      <c r="M862" s="6" t="str">
        <f t="shared" si="2"/>
        <v>13.220.131-9</v>
      </c>
      <c r="N862" s="6" t="str">
        <f t="shared" si="3"/>
        <v>Puerto Montt - Puerto Montt - Región de Los Lagos</v>
      </c>
      <c r="O862" s="4"/>
    </row>
    <row r="863">
      <c r="A863" s="1" t="s">
        <v>4374</v>
      </c>
      <c r="B863" s="1" t="s">
        <v>4377</v>
      </c>
      <c r="C863" s="1" t="s">
        <v>4628</v>
      </c>
      <c r="D863" s="1" t="s">
        <v>4380</v>
      </c>
      <c r="E863" s="1" t="s">
        <v>61</v>
      </c>
      <c r="F863" s="1" t="s">
        <v>62</v>
      </c>
      <c r="G863" s="1" t="s">
        <v>63</v>
      </c>
      <c r="H863" s="2">
        <v>1.321E7</v>
      </c>
      <c r="I863" s="1">
        <v>45.0</v>
      </c>
      <c r="J863" s="1" t="s">
        <v>28</v>
      </c>
      <c r="K863" s="5">
        <v>46030.0</v>
      </c>
      <c r="L863" s="4" t="str">
        <f t="shared" si="1"/>
        <v>Hernán Rojas Vergara</v>
      </c>
      <c r="M863" s="6" t="str">
        <f t="shared" si="2"/>
        <v>13.398.324-7</v>
      </c>
      <c r="N863" s="6" t="str">
        <f t="shared" si="3"/>
        <v>Santiago Centro - Santiago - Región Metropolitana</v>
      </c>
      <c r="O863" s="4"/>
    </row>
    <row r="864">
      <c r="A864" s="1" t="s">
        <v>3855</v>
      </c>
      <c r="B864" s="1" t="s">
        <v>3856</v>
      </c>
      <c r="C864" s="1" t="s">
        <v>3857</v>
      </c>
      <c r="D864" s="1" t="s">
        <v>3858</v>
      </c>
      <c r="E864" s="1" t="s">
        <v>26</v>
      </c>
      <c r="F864" s="1" t="s">
        <v>26</v>
      </c>
      <c r="G864" s="1" t="s">
        <v>27</v>
      </c>
      <c r="H864" s="2">
        <v>9500000.0</v>
      </c>
      <c r="I864" s="1">
        <v>0.0</v>
      </c>
      <c r="J864" s="1" t="s">
        <v>28</v>
      </c>
      <c r="K864" s="5">
        <v>46193.0</v>
      </c>
      <c r="L864" s="4" t="str">
        <f t="shared" si="1"/>
        <v>Francisca Morales Espinoza</v>
      </c>
      <c r="M864" s="6" t="str">
        <f t="shared" si="2"/>
        <v>18.171.355-0</v>
      </c>
      <c r="N864" s="6" t="str">
        <f t="shared" si="3"/>
        <v>Valparaíso - Valparaíso - Región de Valparaíso</v>
      </c>
      <c r="O864" s="4"/>
    </row>
    <row r="865">
      <c r="A865" s="1" t="s">
        <v>4630</v>
      </c>
      <c r="B865" s="1" t="s">
        <v>4631</v>
      </c>
      <c r="C865" s="1" t="s">
        <v>4632</v>
      </c>
      <c r="D865" s="1" t="s">
        <v>4633</v>
      </c>
      <c r="E865" s="1" t="s">
        <v>118</v>
      </c>
      <c r="F865" s="1" t="s">
        <v>62</v>
      </c>
      <c r="G865" s="1" t="s">
        <v>63</v>
      </c>
      <c r="H865" s="2">
        <v>1.118E7</v>
      </c>
      <c r="I865" s="1">
        <v>30.0</v>
      </c>
      <c r="J865" s="1" t="s">
        <v>20</v>
      </c>
      <c r="K865" s="5">
        <v>46195.0</v>
      </c>
      <c r="L865" s="4" t="str">
        <f t="shared" si="1"/>
        <v>Sebastián Fuentes Silva</v>
      </c>
      <c r="M865" s="6" t="str">
        <f t="shared" si="2"/>
        <v>15405499-K</v>
      </c>
      <c r="N865" s="6" t="str">
        <f t="shared" si="3"/>
        <v>Maipú - Santiago - Región Metropolitana</v>
      </c>
      <c r="O865" s="4"/>
    </row>
    <row r="866">
      <c r="A866" s="1" t="s">
        <v>4634</v>
      </c>
      <c r="B866" s="1" t="s">
        <v>4635</v>
      </c>
      <c r="C866" s="1" t="s">
        <v>4636</v>
      </c>
      <c r="D866" s="1" t="s">
        <v>4637</v>
      </c>
      <c r="E866" s="1" t="s">
        <v>33</v>
      </c>
      <c r="F866" s="1" t="s">
        <v>33</v>
      </c>
      <c r="G866" s="1" t="s">
        <v>34</v>
      </c>
      <c r="H866" s="2">
        <v>6380000.0</v>
      </c>
      <c r="I866" s="1">
        <v>15.0</v>
      </c>
      <c r="J866" s="1" t="s">
        <v>20</v>
      </c>
      <c r="K866" s="5">
        <v>46062.0</v>
      </c>
      <c r="L866" s="4" t="str">
        <f t="shared" si="1"/>
        <v>Marcela Rodríguez Espinoza</v>
      </c>
      <c r="M866" s="6" t="str">
        <f t="shared" si="2"/>
        <v>14.550.971-4</v>
      </c>
      <c r="N866" s="6" t="str">
        <f t="shared" si="3"/>
        <v>Puerto Montt - Puerto Montt - Región de Los Lagos</v>
      </c>
      <c r="O866" s="4"/>
    </row>
    <row r="867">
      <c r="A867" s="1" t="s">
        <v>4638</v>
      </c>
      <c r="B867" s="1" t="s">
        <v>4639</v>
      </c>
      <c r="C867" s="1" t="s">
        <v>4640</v>
      </c>
      <c r="D867" s="1" t="s">
        <v>4641</v>
      </c>
      <c r="E867" s="1" t="s">
        <v>26</v>
      </c>
      <c r="F867" s="1" t="s">
        <v>26</v>
      </c>
      <c r="G867" s="1" t="s">
        <v>27</v>
      </c>
      <c r="H867" s="2">
        <v>7750000.0</v>
      </c>
      <c r="I867" s="1">
        <v>30.0</v>
      </c>
      <c r="J867" s="1" t="s">
        <v>97</v>
      </c>
      <c r="K867" s="5">
        <v>46125.0</v>
      </c>
      <c r="L867" s="4" t="str">
        <f t="shared" si="1"/>
        <v>Matías Pérez Vergara</v>
      </c>
      <c r="M867" s="6" t="str">
        <f t="shared" si="2"/>
        <v>13.866.124-K</v>
      </c>
      <c r="N867" s="6" t="str">
        <f t="shared" si="3"/>
        <v>Valparaíso - Valparaíso - Región de Valparaíso</v>
      </c>
      <c r="O867" s="4"/>
    </row>
    <row r="868">
      <c r="A868" s="1" t="s">
        <v>4642</v>
      </c>
      <c r="B868" s="1" t="s">
        <v>4643</v>
      </c>
      <c r="C868" s="1" t="s">
        <v>4644</v>
      </c>
      <c r="D868" s="1" t="s">
        <v>4645</v>
      </c>
      <c r="E868" s="1" t="s">
        <v>72</v>
      </c>
      <c r="F868" s="1" t="s">
        <v>62</v>
      </c>
      <c r="G868" s="1" t="s">
        <v>63</v>
      </c>
      <c r="H868" s="2">
        <v>2940000.0</v>
      </c>
      <c r="I868" s="1">
        <v>90.0</v>
      </c>
      <c r="J868" s="1" t="s">
        <v>28</v>
      </c>
      <c r="K868" s="5">
        <v>46122.0</v>
      </c>
      <c r="L868" s="4" t="str">
        <f t="shared" si="1"/>
        <v>Macarena Contreras Pérez</v>
      </c>
      <c r="M868" s="6" t="str">
        <f t="shared" si="2"/>
        <v>19.157.124-1</v>
      </c>
      <c r="N868" s="6" t="str">
        <f t="shared" si="3"/>
        <v>Providencia - Santiago - Región Metropolitana</v>
      </c>
      <c r="O868" s="4"/>
    </row>
    <row r="869">
      <c r="A869" s="1" t="s">
        <v>4454</v>
      </c>
      <c r="B869" s="1" t="s">
        <v>4455</v>
      </c>
      <c r="C869" s="1" t="s">
        <v>4456</v>
      </c>
      <c r="D869" s="1" t="s">
        <v>4457</v>
      </c>
      <c r="E869" s="1" t="s">
        <v>118</v>
      </c>
      <c r="F869" s="1" t="s">
        <v>62</v>
      </c>
      <c r="G869" s="1" t="s">
        <v>63</v>
      </c>
      <c r="H869" s="2">
        <v>3140000.0</v>
      </c>
      <c r="I869" s="1">
        <v>0.0</v>
      </c>
      <c r="J869" s="1" t="s">
        <v>47</v>
      </c>
      <c r="K869" s="5">
        <v>46144.0</v>
      </c>
      <c r="L869" s="4" t="str">
        <f t="shared" si="1"/>
        <v>Ignacio Fuentes Morales</v>
      </c>
      <c r="M869" s="6" t="str">
        <f t="shared" si="2"/>
        <v>17.644.890-8</v>
      </c>
      <c r="N869" s="6" t="str">
        <f t="shared" si="3"/>
        <v>Maipú - Santiago - Región Metropolitana</v>
      </c>
      <c r="O869" s="4"/>
    </row>
    <row r="870">
      <c r="A870" s="1" t="s">
        <v>991</v>
      </c>
      <c r="B870" s="1" t="s">
        <v>993</v>
      </c>
      <c r="C870" s="1" t="s">
        <v>4647</v>
      </c>
      <c r="D870" s="1" t="s">
        <v>995</v>
      </c>
      <c r="E870" s="1" t="s">
        <v>33</v>
      </c>
      <c r="F870" s="1" t="s">
        <v>33</v>
      </c>
      <c r="G870" s="1" t="s">
        <v>34</v>
      </c>
      <c r="H870" s="2">
        <v>2020000.0</v>
      </c>
      <c r="I870" s="1">
        <v>30.0</v>
      </c>
      <c r="J870" s="1" t="s">
        <v>28</v>
      </c>
      <c r="K870" s="5">
        <v>46069.0</v>
      </c>
      <c r="L870" s="4" t="str">
        <f t="shared" si="1"/>
        <v>Andrea Vergara López</v>
      </c>
      <c r="M870" s="6" t="str">
        <f t="shared" si="2"/>
        <v>17035538-0</v>
      </c>
      <c r="N870" s="6" t="str">
        <f t="shared" si="3"/>
        <v>Puerto Montt - Puerto Montt - Región de Los Lagos</v>
      </c>
      <c r="O870" s="4"/>
    </row>
    <row r="871">
      <c r="A871" s="1" t="s">
        <v>2892</v>
      </c>
      <c r="B871" s="1" t="s">
        <v>2893</v>
      </c>
      <c r="C871" s="1" t="s">
        <v>4649</v>
      </c>
      <c r="D871" s="1" t="s">
        <v>2895</v>
      </c>
      <c r="E871" s="1" t="s">
        <v>72</v>
      </c>
      <c r="F871" s="1" t="s">
        <v>62</v>
      </c>
      <c r="G871" s="1" t="s">
        <v>63</v>
      </c>
      <c r="H871" s="2">
        <v>6200000.0</v>
      </c>
      <c r="I871" s="1">
        <v>30.0</v>
      </c>
      <c r="J871" s="1" t="s">
        <v>97</v>
      </c>
      <c r="K871" s="5">
        <v>46033.0</v>
      </c>
      <c r="L871" s="4" t="str">
        <f t="shared" si="1"/>
        <v>Cristián Díaz Muñoz</v>
      </c>
      <c r="M871" s="6" t="str">
        <f t="shared" si="2"/>
        <v>16.321.210-4</v>
      </c>
      <c r="N871" s="6" t="str">
        <f t="shared" si="3"/>
        <v>Providencia - Santiago - Región Metropolitana</v>
      </c>
      <c r="O871" s="4"/>
    </row>
    <row r="872">
      <c r="A872" s="1" t="s">
        <v>4650</v>
      </c>
      <c r="B872" s="1" t="s">
        <v>4651</v>
      </c>
      <c r="C872" s="1" t="s">
        <v>4652</v>
      </c>
      <c r="D872" s="1" t="s">
        <v>4653</v>
      </c>
      <c r="E872" s="1" t="s">
        <v>118</v>
      </c>
      <c r="F872" s="1" t="s">
        <v>62</v>
      </c>
      <c r="G872" s="1" t="s">
        <v>63</v>
      </c>
      <c r="H872" s="2">
        <v>8380000.0</v>
      </c>
      <c r="I872" s="1">
        <v>90.0</v>
      </c>
      <c r="J872" s="1" t="s">
        <v>47</v>
      </c>
      <c r="K872" s="5">
        <v>46040.0</v>
      </c>
      <c r="L872" s="4" t="str">
        <f t="shared" si="1"/>
        <v>Macarena Soto Rodríguez</v>
      </c>
      <c r="M872" s="6" t="str">
        <f t="shared" si="2"/>
        <v>19.492.163-0</v>
      </c>
      <c r="N872" s="6" t="str">
        <f t="shared" si="3"/>
        <v>Maipú - Santiago - Región Metropolitana</v>
      </c>
      <c r="O872" s="4"/>
    </row>
    <row r="873">
      <c r="A873" s="1" t="s">
        <v>4136</v>
      </c>
      <c r="B873" s="1" t="s">
        <v>4137</v>
      </c>
      <c r="C873" s="1" t="s">
        <v>4138</v>
      </c>
      <c r="D873" s="1" t="s">
        <v>4139</v>
      </c>
      <c r="E873" s="1" t="s">
        <v>56</v>
      </c>
      <c r="F873" s="1" t="s">
        <v>39</v>
      </c>
      <c r="G873" s="1" t="s">
        <v>40</v>
      </c>
      <c r="H873" s="2">
        <v>2.189E7</v>
      </c>
      <c r="I873" s="1">
        <v>120.0</v>
      </c>
      <c r="J873" s="1" t="s">
        <v>20</v>
      </c>
      <c r="K873" s="5">
        <v>46212.0</v>
      </c>
      <c r="L873" s="4" t="str">
        <f t="shared" si="1"/>
        <v>Gabriel Sepúlveda Pérez</v>
      </c>
      <c r="M873" s="6" t="str">
        <f t="shared" si="2"/>
        <v>20.385.314-8</v>
      </c>
      <c r="N873" s="6" t="str">
        <f t="shared" si="3"/>
        <v>Talcahuano - Concepción - Región del Biobío</v>
      </c>
      <c r="O873" s="4"/>
    </row>
    <row r="874">
      <c r="A874" s="1" t="s">
        <v>3151</v>
      </c>
      <c r="B874" s="1" t="s">
        <v>3152</v>
      </c>
      <c r="C874" s="1" t="s">
        <v>3153</v>
      </c>
      <c r="D874" s="1" t="s">
        <v>3154</v>
      </c>
      <c r="E874" s="1" t="s">
        <v>18</v>
      </c>
      <c r="F874" s="1" t="s">
        <v>18</v>
      </c>
      <c r="G874" s="1" t="s">
        <v>19</v>
      </c>
      <c r="H874" s="2">
        <v>1.739E7</v>
      </c>
      <c r="I874" s="1">
        <v>45.0</v>
      </c>
      <c r="J874" s="1" t="s">
        <v>47</v>
      </c>
      <c r="K874" s="5">
        <v>46059.0</v>
      </c>
      <c r="L874" s="4" t="str">
        <f t="shared" si="1"/>
        <v>Daniela Pérez Rodríguez</v>
      </c>
      <c r="M874" s="6" t="str">
        <f t="shared" si="2"/>
        <v>17.616.164-2</v>
      </c>
      <c r="N874" s="6" t="str">
        <f t="shared" si="3"/>
        <v>La Serena - La Serena - Región de Coquimbo</v>
      </c>
      <c r="O874" s="4"/>
    </row>
    <row r="875">
      <c r="A875" s="1" t="s">
        <v>4254</v>
      </c>
      <c r="B875" s="1" t="s">
        <v>4255</v>
      </c>
      <c r="C875" s="1" t="s">
        <v>4256</v>
      </c>
      <c r="D875" s="1" t="s">
        <v>4257</v>
      </c>
      <c r="E875" s="1" t="s">
        <v>39</v>
      </c>
      <c r="F875" s="1" t="s">
        <v>39</v>
      </c>
      <c r="G875" s="1" t="s">
        <v>40</v>
      </c>
      <c r="H875" s="2">
        <v>4570000.0</v>
      </c>
      <c r="I875" s="1">
        <v>90.0</v>
      </c>
      <c r="J875" s="1" t="s">
        <v>28</v>
      </c>
      <c r="K875" s="5">
        <v>46180.0</v>
      </c>
      <c r="L875" s="4" t="str">
        <f t="shared" si="1"/>
        <v>Gonzalo Soto Soto</v>
      </c>
      <c r="M875" s="6" t="str">
        <f t="shared" si="2"/>
        <v>19.070.577-K</v>
      </c>
      <c r="N875" s="6" t="str">
        <f t="shared" si="3"/>
        <v>Concepción - Concepción - Región del Biobío</v>
      </c>
      <c r="O875" s="4"/>
    </row>
    <row r="876">
      <c r="A876" s="1" t="s">
        <v>3673</v>
      </c>
      <c r="B876" s="1" t="s">
        <v>3674</v>
      </c>
      <c r="C876" s="1" t="s">
        <v>3675</v>
      </c>
      <c r="D876" s="1" t="s">
        <v>3676</v>
      </c>
      <c r="E876" s="1" t="s">
        <v>45</v>
      </c>
      <c r="F876" s="1" t="s">
        <v>45</v>
      </c>
      <c r="G876" s="1" t="s">
        <v>46</v>
      </c>
      <c r="H876" s="2">
        <v>1.532E7</v>
      </c>
      <c r="I876" s="1">
        <v>45.0</v>
      </c>
      <c r="J876" s="1" t="s">
        <v>28</v>
      </c>
      <c r="K876" s="5">
        <v>46025.0</v>
      </c>
      <c r="L876" s="4" t="str">
        <f t="shared" si="1"/>
        <v>Fernanda Contreras Araya</v>
      </c>
      <c r="M876" s="6" t="str">
        <f t="shared" si="2"/>
        <v>11.419.875-7</v>
      </c>
      <c r="N876" s="6" t="str">
        <f t="shared" si="3"/>
        <v>Temuco - Temuco - Región de la Araucanía</v>
      </c>
      <c r="O876" s="4"/>
    </row>
    <row r="877">
      <c r="A877" s="1" t="s">
        <v>2551</v>
      </c>
      <c r="B877" s="1" t="s">
        <v>2552</v>
      </c>
      <c r="C877" s="1" t="s">
        <v>4655</v>
      </c>
      <c r="D877" s="1" t="s">
        <v>2554</v>
      </c>
      <c r="E877" s="1" t="s">
        <v>194</v>
      </c>
      <c r="F877" s="1" t="s">
        <v>62</v>
      </c>
      <c r="G877" s="1" t="s">
        <v>63</v>
      </c>
      <c r="H877" s="2">
        <v>610000.0</v>
      </c>
      <c r="I877" s="1">
        <v>60.0</v>
      </c>
      <c r="J877" s="1" t="s">
        <v>28</v>
      </c>
      <c r="K877" s="5">
        <v>46131.0</v>
      </c>
      <c r="L877" s="4" t="str">
        <f t="shared" si="1"/>
        <v>Claudio Muñoz Rodríguez</v>
      </c>
      <c r="M877" s="6" t="str">
        <f t="shared" si="2"/>
        <v>15135391-8</v>
      </c>
      <c r="N877" s="6" t="str">
        <f t="shared" si="3"/>
        <v>Las Condes - Santiago - Región Metropolitana</v>
      </c>
      <c r="O877" s="4"/>
    </row>
    <row r="878">
      <c r="A878" s="1" t="s">
        <v>3056</v>
      </c>
      <c r="B878" s="1" t="s">
        <v>3058</v>
      </c>
      <c r="C878" s="1" t="s">
        <v>3060</v>
      </c>
      <c r="D878" s="1" t="s">
        <v>3062</v>
      </c>
      <c r="E878" s="1" t="s">
        <v>72</v>
      </c>
      <c r="F878" s="1" t="s">
        <v>62</v>
      </c>
      <c r="G878" s="1" t="s">
        <v>63</v>
      </c>
      <c r="H878" s="2">
        <v>1.192E7</v>
      </c>
      <c r="I878" s="1">
        <v>0.0</v>
      </c>
      <c r="J878" s="1" t="s">
        <v>73</v>
      </c>
      <c r="K878" s="5">
        <v>46036.0</v>
      </c>
      <c r="L878" s="4" t="str">
        <f t="shared" si="1"/>
        <v>Daniela Araya Díaz</v>
      </c>
      <c r="M878" s="6" t="str">
        <f t="shared" si="2"/>
        <v>20.055.540-8</v>
      </c>
      <c r="N878" s="6" t="str">
        <f t="shared" si="3"/>
        <v>Providencia - Santiago - Región Metropolitana</v>
      </c>
      <c r="O878" s="4"/>
    </row>
    <row r="879">
      <c r="A879" s="1" t="s">
        <v>490</v>
      </c>
      <c r="B879" s="1" t="s">
        <v>491</v>
      </c>
      <c r="C879" s="1" t="s">
        <v>493</v>
      </c>
      <c r="D879" s="1" t="s">
        <v>495</v>
      </c>
      <c r="E879" s="1" t="s">
        <v>45</v>
      </c>
      <c r="F879" s="1" t="s">
        <v>45</v>
      </c>
      <c r="G879" s="1" t="s">
        <v>46</v>
      </c>
      <c r="H879" s="2">
        <v>1.087E7</v>
      </c>
      <c r="I879" s="1">
        <v>15.0</v>
      </c>
      <c r="J879" s="1" t="s">
        <v>47</v>
      </c>
      <c r="K879" s="5">
        <v>46166.0</v>
      </c>
      <c r="L879" s="4" t="str">
        <f t="shared" si="1"/>
        <v>Álvaro Valenzuela Rodríguez</v>
      </c>
      <c r="M879" s="6" t="str">
        <f t="shared" si="2"/>
        <v>14.707.341-2</v>
      </c>
      <c r="N879" s="6" t="str">
        <f t="shared" si="3"/>
        <v>Temuco - Temuco - Región de la Araucanía</v>
      </c>
      <c r="O879" s="4"/>
    </row>
    <row r="880">
      <c r="A880" s="1" t="s">
        <v>4656</v>
      </c>
      <c r="B880" s="1" t="s">
        <v>4657</v>
      </c>
      <c r="C880" s="1" t="s">
        <v>4658</v>
      </c>
      <c r="D880" s="1" t="s">
        <v>4659</v>
      </c>
      <c r="E880" s="1" t="s">
        <v>39</v>
      </c>
      <c r="F880" s="1" t="s">
        <v>39</v>
      </c>
      <c r="G880" s="1" t="s">
        <v>40</v>
      </c>
      <c r="H880" s="2">
        <v>2040000.0</v>
      </c>
      <c r="I880" s="1">
        <v>30.0</v>
      </c>
      <c r="J880" s="1" t="s">
        <v>97</v>
      </c>
      <c r="K880" s="5">
        <v>46088.0</v>
      </c>
      <c r="L880" s="4" t="str">
        <f t="shared" si="1"/>
        <v>Sofia Tapia Pérez</v>
      </c>
      <c r="M880" s="6" t="str">
        <f t="shared" si="2"/>
        <v>15.131.605-3</v>
      </c>
      <c r="N880" s="6" t="str">
        <f t="shared" si="3"/>
        <v>Concepción - Concepción - Región del Biobío</v>
      </c>
      <c r="O880" s="4"/>
    </row>
    <row r="881">
      <c r="A881" s="1" t="s">
        <v>2880</v>
      </c>
      <c r="B881" s="1" t="s">
        <v>2881</v>
      </c>
      <c r="C881" s="1" t="s">
        <v>4660</v>
      </c>
      <c r="D881" s="1" t="s">
        <v>2883</v>
      </c>
      <c r="E881" s="1" t="s">
        <v>18</v>
      </c>
      <c r="F881" s="1" t="s">
        <v>18</v>
      </c>
      <c r="G881" s="1" t="s">
        <v>19</v>
      </c>
      <c r="H881" s="2">
        <v>7700000.0</v>
      </c>
      <c r="I881" s="1">
        <v>0.0</v>
      </c>
      <c r="J881" s="1" t="s">
        <v>73</v>
      </c>
      <c r="K881" s="5">
        <v>46195.0</v>
      </c>
      <c r="L881" s="4" t="str">
        <f t="shared" si="1"/>
        <v>Cristián Araya Espinoza</v>
      </c>
      <c r="M881" s="6" t="str">
        <f t="shared" si="2"/>
        <v>13.172.553-6</v>
      </c>
      <c r="N881" s="6" t="str">
        <f t="shared" si="3"/>
        <v>La Serena - La Serena - Región de Coquimbo</v>
      </c>
      <c r="O881" s="4"/>
    </row>
    <row r="882">
      <c r="A882" s="1" t="s">
        <v>4661</v>
      </c>
      <c r="B882" s="1" t="s">
        <v>4662</v>
      </c>
      <c r="C882" s="1" t="s">
        <v>4663</v>
      </c>
      <c r="D882" s="1" t="s">
        <v>4664</v>
      </c>
      <c r="E882" s="1" t="s">
        <v>72</v>
      </c>
      <c r="F882" s="1" t="s">
        <v>62</v>
      </c>
      <c r="G882" s="1" t="s">
        <v>63</v>
      </c>
      <c r="H882" s="2">
        <v>9250000.0</v>
      </c>
      <c r="I882" s="1">
        <v>45.0</v>
      </c>
      <c r="J882" s="1" t="s">
        <v>73</v>
      </c>
      <c r="K882" s="5">
        <v>46081.0</v>
      </c>
      <c r="L882" s="4" t="str">
        <f t="shared" si="1"/>
        <v>Macarena Araya Espinoza</v>
      </c>
      <c r="M882" s="6" t="str">
        <f t="shared" si="2"/>
        <v>18.247.565-2</v>
      </c>
      <c r="N882" s="6" t="str">
        <f t="shared" si="3"/>
        <v>Providencia - Santiago - Región Metropolitana</v>
      </c>
      <c r="O882" s="4"/>
    </row>
    <row r="883">
      <c r="A883" s="1" t="s">
        <v>4665</v>
      </c>
      <c r="B883" s="1" t="s">
        <v>4666</v>
      </c>
      <c r="C883" s="1" t="s">
        <v>4667</v>
      </c>
      <c r="D883" s="1" t="s">
        <v>4668</v>
      </c>
      <c r="E883" s="1" t="s">
        <v>39</v>
      </c>
      <c r="F883" s="1" t="s">
        <v>39</v>
      </c>
      <c r="G883" s="1" t="s">
        <v>40</v>
      </c>
      <c r="H883" s="2">
        <v>1.843E7</v>
      </c>
      <c r="I883" s="1">
        <v>60.0</v>
      </c>
      <c r="J883" s="1" t="s">
        <v>97</v>
      </c>
      <c r="K883" s="5">
        <v>46166.0</v>
      </c>
      <c r="L883" s="4" t="str">
        <f t="shared" si="1"/>
        <v>Rodrigo Morales Díaz</v>
      </c>
      <c r="M883" s="6" t="str">
        <f t="shared" si="2"/>
        <v>15686862-6</v>
      </c>
      <c r="N883" s="6" t="str">
        <f t="shared" si="3"/>
        <v>Concepción - Concepción - Región del Biobío</v>
      </c>
      <c r="O883" s="4"/>
    </row>
    <row r="884">
      <c r="A884" s="1" t="s">
        <v>4669</v>
      </c>
      <c r="B884" s="1" t="s">
        <v>4670</v>
      </c>
      <c r="C884" s="1" t="s">
        <v>4671</v>
      </c>
      <c r="D884" s="1" t="s">
        <v>4672</v>
      </c>
      <c r="E884" s="1" t="s">
        <v>33</v>
      </c>
      <c r="F884" s="1" t="s">
        <v>33</v>
      </c>
      <c r="G884" s="1" t="s">
        <v>34</v>
      </c>
      <c r="H884" s="2">
        <v>6310000.0</v>
      </c>
      <c r="I884" s="1">
        <v>60.0</v>
      </c>
      <c r="J884" s="1" t="s">
        <v>97</v>
      </c>
      <c r="K884" s="5">
        <v>46138.0</v>
      </c>
      <c r="L884" s="4" t="str">
        <f t="shared" si="1"/>
        <v>Sofia Fuentes Muñoz</v>
      </c>
      <c r="M884" s="6" t="str">
        <f t="shared" si="2"/>
        <v>21.035.289-2</v>
      </c>
      <c r="N884" s="6" t="str">
        <f t="shared" si="3"/>
        <v>Puerto Montt - Puerto Montt - Región de Los Lagos</v>
      </c>
      <c r="O884" s="4"/>
    </row>
    <row r="885">
      <c r="A885" s="1" t="s">
        <v>4673</v>
      </c>
      <c r="B885" s="1" t="s">
        <v>4674</v>
      </c>
      <c r="C885" s="1" t="s">
        <v>2492</v>
      </c>
      <c r="D885" s="1" t="s">
        <v>4675</v>
      </c>
      <c r="E885" s="1" t="s">
        <v>26</v>
      </c>
      <c r="F885" s="1" t="s">
        <v>26</v>
      </c>
      <c r="G885" s="1" t="s">
        <v>27</v>
      </c>
      <c r="H885" s="2">
        <v>1.574E7</v>
      </c>
      <c r="I885" s="1">
        <v>45.0</v>
      </c>
      <c r="J885" s="1" t="s">
        <v>28</v>
      </c>
      <c r="K885" s="5">
        <v>46161.0</v>
      </c>
      <c r="L885" s="4" t="str">
        <f t="shared" si="1"/>
        <v>Sebastián Soto Rojas</v>
      </c>
      <c r="M885" s="6" t="str">
        <f t="shared" si="2"/>
        <v>14651582-0</v>
      </c>
      <c r="N885" s="6" t="str">
        <f t="shared" si="3"/>
        <v>Valparaíso - Valparaíso - Región de Valparaíso</v>
      </c>
      <c r="O885" s="4"/>
    </row>
    <row r="886">
      <c r="A886" s="1" t="s">
        <v>1222</v>
      </c>
      <c r="B886" s="1" t="s">
        <v>1223</v>
      </c>
      <c r="C886" s="1" t="s">
        <v>1224</v>
      </c>
      <c r="D886" s="1" t="s">
        <v>1225</v>
      </c>
      <c r="E886" s="1" t="s">
        <v>45</v>
      </c>
      <c r="F886" s="1" t="s">
        <v>45</v>
      </c>
      <c r="G886" s="1" t="s">
        <v>46</v>
      </c>
      <c r="H886" s="2">
        <v>1.865E7</v>
      </c>
      <c r="I886" s="1">
        <v>15.0</v>
      </c>
      <c r="J886" s="1" t="s">
        <v>97</v>
      </c>
      <c r="K886" s="5">
        <v>46198.0</v>
      </c>
      <c r="L886" s="4" t="str">
        <f t="shared" si="1"/>
        <v>Beatriz Rojas Valenzuela</v>
      </c>
      <c r="M886" s="6" t="str">
        <f t="shared" si="2"/>
        <v>22.335.089-8</v>
      </c>
      <c r="N886" s="6" t="str">
        <f t="shared" si="3"/>
        <v>Temuco - Temuco - Región de la Araucanía</v>
      </c>
      <c r="O886" s="4"/>
    </row>
    <row r="887">
      <c r="A887" s="1" t="s">
        <v>2913</v>
      </c>
      <c r="B887" s="1" t="s">
        <v>2914</v>
      </c>
      <c r="C887" s="1" t="s">
        <v>2915</v>
      </c>
      <c r="D887" s="1" t="s">
        <v>2916</v>
      </c>
      <c r="E887" s="1" t="s">
        <v>39</v>
      </c>
      <c r="F887" s="1" t="s">
        <v>39</v>
      </c>
      <c r="G887" s="1" t="s">
        <v>40</v>
      </c>
      <c r="H887" s="2">
        <v>8840000.0</v>
      </c>
      <c r="I887" s="1">
        <v>15.0</v>
      </c>
      <c r="J887" s="1" t="s">
        <v>73</v>
      </c>
      <c r="K887" s="5">
        <v>46069.0</v>
      </c>
      <c r="L887" s="4" t="str">
        <f t="shared" si="1"/>
        <v>Cristián Fuentes Araya</v>
      </c>
      <c r="M887" s="6" t="str">
        <f t="shared" si="2"/>
        <v>12391240-2</v>
      </c>
      <c r="N887" s="6" t="str">
        <f t="shared" si="3"/>
        <v>Concepción - Concepción - Región del Biobío</v>
      </c>
      <c r="O887" s="4"/>
    </row>
    <row r="888">
      <c r="A888" s="1" t="s">
        <v>4676</v>
      </c>
      <c r="B888" s="1" t="s">
        <v>4677</v>
      </c>
      <c r="C888" s="1" t="s">
        <v>4308</v>
      </c>
      <c r="D888" s="1" t="s">
        <v>3540</v>
      </c>
      <c r="E888" s="1" t="s">
        <v>39</v>
      </c>
      <c r="F888" s="1" t="s">
        <v>39</v>
      </c>
      <c r="G888" s="1" t="s">
        <v>40</v>
      </c>
      <c r="H888" s="2">
        <v>1.361E7</v>
      </c>
      <c r="I888" s="1">
        <v>45.0</v>
      </c>
      <c r="J888" s="1" t="s">
        <v>20</v>
      </c>
      <c r="K888" s="5">
        <v>46163.0</v>
      </c>
      <c r="L888" s="4" t="str">
        <f t="shared" si="1"/>
        <v>Javiera Araya Valenzuela</v>
      </c>
      <c r="M888" s="6" t="str">
        <f t="shared" si="2"/>
        <v>19.157.010-8</v>
      </c>
      <c r="N888" s="6" t="str">
        <f t="shared" si="3"/>
        <v>Concepción - Concepción - Región del Biobío</v>
      </c>
      <c r="O888" s="4"/>
    </row>
    <row r="889">
      <c r="A889" s="1" t="s">
        <v>4678</v>
      </c>
      <c r="B889" s="1" t="s">
        <v>4679</v>
      </c>
      <c r="C889" s="1" t="s">
        <v>4680</v>
      </c>
      <c r="D889" s="1" t="s">
        <v>4681</v>
      </c>
      <c r="E889" s="1" t="s">
        <v>33</v>
      </c>
      <c r="F889" s="1" t="s">
        <v>33</v>
      </c>
      <c r="G889" s="1" t="s">
        <v>34</v>
      </c>
      <c r="H889" s="2">
        <v>1.128E7</v>
      </c>
      <c r="I889" s="1">
        <v>30.0</v>
      </c>
      <c r="J889" s="1" t="s">
        <v>28</v>
      </c>
      <c r="K889" s="5">
        <v>46198.0</v>
      </c>
      <c r="L889" s="4" t="str">
        <f t="shared" si="1"/>
        <v>Rodrigo Muñoz Espinoza</v>
      </c>
      <c r="M889" s="6" t="str">
        <f t="shared" si="2"/>
        <v>18534699-2</v>
      </c>
      <c r="N889" s="6" t="str">
        <f t="shared" si="3"/>
        <v>Puerto Montt - Puerto Montt - Región de Los Lagos</v>
      </c>
      <c r="O889" s="4"/>
    </row>
    <row r="890">
      <c r="A890" s="1" t="s">
        <v>4683</v>
      </c>
      <c r="B890" s="1" t="s">
        <v>4684</v>
      </c>
      <c r="C890" s="1" t="s">
        <v>4685</v>
      </c>
      <c r="D890" s="1" t="s">
        <v>4686</v>
      </c>
      <c r="E890" s="1" t="s">
        <v>26</v>
      </c>
      <c r="F890" s="1" t="s">
        <v>26</v>
      </c>
      <c r="G890" s="1" t="s">
        <v>27</v>
      </c>
      <c r="H890" s="2">
        <v>1.896E7</v>
      </c>
      <c r="I890" s="1">
        <v>120.0</v>
      </c>
      <c r="J890" s="1" t="s">
        <v>47</v>
      </c>
      <c r="K890" s="5">
        <v>46206.0</v>
      </c>
      <c r="L890" s="4" t="str">
        <f t="shared" si="1"/>
        <v>Valentina Soto Rojas</v>
      </c>
      <c r="M890" s="6" t="str">
        <f t="shared" si="2"/>
        <v>11543884-4</v>
      </c>
      <c r="N890" s="6" t="str">
        <f t="shared" si="3"/>
        <v>Valparaíso - Valparaíso - Región de Valparaíso</v>
      </c>
      <c r="O890" s="4"/>
    </row>
    <row r="891">
      <c r="A891" s="1" t="s">
        <v>3276</v>
      </c>
      <c r="B891" s="1" t="s">
        <v>3278</v>
      </c>
      <c r="C891" s="1" t="s">
        <v>4687</v>
      </c>
      <c r="D891" s="1" t="s">
        <v>3281</v>
      </c>
      <c r="E891" s="1" t="s">
        <v>194</v>
      </c>
      <c r="F891" s="1" t="s">
        <v>62</v>
      </c>
      <c r="G891" s="1" t="s">
        <v>63</v>
      </c>
      <c r="H891" s="2">
        <v>7860000.0</v>
      </c>
      <c r="I891" s="1">
        <v>0.0</v>
      </c>
      <c r="J891" s="1" t="s">
        <v>28</v>
      </c>
      <c r="K891" s="5">
        <v>46130.0</v>
      </c>
      <c r="L891" s="4" t="str">
        <f t="shared" si="1"/>
        <v>Diego Fuentes Rodríguez</v>
      </c>
      <c r="M891" s="6" t="str">
        <f t="shared" si="2"/>
        <v>18108370-2</v>
      </c>
      <c r="N891" s="6" t="str">
        <f t="shared" si="3"/>
        <v>Las Condes - Santiago - Región Metropolitana</v>
      </c>
      <c r="O891" s="4"/>
    </row>
    <row r="892">
      <c r="A892" s="1" t="s">
        <v>4689</v>
      </c>
      <c r="B892" s="1" t="s">
        <v>4690</v>
      </c>
      <c r="C892" s="1" t="s">
        <v>4691</v>
      </c>
      <c r="D892" s="1" t="s">
        <v>4692</v>
      </c>
      <c r="E892" s="1" t="s">
        <v>33</v>
      </c>
      <c r="F892" s="1" t="s">
        <v>33</v>
      </c>
      <c r="G892" s="1" t="s">
        <v>34</v>
      </c>
      <c r="H892" s="2">
        <v>9670000.0</v>
      </c>
      <c r="I892" s="1">
        <v>120.0</v>
      </c>
      <c r="J892" s="1" t="s">
        <v>97</v>
      </c>
      <c r="K892" s="5">
        <v>46168.0</v>
      </c>
      <c r="L892" s="4" t="str">
        <f t="shared" si="1"/>
        <v>Sofia Pérez Silva</v>
      </c>
      <c r="M892" s="6" t="str">
        <f t="shared" si="2"/>
        <v>18.073.078-8</v>
      </c>
      <c r="N892" s="6" t="str">
        <f t="shared" si="3"/>
        <v>Puerto Montt - Puerto Montt - Región de Los Lagos</v>
      </c>
      <c r="O892" s="4"/>
    </row>
    <row r="893">
      <c r="A893" s="1" t="s">
        <v>4305</v>
      </c>
      <c r="B893" s="1" t="s">
        <v>4307</v>
      </c>
      <c r="C893" s="1" t="s">
        <v>4309</v>
      </c>
      <c r="D893" s="1" t="s">
        <v>4311</v>
      </c>
      <c r="E893" s="1" t="s">
        <v>33</v>
      </c>
      <c r="F893" s="1" t="s">
        <v>33</v>
      </c>
      <c r="G893" s="1" t="s">
        <v>34</v>
      </c>
      <c r="H893" s="2">
        <v>2.003E7</v>
      </c>
      <c r="I893" s="1">
        <v>30.0</v>
      </c>
      <c r="J893" s="1" t="s">
        <v>28</v>
      </c>
      <c r="K893" s="5">
        <v>46094.0</v>
      </c>
      <c r="L893" s="4" t="str">
        <f t="shared" si="1"/>
        <v>Hernán Díaz Tapia</v>
      </c>
      <c r="M893" s="6" t="str">
        <f t="shared" si="2"/>
        <v>15.399.824-1</v>
      </c>
      <c r="N893" s="6" t="str">
        <f t="shared" si="3"/>
        <v>Puerto Montt - Puerto Montt - Región de Los Lagos</v>
      </c>
      <c r="O893" s="4"/>
    </row>
    <row r="894">
      <c r="A894" s="1" t="s">
        <v>4693</v>
      </c>
      <c r="B894" s="1" t="s">
        <v>4694</v>
      </c>
      <c r="C894" s="1" t="s">
        <v>4695</v>
      </c>
      <c r="D894" s="1" t="s">
        <v>3862</v>
      </c>
      <c r="E894" s="1" t="s">
        <v>118</v>
      </c>
      <c r="F894" s="1" t="s">
        <v>62</v>
      </c>
      <c r="G894" s="1" t="s">
        <v>63</v>
      </c>
      <c r="H894" s="2">
        <v>1240000.0</v>
      </c>
      <c r="I894" s="1">
        <v>0.0</v>
      </c>
      <c r="J894" s="1" t="s">
        <v>73</v>
      </c>
      <c r="K894" s="5">
        <v>46077.0</v>
      </c>
      <c r="L894" s="4" t="str">
        <f t="shared" si="1"/>
        <v>Loreto Araya González</v>
      </c>
      <c r="M894" s="6" t="str">
        <f t="shared" si="2"/>
        <v>21243426-0</v>
      </c>
      <c r="N894" s="6" t="str">
        <f t="shared" si="3"/>
        <v>Maipú - Santiago - Región Metropolitana</v>
      </c>
      <c r="O894" s="4"/>
    </row>
    <row r="895">
      <c r="A895" s="1" t="s">
        <v>3303</v>
      </c>
      <c r="B895" s="1" t="s">
        <v>3305</v>
      </c>
      <c r="C895" s="1" t="s">
        <v>3306</v>
      </c>
      <c r="D895" s="1" t="s">
        <v>3308</v>
      </c>
      <c r="E895" s="1" t="s">
        <v>26</v>
      </c>
      <c r="F895" s="1" t="s">
        <v>26</v>
      </c>
      <c r="G895" s="1" t="s">
        <v>27</v>
      </c>
      <c r="H895" s="2">
        <v>1.525E7</v>
      </c>
      <c r="I895" s="1">
        <v>15.0</v>
      </c>
      <c r="J895" s="1" t="s">
        <v>97</v>
      </c>
      <c r="K895" s="5">
        <v>46225.0</v>
      </c>
      <c r="L895" s="4" t="str">
        <f t="shared" si="1"/>
        <v>Diego Muñoz Muñoz</v>
      </c>
      <c r="M895" s="6" t="str">
        <f t="shared" si="2"/>
        <v>20.618.398-K</v>
      </c>
      <c r="N895" s="6" t="str">
        <f t="shared" si="3"/>
        <v>Valparaíso - Valparaíso - Región de Valparaíso</v>
      </c>
      <c r="O895" s="4"/>
    </row>
    <row r="896">
      <c r="A896" s="1" t="s">
        <v>3109</v>
      </c>
      <c r="B896" s="1" t="s">
        <v>3110</v>
      </c>
      <c r="C896" s="1" t="s">
        <v>4697</v>
      </c>
      <c r="D896" s="1" t="s">
        <v>3111</v>
      </c>
      <c r="E896" s="1" t="s">
        <v>194</v>
      </c>
      <c r="F896" s="1" t="s">
        <v>62</v>
      </c>
      <c r="G896" s="1" t="s">
        <v>63</v>
      </c>
      <c r="H896" s="2">
        <v>1.43E7</v>
      </c>
      <c r="I896" s="1">
        <v>0.0</v>
      </c>
      <c r="J896" s="1" t="s">
        <v>97</v>
      </c>
      <c r="K896" s="5">
        <v>46204.0</v>
      </c>
      <c r="L896" s="4" t="str">
        <f t="shared" si="1"/>
        <v>Daniela Morales Valenzuela</v>
      </c>
      <c r="M896" s="6" t="str">
        <f t="shared" si="2"/>
        <v>17.962.366-9</v>
      </c>
      <c r="N896" s="6" t="str">
        <f t="shared" si="3"/>
        <v>Las Condes - Santiago - Región Metropolitana</v>
      </c>
      <c r="O896" s="4"/>
    </row>
    <row r="897">
      <c r="A897" s="1" t="s">
        <v>4698</v>
      </c>
      <c r="B897" s="1" t="s">
        <v>4699</v>
      </c>
      <c r="C897" s="1" t="s">
        <v>4667</v>
      </c>
      <c r="D897" s="1" t="s">
        <v>4700</v>
      </c>
      <c r="E897" s="1" t="s">
        <v>109</v>
      </c>
      <c r="F897" s="1" t="s">
        <v>62</v>
      </c>
      <c r="G897" s="1" t="s">
        <v>63</v>
      </c>
      <c r="H897" s="2">
        <v>3070000.0</v>
      </c>
      <c r="I897" s="1">
        <v>30.0</v>
      </c>
      <c r="J897" s="1" t="s">
        <v>28</v>
      </c>
      <c r="K897" s="5">
        <v>46178.0</v>
      </c>
      <c r="L897" s="4" t="str">
        <f t="shared" si="1"/>
        <v>Rodrigo Morales Díaz</v>
      </c>
      <c r="M897" s="6" t="str">
        <f t="shared" si="2"/>
        <v>12.762.444-8</v>
      </c>
      <c r="N897" s="6" t="str">
        <f t="shared" si="3"/>
        <v>Ñuñoa - Santiago - Región Metropolitana</v>
      </c>
      <c r="O897" s="4"/>
    </row>
    <row r="898">
      <c r="A898" s="1" t="s">
        <v>4701</v>
      </c>
      <c r="B898" s="1" t="s">
        <v>4702</v>
      </c>
      <c r="C898" s="1" t="s">
        <v>4703</v>
      </c>
      <c r="D898" s="1" t="s">
        <v>4105</v>
      </c>
      <c r="E898" s="1" t="s">
        <v>25</v>
      </c>
      <c r="F898" s="1" t="s">
        <v>26</v>
      </c>
      <c r="G898" s="1" t="s">
        <v>27</v>
      </c>
      <c r="H898" s="2">
        <v>1.625E7</v>
      </c>
      <c r="I898" s="1">
        <v>15.0</v>
      </c>
      <c r="J898" s="1" t="s">
        <v>97</v>
      </c>
      <c r="K898" s="5">
        <v>46212.0</v>
      </c>
      <c r="L898" s="4" t="str">
        <f t="shared" si="1"/>
        <v>Macarena Pérez Araya</v>
      </c>
      <c r="M898" s="6" t="str">
        <f t="shared" si="2"/>
        <v>19.157.371-2</v>
      </c>
      <c r="N898" s="6" t="str">
        <f t="shared" si="3"/>
        <v>Viña del Mar - Valparaíso - Región de Valparaíso</v>
      </c>
      <c r="O898" s="4"/>
    </row>
    <row r="899">
      <c r="A899" s="1" t="s">
        <v>4385</v>
      </c>
      <c r="B899" s="1" t="s">
        <v>4386</v>
      </c>
      <c r="C899" s="1" t="s">
        <v>4705</v>
      </c>
      <c r="D899" s="1" t="s">
        <v>4389</v>
      </c>
      <c r="E899" s="1" t="s">
        <v>61</v>
      </c>
      <c r="F899" s="1" t="s">
        <v>62</v>
      </c>
      <c r="G899" s="1" t="s">
        <v>63</v>
      </c>
      <c r="H899" s="2">
        <v>1.992E7</v>
      </c>
      <c r="I899" s="1">
        <v>45.0</v>
      </c>
      <c r="J899" s="1" t="s">
        <v>73</v>
      </c>
      <c r="K899" s="5">
        <v>46143.0</v>
      </c>
      <c r="L899" s="4" t="str">
        <f t="shared" si="1"/>
        <v>Hernán Soto Pérez</v>
      </c>
      <c r="M899" s="6" t="str">
        <f t="shared" si="2"/>
        <v>19.859.067-1</v>
      </c>
      <c r="N899" s="6" t="str">
        <f t="shared" si="3"/>
        <v>Santiago Centro - Santiago - Región Metropolitana</v>
      </c>
      <c r="O899" s="4"/>
    </row>
    <row r="900">
      <c r="A900" s="1" t="s">
        <v>1686</v>
      </c>
      <c r="B900" s="1" t="s">
        <v>1688</v>
      </c>
      <c r="C900" s="1" t="s">
        <v>1690</v>
      </c>
      <c r="D900" s="1" t="s">
        <v>1691</v>
      </c>
      <c r="E900" s="1" t="s">
        <v>72</v>
      </c>
      <c r="F900" s="1" t="s">
        <v>62</v>
      </c>
      <c r="G900" s="1" t="s">
        <v>63</v>
      </c>
      <c r="H900" s="2">
        <v>1580000.0</v>
      </c>
      <c r="I900" s="1">
        <v>0.0</v>
      </c>
      <c r="J900" s="1" t="s">
        <v>20</v>
      </c>
      <c r="K900" s="5">
        <v>46175.0</v>
      </c>
      <c r="L900" s="4" t="str">
        <f t="shared" si="1"/>
        <v>Camila Vergara Valenzuela</v>
      </c>
      <c r="M900" s="6" t="str">
        <f t="shared" si="2"/>
        <v>17.304.268-1</v>
      </c>
      <c r="N900" s="6" t="str">
        <f t="shared" si="3"/>
        <v>Providencia - Santiago - Región Metropolitana</v>
      </c>
      <c r="O900" s="4"/>
    </row>
    <row r="901">
      <c r="A901" s="1" t="s">
        <v>4706</v>
      </c>
      <c r="B901" s="1" t="s">
        <v>4707</v>
      </c>
      <c r="C901" s="1" t="s">
        <v>4708</v>
      </c>
      <c r="D901" s="1" t="s">
        <v>4709</v>
      </c>
      <c r="E901" s="1" t="s">
        <v>158</v>
      </c>
      <c r="F901" s="1" t="s">
        <v>158</v>
      </c>
      <c r="G901" s="1" t="s">
        <v>159</v>
      </c>
      <c r="H901" s="2">
        <v>1.648E7</v>
      </c>
      <c r="I901" s="1">
        <v>0.0</v>
      </c>
      <c r="J901" s="1" t="s">
        <v>28</v>
      </c>
      <c r="K901" s="5">
        <v>46216.0</v>
      </c>
      <c r="L901" s="4" t="str">
        <f t="shared" si="1"/>
        <v>Matías Araya Silva</v>
      </c>
      <c r="M901" s="6" t="str">
        <f t="shared" si="2"/>
        <v>19534637-4</v>
      </c>
      <c r="N901" s="6" t="str">
        <f t="shared" si="3"/>
        <v>Antofagasta - Antofagasta - Región de Antofagasta</v>
      </c>
      <c r="O901" s="4"/>
    </row>
    <row r="902">
      <c r="A902" s="1" t="s">
        <v>4710</v>
      </c>
      <c r="B902" s="1" t="s">
        <v>4711</v>
      </c>
      <c r="C902" s="1" t="s">
        <v>4712</v>
      </c>
      <c r="D902" s="1" t="s">
        <v>3594</v>
      </c>
      <c r="E902" s="1" t="s">
        <v>45</v>
      </c>
      <c r="F902" s="1" t="s">
        <v>45</v>
      </c>
      <c r="G902" s="1" t="s">
        <v>46</v>
      </c>
      <c r="H902" s="2">
        <v>1.37E7</v>
      </c>
      <c r="I902" s="1">
        <v>90.0</v>
      </c>
      <c r="J902" s="1" t="s">
        <v>73</v>
      </c>
      <c r="K902" s="5">
        <v>46130.0</v>
      </c>
      <c r="L902" s="4" t="str">
        <f t="shared" si="1"/>
        <v>Paula González Rodríguez</v>
      </c>
      <c r="M902" s="6" t="str">
        <f t="shared" si="2"/>
        <v>13.425.058-7</v>
      </c>
      <c r="N902" s="6" t="str">
        <f t="shared" si="3"/>
        <v>Temuco - Temuco - Región de la Araucanía</v>
      </c>
      <c r="O902" s="4"/>
    </row>
    <row r="903">
      <c r="A903" s="1" t="s">
        <v>4153</v>
      </c>
      <c r="B903" s="1" t="s">
        <v>4154</v>
      </c>
      <c r="C903" s="1" t="s">
        <v>4155</v>
      </c>
      <c r="D903" s="1" t="s">
        <v>3981</v>
      </c>
      <c r="E903" s="1" t="s">
        <v>61</v>
      </c>
      <c r="F903" s="1" t="s">
        <v>62</v>
      </c>
      <c r="G903" s="1" t="s">
        <v>63</v>
      </c>
      <c r="H903" s="2">
        <v>4790000.0</v>
      </c>
      <c r="I903" s="1">
        <v>15.0</v>
      </c>
      <c r="J903" s="1" t="s">
        <v>20</v>
      </c>
      <c r="K903" s="5">
        <v>46078.0</v>
      </c>
      <c r="L903" s="4" t="str">
        <f t="shared" si="1"/>
        <v>Gabriel Silva Morales</v>
      </c>
      <c r="M903" s="6" t="str">
        <f t="shared" si="2"/>
        <v>18.433.263-3</v>
      </c>
      <c r="N903" s="6" t="str">
        <f t="shared" si="3"/>
        <v>Santiago Centro - Santiago - Región Metropolitana</v>
      </c>
      <c r="O903" s="4"/>
    </row>
    <row r="904">
      <c r="A904" s="1" t="s">
        <v>3951</v>
      </c>
      <c r="B904" s="1" t="s">
        <v>3952</v>
      </c>
      <c r="C904" s="1" t="s">
        <v>3953</v>
      </c>
      <c r="D904" s="1" t="s">
        <v>3954</v>
      </c>
      <c r="E904" s="1" t="s">
        <v>18</v>
      </c>
      <c r="F904" s="1" t="s">
        <v>18</v>
      </c>
      <c r="G904" s="1" t="s">
        <v>19</v>
      </c>
      <c r="H904" s="2">
        <v>1.207E7</v>
      </c>
      <c r="I904" s="1">
        <v>45.0</v>
      </c>
      <c r="J904" s="1" t="s">
        <v>28</v>
      </c>
      <c r="K904" s="5">
        <v>46231.0</v>
      </c>
      <c r="L904" s="4" t="str">
        <f t="shared" si="1"/>
        <v>Francisca Tapia Tapia</v>
      </c>
      <c r="M904" s="6" t="str">
        <f t="shared" si="2"/>
        <v>15.161.567-7</v>
      </c>
      <c r="N904" s="6" t="str">
        <f t="shared" si="3"/>
        <v>La Serena - La Serena - Región de Coquimbo</v>
      </c>
      <c r="O904" s="4"/>
    </row>
    <row r="905">
      <c r="A905" s="1" t="s">
        <v>4110</v>
      </c>
      <c r="B905" s="1" t="s">
        <v>4111</v>
      </c>
      <c r="C905" s="1" t="s">
        <v>4713</v>
      </c>
      <c r="D905" s="1" t="s">
        <v>4113</v>
      </c>
      <c r="E905" s="1" t="s">
        <v>118</v>
      </c>
      <c r="F905" s="1" t="s">
        <v>62</v>
      </c>
      <c r="G905" s="1" t="s">
        <v>63</v>
      </c>
      <c r="H905" s="2">
        <v>7390000.0</v>
      </c>
      <c r="I905" s="1">
        <v>0.0</v>
      </c>
      <c r="J905" s="1" t="s">
        <v>97</v>
      </c>
      <c r="K905" s="5">
        <v>46129.0</v>
      </c>
      <c r="L905" s="4" t="str">
        <f t="shared" si="1"/>
        <v>Gabriel Rojas Muñoz</v>
      </c>
      <c r="M905" s="6" t="str">
        <f t="shared" si="2"/>
        <v>13.031.041-5</v>
      </c>
      <c r="N905" s="6" t="str">
        <f t="shared" si="3"/>
        <v>Maipú - Santiago - Región Metropolitana</v>
      </c>
      <c r="O905" s="4"/>
    </row>
    <row r="906">
      <c r="A906" s="1" t="s">
        <v>1953</v>
      </c>
      <c r="B906" s="1" t="s">
        <v>1955</v>
      </c>
      <c r="C906" s="1" t="s">
        <v>4715</v>
      </c>
      <c r="D906" s="1" t="s">
        <v>1958</v>
      </c>
      <c r="E906" s="1" t="s">
        <v>61</v>
      </c>
      <c r="F906" s="1" t="s">
        <v>62</v>
      </c>
      <c r="G906" s="1" t="s">
        <v>63</v>
      </c>
      <c r="H906" s="2">
        <v>7200000.0</v>
      </c>
      <c r="I906" s="1">
        <v>0.0</v>
      </c>
      <c r="J906" s="1" t="s">
        <v>97</v>
      </c>
      <c r="K906" s="5">
        <v>46177.0</v>
      </c>
      <c r="L906" s="4" t="str">
        <f t="shared" si="1"/>
        <v>Carolina Soto Tapia</v>
      </c>
      <c r="M906" s="6" t="str">
        <f t="shared" si="2"/>
        <v>12.432.984-4</v>
      </c>
      <c r="N906" s="6" t="str">
        <f t="shared" si="3"/>
        <v>Santiago Centro - Santiago - Región Metropolitana</v>
      </c>
      <c r="O906" s="4"/>
    </row>
    <row r="907">
      <c r="A907" s="1" t="s">
        <v>3323</v>
      </c>
      <c r="B907" s="1" t="s">
        <v>3325</v>
      </c>
      <c r="C907" s="1" t="s">
        <v>4716</v>
      </c>
      <c r="D907" s="1" t="s">
        <v>3328</v>
      </c>
      <c r="E907" s="1" t="s">
        <v>72</v>
      </c>
      <c r="F907" s="1" t="s">
        <v>62</v>
      </c>
      <c r="G907" s="1" t="s">
        <v>63</v>
      </c>
      <c r="H907" s="2">
        <v>1.893E7</v>
      </c>
      <c r="I907" s="1">
        <v>0.0</v>
      </c>
      <c r="J907" s="1" t="s">
        <v>97</v>
      </c>
      <c r="K907" s="5">
        <v>46192.0</v>
      </c>
      <c r="L907" s="4" t="str">
        <f t="shared" si="1"/>
        <v>Diego Pérez Rodríguez</v>
      </c>
      <c r="M907" s="6" t="str">
        <f t="shared" si="2"/>
        <v>11.106.386-8</v>
      </c>
      <c r="N907" s="6" t="str">
        <f t="shared" si="3"/>
        <v>Providencia - Santiago - Región Metropolitana</v>
      </c>
      <c r="O907" s="4"/>
    </row>
    <row r="908">
      <c r="A908" s="1" t="s">
        <v>2195</v>
      </c>
      <c r="B908" s="1" t="s">
        <v>2196</v>
      </c>
      <c r="C908" s="1" t="s">
        <v>4721</v>
      </c>
      <c r="D908" s="1" t="s">
        <v>2198</v>
      </c>
      <c r="E908" s="1" t="s">
        <v>194</v>
      </c>
      <c r="F908" s="1" t="s">
        <v>62</v>
      </c>
      <c r="G908" s="1" t="s">
        <v>63</v>
      </c>
      <c r="H908" s="2">
        <v>2.142E7</v>
      </c>
      <c r="I908" s="1">
        <v>15.0</v>
      </c>
      <c r="J908" s="1" t="s">
        <v>28</v>
      </c>
      <c r="K908" s="5">
        <v>46064.0</v>
      </c>
      <c r="L908" s="4" t="str">
        <f t="shared" si="1"/>
        <v>Catalina Morales Rojas</v>
      </c>
      <c r="M908" s="6" t="str">
        <f t="shared" si="2"/>
        <v>18595218-3</v>
      </c>
      <c r="N908" s="6" t="str">
        <f t="shared" si="3"/>
        <v>Las Condes - Santiago - Región Metropolitana</v>
      </c>
      <c r="O908" s="4"/>
    </row>
    <row r="909">
      <c r="A909" s="1" t="s">
        <v>3539</v>
      </c>
      <c r="B909" s="1" t="s">
        <v>3541</v>
      </c>
      <c r="C909" s="1" t="s">
        <v>4722</v>
      </c>
      <c r="D909" s="1" t="s">
        <v>3543</v>
      </c>
      <c r="E909" s="1" t="s">
        <v>33</v>
      </c>
      <c r="F909" s="1" t="s">
        <v>33</v>
      </c>
      <c r="G909" s="1" t="s">
        <v>34</v>
      </c>
      <c r="H909" s="2">
        <v>2.088E7</v>
      </c>
      <c r="I909" s="1">
        <v>60.0</v>
      </c>
      <c r="J909" s="1" t="s">
        <v>20</v>
      </c>
      <c r="K909" s="5">
        <v>46180.0</v>
      </c>
      <c r="L909" s="4" t="str">
        <f t="shared" si="1"/>
        <v>Felipe Contreras Morales</v>
      </c>
      <c r="M909" s="6" t="str">
        <f t="shared" si="2"/>
        <v>17.270.351-4</v>
      </c>
      <c r="N909" s="6" t="str">
        <f t="shared" si="3"/>
        <v>Puerto Montt - Puerto Montt - Región de Los Lagos</v>
      </c>
      <c r="O909" s="4"/>
    </row>
    <row r="910">
      <c r="A910" s="1" t="s">
        <v>605</v>
      </c>
      <c r="B910" s="1" t="s">
        <v>606</v>
      </c>
      <c r="C910" s="1" t="s">
        <v>607</v>
      </c>
      <c r="D910" s="1" t="s">
        <v>608</v>
      </c>
      <c r="E910" s="1" t="s">
        <v>61</v>
      </c>
      <c r="F910" s="1" t="s">
        <v>62</v>
      </c>
      <c r="G910" s="1" t="s">
        <v>63</v>
      </c>
      <c r="H910" s="2">
        <v>1.68E7</v>
      </c>
      <c r="I910" s="1">
        <v>30.0</v>
      </c>
      <c r="J910" s="1" t="s">
        <v>47</v>
      </c>
      <c r="K910" s="5">
        <v>46047.0</v>
      </c>
      <c r="L910" s="4" t="str">
        <f t="shared" si="1"/>
        <v>Andrea Díaz Araya</v>
      </c>
      <c r="M910" s="6" t="str">
        <f t="shared" si="2"/>
        <v>15.114.550-4</v>
      </c>
      <c r="N910" s="6" t="str">
        <f t="shared" si="3"/>
        <v>Santiago Centro - Santiago - Región Metropolitana</v>
      </c>
      <c r="O910" s="4"/>
    </row>
    <row r="911">
      <c r="A911" s="1" t="s">
        <v>4723</v>
      </c>
      <c r="B911" s="1" t="s">
        <v>4724</v>
      </c>
      <c r="C911" s="1" t="s">
        <v>4725</v>
      </c>
      <c r="D911" s="1" t="s">
        <v>4726</v>
      </c>
      <c r="E911" s="1" t="s">
        <v>39</v>
      </c>
      <c r="F911" s="1" t="s">
        <v>39</v>
      </c>
      <c r="G911" s="1" t="s">
        <v>40</v>
      </c>
      <c r="H911" s="2">
        <v>1.519E7</v>
      </c>
      <c r="I911" s="1">
        <v>60.0</v>
      </c>
      <c r="J911" s="1" t="s">
        <v>73</v>
      </c>
      <c r="K911" s="5">
        <v>46105.0</v>
      </c>
      <c r="L911" s="4" t="str">
        <f t="shared" si="1"/>
        <v>Sebastián Espinoza Díaz</v>
      </c>
      <c r="M911" s="6" t="str">
        <f t="shared" si="2"/>
        <v>13.098.010-8</v>
      </c>
      <c r="N911" s="6" t="str">
        <f t="shared" si="3"/>
        <v>Concepción - Concepción - Región del Biobío</v>
      </c>
      <c r="O911" s="4"/>
    </row>
    <row r="912">
      <c r="A912" s="1" t="s">
        <v>3679</v>
      </c>
      <c r="B912" s="1" t="s">
        <v>3680</v>
      </c>
      <c r="C912" s="1" t="s">
        <v>3677</v>
      </c>
      <c r="D912" s="1" t="s">
        <v>1579</v>
      </c>
      <c r="E912" s="1" t="s">
        <v>61</v>
      </c>
      <c r="F912" s="1" t="s">
        <v>62</v>
      </c>
      <c r="G912" s="1" t="s">
        <v>63</v>
      </c>
      <c r="H912" s="2">
        <v>2310000.0</v>
      </c>
      <c r="I912" s="1">
        <v>0.0</v>
      </c>
      <c r="J912" s="1" t="s">
        <v>28</v>
      </c>
      <c r="K912" s="5">
        <v>46078.0</v>
      </c>
      <c r="L912" s="4" t="str">
        <f t="shared" si="1"/>
        <v>Fernanda Díaz Valenzuela</v>
      </c>
      <c r="M912" s="6" t="str">
        <f t="shared" si="2"/>
        <v>21.438.850-4</v>
      </c>
      <c r="N912" s="6" t="str">
        <f t="shared" si="3"/>
        <v>Santiago Centro - Santiago - Región Metropolitana</v>
      </c>
      <c r="O912" s="4"/>
    </row>
    <row r="913">
      <c r="A913" s="1" t="s">
        <v>4205</v>
      </c>
      <c r="B913" s="1" t="s">
        <v>4206</v>
      </c>
      <c r="C913" s="1" t="s">
        <v>4207</v>
      </c>
      <c r="D913" s="1" t="s">
        <v>4208</v>
      </c>
      <c r="E913" s="1" t="s">
        <v>158</v>
      </c>
      <c r="F913" s="1" t="s">
        <v>158</v>
      </c>
      <c r="G913" s="1" t="s">
        <v>159</v>
      </c>
      <c r="H913" s="2">
        <v>1.119E7</v>
      </c>
      <c r="I913" s="1">
        <v>0.0</v>
      </c>
      <c r="J913" s="1" t="s">
        <v>20</v>
      </c>
      <c r="K913" s="5">
        <v>46023.0</v>
      </c>
      <c r="L913" s="4" t="str">
        <f t="shared" si="1"/>
        <v>Gonzalo Fuentes Silva</v>
      </c>
      <c r="M913" s="6" t="str">
        <f t="shared" si="2"/>
        <v>19606324-6</v>
      </c>
      <c r="N913" s="6" t="str">
        <f t="shared" si="3"/>
        <v>Antofagasta - Antofagasta - Región de Antofagasta</v>
      </c>
      <c r="O913" s="4"/>
    </row>
    <row r="914">
      <c r="A914" s="1" t="s">
        <v>4728</v>
      </c>
      <c r="B914" s="1" t="s">
        <v>4729</v>
      </c>
      <c r="C914" s="1" t="s">
        <v>4730</v>
      </c>
      <c r="D914" s="1" t="s">
        <v>122</v>
      </c>
      <c r="E914" s="1" t="s">
        <v>56</v>
      </c>
      <c r="F914" s="1" t="s">
        <v>39</v>
      </c>
      <c r="G914" s="1" t="s">
        <v>40</v>
      </c>
      <c r="H914" s="2">
        <v>1.639E7</v>
      </c>
      <c r="I914" s="1">
        <v>15.0</v>
      </c>
      <c r="J914" s="1" t="s">
        <v>20</v>
      </c>
      <c r="K914" s="5">
        <v>46176.0</v>
      </c>
      <c r="L914" s="4" t="str">
        <f t="shared" si="1"/>
        <v>Sofia Espinoza Valenzuela</v>
      </c>
      <c r="M914" s="6" t="str">
        <f t="shared" si="2"/>
        <v>21.026.989-9</v>
      </c>
      <c r="N914" s="6" t="str">
        <f t="shared" si="3"/>
        <v>Talcahuano - Concepción - Región del Biobío</v>
      </c>
      <c r="O914" s="4"/>
    </row>
    <row r="915">
      <c r="A915" s="1" t="s">
        <v>4731</v>
      </c>
      <c r="B915" s="1" t="s">
        <v>4733</v>
      </c>
      <c r="C915" s="1" t="s">
        <v>4734</v>
      </c>
      <c r="D915" s="1" t="s">
        <v>4735</v>
      </c>
      <c r="E915" s="1" t="s">
        <v>72</v>
      </c>
      <c r="F915" s="1" t="s">
        <v>62</v>
      </c>
      <c r="G915" s="1" t="s">
        <v>63</v>
      </c>
      <c r="H915" s="2">
        <v>7940000.0</v>
      </c>
      <c r="I915" s="1">
        <v>60.0</v>
      </c>
      <c r="J915" s="1" t="s">
        <v>20</v>
      </c>
      <c r="K915" s="5">
        <v>46143.0</v>
      </c>
      <c r="L915" s="4" t="str">
        <f t="shared" si="1"/>
        <v>Mauricio Contreras Muñoz</v>
      </c>
      <c r="M915" s="6" t="str">
        <f t="shared" si="2"/>
        <v>20693029-2</v>
      </c>
      <c r="N915" s="6" t="str">
        <f t="shared" si="3"/>
        <v>Providencia - Santiago - Región Metropolitana</v>
      </c>
      <c r="O915" s="4"/>
    </row>
    <row r="916">
      <c r="A916" s="1" t="s">
        <v>4717</v>
      </c>
      <c r="B916" s="1" t="s">
        <v>4718</v>
      </c>
      <c r="C916" s="1" t="s">
        <v>4719</v>
      </c>
      <c r="D916" s="1" t="s">
        <v>4720</v>
      </c>
      <c r="E916" s="1" t="s">
        <v>39</v>
      </c>
      <c r="F916" s="1" t="s">
        <v>39</v>
      </c>
      <c r="G916" s="1" t="s">
        <v>40</v>
      </c>
      <c r="H916" s="2">
        <v>1.818E7</v>
      </c>
      <c r="I916" s="1">
        <v>15.0</v>
      </c>
      <c r="J916" s="1" t="s">
        <v>20</v>
      </c>
      <c r="K916" s="5">
        <v>46115.0</v>
      </c>
      <c r="L916" s="4" t="str">
        <f t="shared" si="1"/>
        <v>Javiera Fuentes Vergara</v>
      </c>
      <c r="M916" s="6" t="str">
        <f t="shared" si="2"/>
        <v>13.259.534-5</v>
      </c>
      <c r="N916" s="6" t="str">
        <f t="shared" si="3"/>
        <v>Concepción - Concepción - Región del Biobío</v>
      </c>
      <c r="O916" s="4"/>
    </row>
    <row r="917">
      <c r="A917" s="1" t="s">
        <v>4737</v>
      </c>
      <c r="B917" s="1" t="s">
        <v>4738</v>
      </c>
      <c r="C917" s="1" t="s">
        <v>4739</v>
      </c>
      <c r="D917" s="1" t="s">
        <v>4740</v>
      </c>
      <c r="E917" s="1" t="s">
        <v>18</v>
      </c>
      <c r="F917" s="1" t="s">
        <v>18</v>
      </c>
      <c r="G917" s="1" t="s">
        <v>19</v>
      </c>
      <c r="H917" s="2">
        <v>9780000.0</v>
      </c>
      <c r="I917" s="1">
        <v>90.0</v>
      </c>
      <c r="J917" s="1" t="s">
        <v>28</v>
      </c>
      <c r="K917" s="5">
        <v>46188.0</v>
      </c>
      <c r="L917" s="4" t="str">
        <f t="shared" si="1"/>
        <v>Mauricio Araya Contreras</v>
      </c>
      <c r="M917" s="6" t="str">
        <f t="shared" si="2"/>
        <v>19.510.024-1</v>
      </c>
      <c r="N917" s="6" t="str">
        <f t="shared" si="3"/>
        <v>La Serena - La Serena - Región de Coquimbo</v>
      </c>
      <c r="O917" s="4"/>
    </row>
    <row r="918">
      <c r="A918" s="1" t="s">
        <v>3752</v>
      </c>
      <c r="B918" s="1" t="s">
        <v>3753</v>
      </c>
      <c r="C918" s="1" t="s">
        <v>4741</v>
      </c>
      <c r="D918" s="1" t="s">
        <v>3755</v>
      </c>
      <c r="E918" s="1" t="s">
        <v>45</v>
      </c>
      <c r="F918" s="1" t="s">
        <v>45</v>
      </c>
      <c r="G918" s="1" t="s">
        <v>46</v>
      </c>
      <c r="H918" s="2">
        <v>9230000.0</v>
      </c>
      <c r="I918" s="1">
        <v>30.0</v>
      </c>
      <c r="J918" s="1" t="s">
        <v>73</v>
      </c>
      <c r="K918" s="5">
        <v>46059.0</v>
      </c>
      <c r="L918" s="4" t="str">
        <f t="shared" si="1"/>
        <v>Fernanda Silva Morales</v>
      </c>
      <c r="M918" s="6" t="str">
        <f t="shared" si="2"/>
        <v>14.121.772-1</v>
      </c>
      <c r="N918" s="6" t="str">
        <f t="shared" si="3"/>
        <v>Temuco - Temuco - Región de la Araucanía</v>
      </c>
      <c r="O918" s="4"/>
    </row>
    <row r="919">
      <c r="A919" s="1" t="s">
        <v>4613</v>
      </c>
      <c r="B919" s="1" t="s">
        <v>4614</v>
      </c>
      <c r="C919" s="1" t="s">
        <v>4615</v>
      </c>
      <c r="D919" s="1" t="s">
        <v>4616</v>
      </c>
      <c r="E919" s="1" t="s">
        <v>56</v>
      </c>
      <c r="F919" s="1" t="s">
        <v>39</v>
      </c>
      <c r="G919" s="1" t="s">
        <v>40</v>
      </c>
      <c r="H919" s="2">
        <v>1.41E7</v>
      </c>
      <c r="I919" s="1">
        <v>60.0</v>
      </c>
      <c r="J919" s="1" t="s">
        <v>47</v>
      </c>
      <c r="K919" s="5">
        <v>46127.0</v>
      </c>
      <c r="L919" s="4" t="str">
        <f t="shared" si="1"/>
        <v>Javier Pérez González</v>
      </c>
      <c r="M919" s="6" t="str">
        <f t="shared" si="2"/>
        <v>16.239.673-0</v>
      </c>
      <c r="N919" s="6" t="str">
        <f t="shared" si="3"/>
        <v>Talcahuano - Concepción - Región del Biobío</v>
      </c>
      <c r="O919" s="4"/>
    </row>
    <row r="920">
      <c r="A920" s="1" t="s">
        <v>4742</v>
      </c>
      <c r="B920" s="1" t="s">
        <v>4743</v>
      </c>
      <c r="C920" s="1" t="s">
        <v>4744</v>
      </c>
      <c r="D920" s="1" t="s">
        <v>4745</v>
      </c>
      <c r="E920" s="1" t="s">
        <v>39</v>
      </c>
      <c r="F920" s="1" t="s">
        <v>39</v>
      </c>
      <c r="G920" s="1" t="s">
        <v>40</v>
      </c>
      <c r="H920" s="2">
        <v>2.195E7</v>
      </c>
      <c r="I920" s="1">
        <v>0.0</v>
      </c>
      <c r="J920" s="1" t="s">
        <v>97</v>
      </c>
      <c r="K920" s="5">
        <v>46088.0</v>
      </c>
      <c r="L920" s="4" t="str">
        <f t="shared" si="1"/>
        <v>Loreto Vergara Soto</v>
      </c>
      <c r="M920" s="6" t="str">
        <f t="shared" si="2"/>
        <v>15688278-1</v>
      </c>
      <c r="N920" s="6" t="str">
        <f t="shared" si="3"/>
        <v>Concepción - Concepción - Región del Biobío</v>
      </c>
      <c r="O920" s="4"/>
    </row>
    <row r="921">
      <c r="A921" s="1" t="s">
        <v>4043</v>
      </c>
      <c r="B921" s="1" t="s">
        <v>4044</v>
      </c>
      <c r="C921" s="1" t="s">
        <v>4747</v>
      </c>
      <c r="D921" s="1" t="s">
        <v>4046</v>
      </c>
      <c r="E921" s="1" t="s">
        <v>61</v>
      </c>
      <c r="F921" s="1" t="s">
        <v>62</v>
      </c>
      <c r="G921" s="1" t="s">
        <v>63</v>
      </c>
      <c r="H921" s="2">
        <v>1.291E7</v>
      </c>
      <c r="I921" s="1">
        <v>120.0</v>
      </c>
      <c r="J921" s="1" t="s">
        <v>73</v>
      </c>
      <c r="K921" s="5">
        <v>46220.0</v>
      </c>
      <c r="L921" s="4" t="str">
        <f t="shared" si="1"/>
        <v>Gabriel González Tapia</v>
      </c>
      <c r="M921" s="6" t="str">
        <f t="shared" si="2"/>
        <v>21.392.014-3</v>
      </c>
      <c r="N921" s="6" t="str">
        <f t="shared" si="3"/>
        <v>Santiago Centro - Santiago - Región Metropolitana</v>
      </c>
      <c r="O921" s="4"/>
    </row>
    <row r="922">
      <c r="A922" s="1" t="s">
        <v>3682</v>
      </c>
      <c r="B922" s="1" t="s">
        <v>3683</v>
      </c>
      <c r="C922" s="1" t="s">
        <v>3677</v>
      </c>
      <c r="D922" s="1" t="s">
        <v>1579</v>
      </c>
      <c r="E922" s="1" t="s">
        <v>45</v>
      </c>
      <c r="F922" s="1" t="s">
        <v>45</v>
      </c>
      <c r="G922" s="1" t="s">
        <v>46</v>
      </c>
      <c r="H922" s="2">
        <v>3880000.0</v>
      </c>
      <c r="I922" s="1">
        <v>30.0</v>
      </c>
      <c r="J922" s="1" t="s">
        <v>20</v>
      </c>
      <c r="K922" s="5">
        <v>46125.0</v>
      </c>
      <c r="L922" s="4" t="str">
        <f t="shared" si="1"/>
        <v>Fernanda Díaz Valenzuela</v>
      </c>
      <c r="M922" s="6" t="str">
        <f t="shared" si="2"/>
        <v>18.278.828-4</v>
      </c>
      <c r="N922" s="6" t="str">
        <f t="shared" si="3"/>
        <v>Temuco - Temuco - Región de la Araucanía</v>
      </c>
      <c r="O922" s="4"/>
    </row>
    <row r="923">
      <c r="A923" s="1" t="s">
        <v>3628</v>
      </c>
      <c r="B923" s="1" t="s">
        <v>3630</v>
      </c>
      <c r="C923" s="1" t="s">
        <v>3632</v>
      </c>
      <c r="D923" s="1" t="s">
        <v>3633</v>
      </c>
      <c r="E923" s="1" t="s">
        <v>72</v>
      </c>
      <c r="F923" s="1" t="s">
        <v>62</v>
      </c>
      <c r="G923" s="1" t="s">
        <v>63</v>
      </c>
      <c r="H923" s="2">
        <v>1.152E7</v>
      </c>
      <c r="I923" s="1">
        <v>45.0</v>
      </c>
      <c r="J923" s="1" t="s">
        <v>20</v>
      </c>
      <c r="K923" s="5">
        <v>46025.0</v>
      </c>
      <c r="L923" s="4" t="str">
        <f t="shared" si="1"/>
        <v>Felipe Tapia Pérez</v>
      </c>
      <c r="M923" s="6" t="str">
        <f t="shared" si="2"/>
        <v>12.321.728-6</v>
      </c>
      <c r="N923" s="6" t="str">
        <f t="shared" si="3"/>
        <v>Providencia - Santiago - Región Metropolitana</v>
      </c>
      <c r="O923" s="4"/>
    </row>
    <row r="924">
      <c r="A924" s="1" t="s">
        <v>3940</v>
      </c>
      <c r="B924" s="1" t="s">
        <v>3942</v>
      </c>
      <c r="C924" s="1" t="s">
        <v>3944</v>
      </c>
      <c r="D924" s="1" t="s">
        <v>3946</v>
      </c>
      <c r="E924" s="1" t="s">
        <v>109</v>
      </c>
      <c r="F924" s="1" t="s">
        <v>62</v>
      </c>
      <c r="G924" s="1" t="s">
        <v>63</v>
      </c>
      <c r="H924" s="2">
        <v>9610000.0</v>
      </c>
      <c r="I924" s="1">
        <v>15.0</v>
      </c>
      <c r="J924" s="1" t="s">
        <v>28</v>
      </c>
      <c r="K924" s="5">
        <v>46082.0</v>
      </c>
      <c r="L924" s="4" t="str">
        <f t="shared" si="1"/>
        <v>Francisca Tapia González</v>
      </c>
      <c r="M924" s="6" t="str">
        <f t="shared" si="2"/>
        <v>12.065.869-K</v>
      </c>
      <c r="N924" s="6" t="str">
        <f t="shared" si="3"/>
        <v>Ñuñoa - Santiago - Región Metropolitana</v>
      </c>
      <c r="O924" s="4"/>
    </row>
    <row r="925">
      <c r="A925" s="1" t="s">
        <v>173</v>
      </c>
      <c r="B925" s="1" t="s">
        <v>174</v>
      </c>
      <c r="C925" s="1" t="s">
        <v>175</v>
      </c>
      <c r="D925" s="1" t="s">
        <v>176</v>
      </c>
      <c r="E925" s="1" t="s">
        <v>33</v>
      </c>
      <c r="F925" s="1" t="s">
        <v>33</v>
      </c>
      <c r="G925" s="1" t="s">
        <v>34</v>
      </c>
      <c r="H925" s="2">
        <v>8820000.0</v>
      </c>
      <c r="I925" s="1">
        <v>0.0</v>
      </c>
      <c r="J925" s="1" t="s">
        <v>28</v>
      </c>
      <c r="K925" s="5">
        <v>46211.0</v>
      </c>
      <c r="L925" s="4" t="str">
        <f t="shared" si="1"/>
        <v>Álvaro Díaz Vergara</v>
      </c>
      <c r="M925" s="6" t="str">
        <f t="shared" si="2"/>
        <v>19.532.688-1</v>
      </c>
      <c r="N925" s="6" t="str">
        <f t="shared" si="3"/>
        <v>Puerto Montt - Puerto Montt - Región de Los Lagos</v>
      </c>
      <c r="O925" s="4"/>
    </row>
    <row r="926">
      <c r="A926" s="1" t="s">
        <v>1844</v>
      </c>
      <c r="B926" s="1" t="s">
        <v>1845</v>
      </c>
      <c r="C926" s="1" t="s">
        <v>4750</v>
      </c>
      <c r="D926" s="1" t="s">
        <v>1848</v>
      </c>
      <c r="E926" s="1" t="s">
        <v>39</v>
      </c>
      <c r="F926" s="1" t="s">
        <v>39</v>
      </c>
      <c r="G926" s="1" t="s">
        <v>40</v>
      </c>
      <c r="H926" s="2">
        <v>2.043E7</v>
      </c>
      <c r="I926" s="1">
        <v>45.0</v>
      </c>
      <c r="J926" s="1" t="s">
        <v>73</v>
      </c>
      <c r="K926" s="5">
        <v>46165.0</v>
      </c>
      <c r="L926" s="4" t="str">
        <f t="shared" si="1"/>
        <v>Carolina López González</v>
      </c>
      <c r="M926" s="6" t="str">
        <f t="shared" si="2"/>
        <v>14739177-1</v>
      </c>
      <c r="N926" s="6" t="str">
        <f t="shared" si="3"/>
        <v>Concepción - Concepción - Región del Biobío</v>
      </c>
      <c r="O926" s="4"/>
    </row>
    <row r="927">
      <c r="A927" s="1" t="s">
        <v>340</v>
      </c>
      <c r="B927" s="1" t="s">
        <v>341</v>
      </c>
      <c r="C927" s="1" t="s">
        <v>4751</v>
      </c>
      <c r="D927" s="1" t="s">
        <v>344</v>
      </c>
      <c r="E927" s="1" t="s">
        <v>26</v>
      </c>
      <c r="F927" s="1" t="s">
        <v>26</v>
      </c>
      <c r="G927" s="1" t="s">
        <v>27</v>
      </c>
      <c r="H927" s="2">
        <v>5200000.0</v>
      </c>
      <c r="I927" s="1">
        <v>0.0</v>
      </c>
      <c r="J927" s="1" t="s">
        <v>97</v>
      </c>
      <c r="K927" s="5">
        <v>46220.0</v>
      </c>
      <c r="L927" s="4" t="str">
        <f t="shared" si="1"/>
        <v>Álvaro Rojas Morales</v>
      </c>
      <c r="M927" s="6" t="str">
        <f t="shared" si="2"/>
        <v>14.191.545-7</v>
      </c>
      <c r="N927" s="6" t="str">
        <f t="shared" si="3"/>
        <v>Valparaíso - Valparaíso - Región de Valparaíso</v>
      </c>
      <c r="O927" s="4"/>
    </row>
    <row r="928">
      <c r="A928" s="1" t="s">
        <v>4752</v>
      </c>
      <c r="B928" s="1" t="s">
        <v>4753</v>
      </c>
      <c r="C928" s="1" t="s">
        <v>4754</v>
      </c>
      <c r="D928" s="1" t="s">
        <v>4755</v>
      </c>
      <c r="E928" s="1" t="s">
        <v>25</v>
      </c>
      <c r="F928" s="1" t="s">
        <v>26</v>
      </c>
      <c r="G928" s="1" t="s">
        <v>27</v>
      </c>
      <c r="H928" s="2">
        <v>1.67E7</v>
      </c>
      <c r="I928" s="1">
        <v>0.0</v>
      </c>
      <c r="J928" s="1" t="s">
        <v>97</v>
      </c>
      <c r="K928" s="5">
        <v>46128.0</v>
      </c>
      <c r="L928" s="4" t="str">
        <f t="shared" si="1"/>
        <v>Sofia Silva Contreras</v>
      </c>
      <c r="M928" s="6" t="str">
        <f t="shared" si="2"/>
        <v>19.755.977-2</v>
      </c>
      <c r="N928" s="6" t="str">
        <f t="shared" si="3"/>
        <v>Viña del Mar - Valparaíso - Región de Valparaíso</v>
      </c>
      <c r="O928" s="4"/>
    </row>
    <row r="929">
      <c r="A929" s="1" t="s">
        <v>3379</v>
      </c>
      <c r="B929" s="1" t="s">
        <v>3380</v>
      </c>
      <c r="C929" s="1" t="s">
        <v>4756</v>
      </c>
      <c r="D929" s="1" t="s">
        <v>877</v>
      </c>
      <c r="E929" s="1" t="s">
        <v>194</v>
      </c>
      <c r="F929" s="1" t="s">
        <v>62</v>
      </c>
      <c r="G929" s="1" t="s">
        <v>63</v>
      </c>
      <c r="H929" s="2">
        <v>1050000.0</v>
      </c>
      <c r="I929" s="1">
        <v>0.0</v>
      </c>
      <c r="J929" s="1" t="s">
        <v>20</v>
      </c>
      <c r="K929" s="5">
        <v>46038.0</v>
      </c>
      <c r="L929" s="4" t="str">
        <f t="shared" si="1"/>
        <v>Diego Silva Tapia</v>
      </c>
      <c r="M929" s="6" t="str">
        <f t="shared" si="2"/>
        <v>18.203.480-4</v>
      </c>
      <c r="N929" s="6" t="str">
        <f t="shared" si="3"/>
        <v>Las Condes - Santiago - Región Metropolitana</v>
      </c>
      <c r="O929" s="4"/>
    </row>
    <row r="930">
      <c r="A930" s="1" t="s">
        <v>3139</v>
      </c>
      <c r="B930" s="1" t="s">
        <v>3140</v>
      </c>
      <c r="C930" s="1" t="s">
        <v>4757</v>
      </c>
      <c r="D930" s="1" t="s">
        <v>3142</v>
      </c>
      <c r="E930" s="1" t="s">
        <v>158</v>
      </c>
      <c r="F930" s="1" t="s">
        <v>158</v>
      </c>
      <c r="G930" s="1" t="s">
        <v>159</v>
      </c>
      <c r="H930" s="2">
        <v>6410000.0</v>
      </c>
      <c r="I930" s="1">
        <v>15.0</v>
      </c>
      <c r="J930" s="1" t="s">
        <v>73</v>
      </c>
      <c r="K930" s="5">
        <v>46101.0</v>
      </c>
      <c r="L930" s="4" t="str">
        <f t="shared" si="1"/>
        <v>Daniela Pérez Espinoza</v>
      </c>
      <c r="M930" s="6" t="str">
        <f t="shared" si="2"/>
        <v>20.630.690-6</v>
      </c>
      <c r="N930" s="6" t="str">
        <f t="shared" si="3"/>
        <v>Antofagasta - Antofagasta - Región de Antofagasta</v>
      </c>
      <c r="O930" s="4"/>
    </row>
    <row r="931">
      <c r="A931" s="1" t="s">
        <v>4758</v>
      </c>
      <c r="B931" s="1" t="s">
        <v>4759</v>
      </c>
      <c r="C931" s="1" t="s">
        <v>4761</v>
      </c>
      <c r="D931" s="1" t="s">
        <v>2327</v>
      </c>
      <c r="E931" s="1" t="s">
        <v>194</v>
      </c>
      <c r="F931" s="1" t="s">
        <v>62</v>
      </c>
      <c r="G931" s="1" t="s">
        <v>63</v>
      </c>
      <c r="H931" s="2">
        <v>2.2E7</v>
      </c>
      <c r="I931" s="1">
        <v>0.0</v>
      </c>
      <c r="J931" s="1" t="s">
        <v>73</v>
      </c>
      <c r="K931" s="5">
        <v>46098.0</v>
      </c>
      <c r="L931" s="4" t="str">
        <f t="shared" si="1"/>
        <v>Matías Rojas Espinoza</v>
      </c>
      <c r="M931" s="6" t="str">
        <f t="shared" si="2"/>
        <v>14.652.289-K</v>
      </c>
      <c r="N931" s="6" t="str">
        <f t="shared" si="3"/>
        <v>Las Condes - Santiago - Región Metropolitana</v>
      </c>
      <c r="O931" s="4"/>
    </row>
    <row r="932">
      <c r="A932" s="1" t="s">
        <v>4762</v>
      </c>
      <c r="B932" s="1" t="s">
        <v>4763</v>
      </c>
      <c r="C932" s="1" t="s">
        <v>4764</v>
      </c>
      <c r="D932" s="1" t="s">
        <v>3972</v>
      </c>
      <c r="E932" s="1" t="s">
        <v>18</v>
      </c>
      <c r="F932" s="1" t="s">
        <v>18</v>
      </c>
      <c r="G932" s="1" t="s">
        <v>19</v>
      </c>
      <c r="H932" s="2">
        <v>770000.0</v>
      </c>
      <c r="I932" s="1">
        <v>60.0</v>
      </c>
      <c r="J932" s="1" t="s">
        <v>47</v>
      </c>
      <c r="K932" s="5">
        <v>46089.0</v>
      </c>
      <c r="L932" s="4" t="str">
        <f t="shared" si="1"/>
        <v>Sofia Muñoz Pérez</v>
      </c>
      <c r="M932" s="6" t="str">
        <f t="shared" si="2"/>
        <v>16493706-8</v>
      </c>
      <c r="N932" s="6" t="str">
        <f t="shared" si="3"/>
        <v>La Serena - La Serena - Región de Coquimbo</v>
      </c>
      <c r="O932" s="4"/>
    </row>
    <row r="933">
      <c r="A933" s="1" t="s">
        <v>2978</v>
      </c>
      <c r="B933" s="1" t="s">
        <v>2979</v>
      </c>
      <c r="C933" s="1" t="s">
        <v>2980</v>
      </c>
      <c r="D933" s="1" t="s">
        <v>2981</v>
      </c>
      <c r="E933" s="1" t="s">
        <v>39</v>
      </c>
      <c r="F933" s="1" t="s">
        <v>39</v>
      </c>
      <c r="G933" s="1" t="s">
        <v>40</v>
      </c>
      <c r="H933" s="2">
        <v>7630000.0</v>
      </c>
      <c r="I933" s="1">
        <v>30.0</v>
      </c>
      <c r="J933" s="1" t="s">
        <v>97</v>
      </c>
      <c r="K933" s="5">
        <v>46094.0</v>
      </c>
      <c r="L933" s="4" t="str">
        <f t="shared" si="1"/>
        <v>Cristián Rojas López</v>
      </c>
      <c r="M933" s="6" t="str">
        <f t="shared" si="2"/>
        <v>17.702.238-6</v>
      </c>
      <c r="N933" s="6" t="str">
        <f t="shared" si="3"/>
        <v>Concepción - Concepción - Región del Biobío</v>
      </c>
      <c r="O933" s="4"/>
    </row>
    <row r="934">
      <c r="A934" s="1" t="s">
        <v>4766</v>
      </c>
      <c r="B934" s="1" t="s">
        <v>4767</v>
      </c>
      <c r="C934" s="1" t="s">
        <v>4768</v>
      </c>
      <c r="D934" s="1" t="s">
        <v>4769</v>
      </c>
      <c r="E934" s="1" t="s">
        <v>26</v>
      </c>
      <c r="F934" s="1" t="s">
        <v>26</v>
      </c>
      <c r="G934" s="1" t="s">
        <v>27</v>
      </c>
      <c r="H934" s="2">
        <v>1.581E7</v>
      </c>
      <c r="I934" s="1">
        <v>0.0</v>
      </c>
      <c r="J934" s="1" t="s">
        <v>47</v>
      </c>
      <c r="K934" s="5">
        <v>46155.0</v>
      </c>
      <c r="L934" s="4" t="str">
        <f t="shared" si="1"/>
        <v>Macarena Fuentes Rojas</v>
      </c>
      <c r="M934" s="6" t="str">
        <f t="shared" si="2"/>
        <v>17.015.200-3</v>
      </c>
      <c r="N934" s="6" t="str">
        <f t="shared" si="3"/>
        <v>Valparaíso - Valparaíso - Región de Valparaíso</v>
      </c>
      <c r="O934" s="4"/>
    </row>
    <row r="935">
      <c r="A935" s="1" t="s">
        <v>204</v>
      </c>
      <c r="B935" s="1" t="s">
        <v>205</v>
      </c>
      <c r="C935" s="1" t="s">
        <v>192</v>
      </c>
      <c r="D935" s="1" t="s">
        <v>206</v>
      </c>
      <c r="E935" s="1" t="s">
        <v>18</v>
      </c>
      <c r="F935" s="1" t="s">
        <v>18</v>
      </c>
      <c r="G935" s="1" t="s">
        <v>19</v>
      </c>
      <c r="H935" s="2">
        <v>1.461E7</v>
      </c>
      <c r="I935" s="1">
        <v>60.0</v>
      </c>
      <c r="J935" s="1" t="s">
        <v>47</v>
      </c>
      <c r="K935" s="5">
        <v>46148.0</v>
      </c>
      <c r="L935" s="4" t="str">
        <f t="shared" si="1"/>
        <v>Álvaro Fuentes Araya</v>
      </c>
      <c r="M935" s="6" t="str">
        <f t="shared" si="2"/>
        <v>21.180.527-K</v>
      </c>
      <c r="N935" s="6" t="str">
        <f t="shared" si="3"/>
        <v>La Serena - La Serena - Región de Coquimbo</v>
      </c>
      <c r="O935" s="4"/>
    </row>
    <row r="936">
      <c r="A936" s="1" t="s">
        <v>900</v>
      </c>
      <c r="B936" s="1" t="s">
        <v>902</v>
      </c>
      <c r="C936" s="1" t="s">
        <v>903</v>
      </c>
      <c r="D936" s="1" t="s">
        <v>32</v>
      </c>
      <c r="E936" s="1" t="s">
        <v>18</v>
      </c>
      <c r="F936" s="1" t="s">
        <v>18</v>
      </c>
      <c r="G936" s="1" t="s">
        <v>19</v>
      </c>
      <c r="H936" s="2">
        <v>8850000.0</v>
      </c>
      <c r="I936" s="1">
        <v>60.0</v>
      </c>
      <c r="J936" s="1" t="s">
        <v>20</v>
      </c>
      <c r="K936" s="5">
        <v>46027.0</v>
      </c>
      <c r="L936" s="4" t="str">
        <f t="shared" si="1"/>
        <v>Andrea Silva Díaz</v>
      </c>
      <c r="M936" s="6" t="str">
        <f t="shared" si="2"/>
        <v>20.992.389-9</v>
      </c>
      <c r="N936" s="6" t="str">
        <f t="shared" si="3"/>
        <v>La Serena - La Serena - Región de Coquimbo</v>
      </c>
      <c r="O936" s="4"/>
    </row>
    <row r="937">
      <c r="A937" s="1" t="s">
        <v>3347</v>
      </c>
      <c r="B937" s="1" t="s">
        <v>3348</v>
      </c>
      <c r="C937" s="1" t="s">
        <v>4770</v>
      </c>
      <c r="D937" s="1" t="s">
        <v>1741</v>
      </c>
      <c r="E937" s="1" t="s">
        <v>118</v>
      </c>
      <c r="F937" s="1" t="s">
        <v>62</v>
      </c>
      <c r="G937" s="1" t="s">
        <v>63</v>
      </c>
      <c r="H937" s="2">
        <v>1.234E7</v>
      </c>
      <c r="I937" s="1">
        <v>60.0</v>
      </c>
      <c r="J937" s="1" t="s">
        <v>73</v>
      </c>
      <c r="K937" s="5">
        <v>46087.0</v>
      </c>
      <c r="L937" s="4" t="str">
        <f t="shared" si="1"/>
        <v>Diego Sepúlveda Araya</v>
      </c>
      <c r="M937" s="6" t="str">
        <f t="shared" si="2"/>
        <v>21654314-7</v>
      </c>
      <c r="N937" s="6" t="str">
        <f t="shared" si="3"/>
        <v>Maipú - Santiago - Región Metropolitana</v>
      </c>
      <c r="O937" s="4"/>
    </row>
    <row r="938">
      <c r="A938" s="1" t="s">
        <v>4771</v>
      </c>
      <c r="B938" s="1" t="s">
        <v>4772</v>
      </c>
      <c r="C938" s="1" t="s">
        <v>4773</v>
      </c>
      <c r="D938" s="1" t="s">
        <v>4774</v>
      </c>
      <c r="E938" s="1" t="s">
        <v>39</v>
      </c>
      <c r="F938" s="1" t="s">
        <v>39</v>
      </c>
      <c r="G938" s="1" t="s">
        <v>40</v>
      </c>
      <c r="H938" s="2">
        <v>3140000.0</v>
      </c>
      <c r="I938" s="1">
        <v>120.0</v>
      </c>
      <c r="J938" s="1" t="s">
        <v>73</v>
      </c>
      <c r="K938" s="5">
        <v>46069.0</v>
      </c>
      <c r="L938" s="4" t="str">
        <f t="shared" si="1"/>
        <v>Loreto Fuentes Soto</v>
      </c>
      <c r="M938" s="6" t="str">
        <f t="shared" si="2"/>
        <v>19.693.520-2</v>
      </c>
      <c r="N938" s="6" t="str">
        <f t="shared" si="3"/>
        <v>Concepción - Concepción - Región del Biobío</v>
      </c>
      <c r="O938" s="4"/>
    </row>
    <row r="939">
      <c r="A939" s="1" t="s">
        <v>3027</v>
      </c>
      <c r="B939" s="1" t="s">
        <v>3028</v>
      </c>
      <c r="C939" s="1" t="s">
        <v>3030</v>
      </c>
      <c r="D939" s="1" t="s">
        <v>3032</v>
      </c>
      <c r="E939" s="1" t="s">
        <v>194</v>
      </c>
      <c r="F939" s="1" t="s">
        <v>62</v>
      </c>
      <c r="G939" s="1" t="s">
        <v>63</v>
      </c>
      <c r="H939" s="2">
        <v>3410000.0</v>
      </c>
      <c r="I939" s="1">
        <v>60.0</v>
      </c>
      <c r="J939" s="1" t="s">
        <v>97</v>
      </c>
      <c r="K939" s="5">
        <v>46037.0</v>
      </c>
      <c r="L939" s="4" t="str">
        <f t="shared" si="1"/>
        <v>Cristián Valenzuela Sepúlveda</v>
      </c>
      <c r="M939" s="6" t="str">
        <f t="shared" si="2"/>
        <v>19.932.030-4</v>
      </c>
      <c r="N939" s="6" t="str">
        <f t="shared" si="3"/>
        <v>Las Condes - Santiago - Región Metropolitana</v>
      </c>
      <c r="O939" s="4"/>
    </row>
    <row r="940">
      <c r="A940" s="1" t="s">
        <v>1856</v>
      </c>
      <c r="B940" s="1" t="s">
        <v>1857</v>
      </c>
      <c r="C940" s="1" t="s">
        <v>4775</v>
      </c>
      <c r="D940" s="1" t="s">
        <v>1859</v>
      </c>
      <c r="E940" s="1" t="s">
        <v>61</v>
      </c>
      <c r="F940" s="1" t="s">
        <v>62</v>
      </c>
      <c r="G940" s="1" t="s">
        <v>63</v>
      </c>
      <c r="H940" s="2">
        <v>2360000.0</v>
      </c>
      <c r="I940" s="1">
        <v>0.0</v>
      </c>
      <c r="J940" s="1" t="s">
        <v>97</v>
      </c>
      <c r="K940" s="5">
        <v>46116.0</v>
      </c>
      <c r="L940" s="4" t="str">
        <f t="shared" si="1"/>
        <v>Carolina Morales González</v>
      </c>
      <c r="M940" s="6" t="str">
        <f t="shared" si="2"/>
        <v>19.274.372-5</v>
      </c>
      <c r="N940" s="6" t="str">
        <f t="shared" si="3"/>
        <v>Santiago Centro - Santiago - Región Metropolitana</v>
      </c>
      <c r="O940" s="4"/>
    </row>
    <row r="941">
      <c r="A941" s="1" t="s">
        <v>3600</v>
      </c>
      <c r="B941" s="1" t="s">
        <v>3602</v>
      </c>
      <c r="C941" s="1" t="s">
        <v>3603</v>
      </c>
      <c r="D941" s="1" t="s">
        <v>3604</v>
      </c>
      <c r="E941" s="1" t="s">
        <v>18</v>
      </c>
      <c r="F941" s="1" t="s">
        <v>18</v>
      </c>
      <c r="G941" s="1" t="s">
        <v>19</v>
      </c>
      <c r="H941" s="2">
        <v>6200000.0</v>
      </c>
      <c r="I941" s="1">
        <v>60.0</v>
      </c>
      <c r="J941" s="1" t="s">
        <v>47</v>
      </c>
      <c r="K941" s="5">
        <v>46221.0</v>
      </c>
      <c r="L941" s="4" t="str">
        <f t="shared" si="1"/>
        <v>Felipe Sepúlveda González</v>
      </c>
      <c r="M941" s="6" t="str">
        <f t="shared" si="2"/>
        <v>21820682-7</v>
      </c>
      <c r="N941" s="6" t="str">
        <f t="shared" si="3"/>
        <v>La Serena - La Serena - Región de Coquimbo</v>
      </c>
      <c r="O941" s="4"/>
    </row>
    <row r="942">
      <c r="A942" s="1" t="s">
        <v>1983</v>
      </c>
      <c r="B942" s="1" t="s">
        <v>1984</v>
      </c>
      <c r="C942" s="1" t="s">
        <v>1986</v>
      </c>
      <c r="D942" s="1" t="s">
        <v>1988</v>
      </c>
      <c r="E942" s="1" t="s">
        <v>26</v>
      </c>
      <c r="F942" s="1" t="s">
        <v>26</v>
      </c>
      <c r="G942" s="1" t="s">
        <v>27</v>
      </c>
      <c r="H942" s="2">
        <v>1.949E7</v>
      </c>
      <c r="I942" s="1">
        <v>120.0</v>
      </c>
      <c r="J942" s="1" t="s">
        <v>28</v>
      </c>
      <c r="K942" s="5">
        <v>46122.0</v>
      </c>
      <c r="L942" s="4" t="str">
        <f t="shared" si="1"/>
        <v>Carolina Tapia Tapia</v>
      </c>
      <c r="M942" s="6" t="str">
        <f t="shared" si="2"/>
        <v>13.738.369-1</v>
      </c>
      <c r="N942" s="6" t="str">
        <f t="shared" si="3"/>
        <v>Valparaíso - Valparaíso - Región de Valparaíso</v>
      </c>
      <c r="O942" s="4"/>
    </row>
    <row r="943">
      <c r="A943" s="1" t="s">
        <v>3554</v>
      </c>
      <c r="B943" s="1" t="s">
        <v>3555</v>
      </c>
      <c r="C943" s="1" t="s">
        <v>4778</v>
      </c>
      <c r="D943" s="1" t="s">
        <v>2936</v>
      </c>
      <c r="E943" s="1" t="s">
        <v>56</v>
      </c>
      <c r="F943" s="1" t="s">
        <v>39</v>
      </c>
      <c r="G943" s="1" t="s">
        <v>40</v>
      </c>
      <c r="H943" s="2">
        <v>820000.0</v>
      </c>
      <c r="I943" s="1">
        <v>90.0</v>
      </c>
      <c r="J943" s="1" t="s">
        <v>47</v>
      </c>
      <c r="K943" s="5">
        <v>46180.0</v>
      </c>
      <c r="L943" s="4" t="str">
        <f t="shared" si="1"/>
        <v>Felipe Díaz Soto</v>
      </c>
      <c r="M943" s="6" t="str">
        <f t="shared" si="2"/>
        <v>16.226.884-9</v>
      </c>
      <c r="N943" s="6" t="str">
        <f t="shared" si="3"/>
        <v>Talcahuano - Concepción - Región del Biobío</v>
      </c>
      <c r="O943" s="4"/>
    </row>
    <row r="944">
      <c r="A944" s="1" t="s">
        <v>1045</v>
      </c>
      <c r="B944" s="1" t="s">
        <v>1048</v>
      </c>
      <c r="C944" s="1" t="s">
        <v>4779</v>
      </c>
      <c r="D944" s="1" t="s">
        <v>1049</v>
      </c>
      <c r="E944" s="1" t="s">
        <v>56</v>
      </c>
      <c r="F944" s="1" t="s">
        <v>39</v>
      </c>
      <c r="G944" s="1" t="s">
        <v>40</v>
      </c>
      <c r="H944" s="2">
        <v>1.089E7</v>
      </c>
      <c r="I944" s="1">
        <v>90.0</v>
      </c>
      <c r="J944" s="1" t="s">
        <v>20</v>
      </c>
      <c r="K944" s="5">
        <v>46140.0</v>
      </c>
      <c r="L944" s="4" t="str">
        <f t="shared" si="1"/>
        <v>Beatriz Araya Valenzuela</v>
      </c>
      <c r="M944" s="6" t="str">
        <f t="shared" si="2"/>
        <v>21.272.458-K</v>
      </c>
      <c r="N944" s="6" t="str">
        <f t="shared" si="3"/>
        <v>Talcahuano - Concepción - Región del Biobío</v>
      </c>
      <c r="O944" s="4"/>
    </row>
    <row r="945">
      <c r="A945" s="1" t="s">
        <v>4404</v>
      </c>
      <c r="B945" s="1" t="s">
        <v>4406</v>
      </c>
      <c r="C945" s="1" t="s">
        <v>4408</v>
      </c>
      <c r="D945" s="1" t="s">
        <v>4410</v>
      </c>
      <c r="E945" s="1" t="s">
        <v>194</v>
      </c>
      <c r="F945" s="1" t="s">
        <v>62</v>
      </c>
      <c r="G945" s="1" t="s">
        <v>63</v>
      </c>
      <c r="H945" s="2">
        <v>1.496E7</v>
      </c>
      <c r="I945" s="1">
        <v>90.0</v>
      </c>
      <c r="J945" s="1" t="s">
        <v>47</v>
      </c>
      <c r="K945" s="5">
        <v>46187.0</v>
      </c>
      <c r="L945" s="4" t="str">
        <f t="shared" si="1"/>
        <v>Hernán Vergara Tapia</v>
      </c>
      <c r="M945" s="6" t="str">
        <f t="shared" si="2"/>
        <v>15.283.259-1</v>
      </c>
      <c r="N945" s="6" t="str">
        <f t="shared" si="3"/>
        <v>Las Condes - Santiago - Región Metropolitana</v>
      </c>
      <c r="O945" s="4"/>
    </row>
    <row r="946">
      <c r="A946" s="1" t="s">
        <v>3847</v>
      </c>
      <c r="B946" s="1" t="s">
        <v>3848</v>
      </c>
      <c r="C946" s="1" t="s">
        <v>3849</v>
      </c>
      <c r="D946" s="1" t="s">
        <v>3850</v>
      </c>
      <c r="E946" s="1" t="s">
        <v>109</v>
      </c>
      <c r="F946" s="1" t="s">
        <v>62</v>
      </c>
      <c r="G946" s="1" t="s">
        <v>63</v>
      </c>
      <c r="H946" s="2">
        <v>1.901E7</v>
      </c>
      <c r="I946" s="1">
        <v>0.0</v>
      </c>
      <c r="J946" s="1" t="s">
        <v>47</v>
      </c>
      <c r="K946" s="5">
        <v>46207.0</v>
      </c>
      <c r="L946" s="4" t="str">
        <f t="shared" si="1"/>
        <v>Francisca López Sepúlveda</v>
      </c>
      <c r="M946" s="6" t="str">
        <f t="shared" si="2"/>
        <v>14.307.016-8</v>
      </c>
      <c r="N946" s="6" t="str">
        <f t="shared" si="3"/>
        <v>Ñuñoa - Santiago - Región Metropolitana</v>
      </c>
      <c r="O946" s="4"/>
    </row>
    <row r="947">
      <c r="A947" s="1" t="s">
        <v>351</v>
      </c>
      <c r="B947" s="1" t="s">
        <v>353</v>
      </c>
      <c r="C947" s="1" t="s">
        <v>355</v>
      </c>
      <c r="D947" s="1" t="s">
        <v>344</v>
      </c>
      <c r="E947" s="1" t="s">
        <v>56</v>
      </c>
      <c r="F947" s="1" t="s">
        <v>39</v>
      </c>
      <c r="G947" s="1" t="s">
        <v>40</v>
      </c>
      <c r="H947" s="2">
        <v>2.052E7</v>
      </c>
      <c r="I947" s="1">
        <v>0.0</v>
      </c>
      <c r="J947" s="1" t="s">
        <v>73</v>
      </c>
      <c r="K947" s="5">
        <v>46045.0</v>
      </c>
      <c r="L947" s="4" t="str">
        <f t="shared" si="1"/>
        <v>Álvaro Rojas Soto</v>
      </c>
      <c r="M947" s="6" t="str">
        <f t="shared" si="2"/>
        <v>12.390.974-2</v>
      </c>
      <c r="N947" s="6" t="str">
        <f t="shared" si="3"/>
        <v>Talcahuano - Concepción - Región del Biobío</v>
      </c>
      <c r="O947" s="4"/>
    </row>
    <row r="948">
      <c r="A948" s="1" t="s">
        <v>4781</v>
      </c>
      <c r="B948" s="1" t="s">
        <v>4782</v>
      </c>
      <c r="C948" s="1" t="s">
        <v>4783</v>
      </c>
      <c r="D948" s="1" t="s">
        <v>4784</v>
      </c>
      <c r="E948" s="1" t="s">
        <v>56</v>
      </c>
      <c r="F948" s="1" t="s">
        <v>39</v>
      </c>
      <c r="G948" s="1" t="s">
        <v>40</v>
      </c>
      <c r="H948" s="2">
        <v>550000.0</v>
      </c>
      <c r="I948" s="1">
        <v>15.0</v>
      </c>
      <c r="J948" s="1" t="s">
        <v>47</v>
      </c>
      <c r="K948" s="5">
        <v>46156.0</v>
      </c>
      <c r="L948" s="4" t="str">
        <f t="shared" si="1"/>
        <v>Marcela González Valenzuela</v>
      </c>
      <c r="M948" s="6" t="str">
        <f t="shared" si="2"/>
        <v>14.102.561-4</v>
      </c>
      <c r="N948" s="6" t="str">
        <f t="shared" si="3"/>
        <v>Talcahuano - Concepción - Región del Biobío</v>
      </c>
      <c r="O948" s="4"/>
    </row>
    <row r="949">
      <c r="A949" s="1" t="s">
        <v>4786</v>
      </c>
      <c r="B949" s="1" t="s">
        <v>4787</v>
      </c>
      <c r="C949" s="1" t="s">
        <v>4788</v>
      </c>
      <c r="D949" s="1" t="s">
        <v>2966</v>
      </c>
      <c r="E949" s="1" t="s">
        <v>194</v>
      </c>
      <c r="F949" s="1" t="s">
        <v>62</v>
      </c>
      <c r="G949" s="1" t="s">
        <v>63</v>
      </c>
      <c r="H949" s="2">
        <v>9980000.0</v>
      </c>
      <c r="I949" s="1">
        <v>90.0</v>
      </c>
      <c r="J949" s="1" t="s">
        <v>20</v>
      </c>
      <c r="K949" s="5">
        <v>46055.0</v>
      </c>
      <c r="L949" s="4" t="str">
        <f t="shared" si="1"/>
        <v>Mauricio González Rojas</v>
      </c>
      <c r="M949" s="6" t="str">
        <f t="shared" si="2"/>
        <v>20.909.324-5</v>
      </c>
      <c r="N949" s="6" t="str">
        <f t="shared" si="3"/>
        <v>Las Condes - Santiago - Región Metropolitana</v>
      </c>
      <c r="O949" s="4"/>
    </row>
    <row r="950">
      <c r="A950" s="1" t="s">
        <v>4789</v>
      </c>
      <c r="B950" s="1" t="s">
        <v>4790</v>
      </c>
      <c r="C950" s="1" t="s">
        <v>2778</v>
      </c>
      <c r="D950" s="1" t="s">
        <v>3668</v>
      </c>
      <c r="E950" s="1" t="s">
        <v>39</v>
      </c>
      <c r="F950" s="1" t="s">
        <v>39</v>
      </c>
      <c r="G950" s="1" t="s">
        <v>40</v>
      </c>
      <c r="H950" s="2">
        <v>2.069E7</v>
      </c>
      <c r="I950" s="1">
        <v>60.0</v>
      </c>
      <c r="J950" s="1" t="s">
        <v>20</v>
      </c>
      <c r="K950" s="5">
        <v>46183.0</v>
      </c>
      <c r="L950" s="4" t="str">
        <f t="shared" si="1"/>
        <v>Paula Silva Muñoz</v>
      </c>
      <c r="M950" s="6" t="str">
        <f t="shared" si="2"/>
        <v>19.238.374-2</v>
      </c>
      <c r="N950" s="6" t="str">
        <f t="shared" si="3"/>
        <v>Concepción - Concepción - Región del Biobío</v>
      </c>
      <c r="O950" s="4"/>
    </row>
    <row r="951">
      <c r="A951" s="1" t="s">
        <v>4124</v>
      </c>
      <c r="B951" s="1" t="s">
        <v>4125</v>
      </c>
      <c r="C951" s="1" t="s">
        <v>4126</v>
      </c>
      <c r="D951" s="1" t="s">
        <v>4127</v>
      </c>
      <c r="E951" s="1" t="s">
        <v>194</v>
      </c>
      <c r="F951" s="1" t="s">
        <v>62</v>
      </c>
      <c r="G951" s="1" t="s">
        <v>63</v>
      </c>
      <c r="H951" s="2">
        <v>5480000.0</v>
      </c>
      <c r="I951" s="1">
        <v>60.0</v>
      </c>
      <c r="J951" s="1" t="s">
        <v>47</v>
      </c>
      <c r="K951" s="5">
        <v>46044.0</v>
      </c>
      <c r="L951" s="4" t="str">
        <f t="shared" si="1"/>
        <v>Gabriel Rojas Tapia</v>
      </c>
      <c r="M951" s="6" t="str">
        <f t="shared" si="2"/>
        <v>18127374-3</v>
      </c>
      <c r="N951" s="6" t="str">
        <f t="shared" si="3"/>
        <v>Las Condes - Santiago - Región Metropolitana</v>
      </c>
      <c r="O951" s="4"/>
    </row>
    <row r="952">
      <c r="A952" s="1" t="s">
        <v>4791</v>
      </c>
      <c r="B952" s="1" t="s">
        <v>4792</v>
      </c>
      <c r="C952" s="1" t="s">
        <v>4793</v>
      </c>
      <c r="D952" s="1" t="s">
        <v>4794</v>
      </c>
      <c r="E952" s="1" t="s">
        <v>61</v>
      </c>
      <c r="F952" s="1" t="s">
        <v>62</v>
      </c>
      <c r="G952" s="1" t="s">
        <v>63</v>
      </c>
      <c r="H952" s="2">
        <v>1.874E7</v>
      </c>
      <c r="I952" s="1">
        <v>45.0</v>
      </c>
      <c r="J952" s="1" t="s">
        <v>73</v>
      </c>
      <c r="K952" s="5">
        <v>46030.0</v>
      </c>
      <c r="L952" s="4" t="str">
        <f t="shared" si="1"/>
        <v>Valentina Fuentes Contreras</v>
      </c>
      <c r="M952" s="6" t="str">
        <f t="shared" si="2"/>
        <v>16.895.044-K</v>
      </c>
      <c r="N952" s="6" t="str">
        <f t="shared" si="3"/>
        <v>Santiago Centro - Santiago - Región Metropolitana</v>
      </c>
      <c r="O952" s="4"/>
    </row>
    <row r="953">
      <c r="A953" s="1" t="s">
        <v>4795</v>
      </c>
      <c r="B953" s="1" t="s">
        <v>4796</v>
      </c>
      <c r="C953" s="1" t="s">
        <v>4797</v>
      </c>
      <c r="D953" s="1" t="s">
        <v>4798</v>
      </c>
      <c r="E953" s="1" t="s">
        <v>61</v>
      </c>
      <c r="F953" s="1" t="s">
        <v>62</v>
      </c>
      <c r="G953" s="1" t="s">
        <v>63</v>
      </c>
      <c r="H953" s="2">
        <v>9820000.0</v>
      </c>
      <c r="I953" s="1">
        <v>45.0</v>
      </c>
      <c r="J953" s="1" t="s">
        <v>97</v>
      </c>
      <c r="K953" s="5">
        <v>46151.0</v>
      </c>
      <c r="L953" s="4" t="str">
        <f t="shared" si="1"/>
        <v>Tomas Soto Rojas</v>
      </c>
      <c r="M953" s="6" t="str">
        <f t="shared" si="2"/>
        <v>12.256.687-3</v>
      </c>
      <c r="N953" s="6" t="str">
        <f t="shared" si="3"/>
        <v>Santiago Centro - Santiago - Región Metropolitana</v>
      </c>
      <c r="O953" s="4"/>
    </row>
    <row r="954">
      <c r="A954" s="1" t="s">
        <v>4799</v>
      </c>
      <c r="B954" s="1" t="s">
        <v>4800</v>
      </c>
      <c r="C954" s="1" t="s">
        <v>4801</v>
      </c>
      <c r="D954" s="1" t="s">
        <v>4802</v>
      </c>
      <c r="E954" s="1" t="s">
        <v>56</v>
      </c>
      <c r="F954" s="1" t="s">
        <v>39</v>
      </c>
      <c r="G954" s="1" t="s">
        <v>40</v>
      </c>
      <c r="H954" s="2">
        <v>8900000.0</v>
      </c>
      <c r="I954" s="1">
        <v>15.0</v>
      </c>
      <c r="J954" s="1" t="s">
        <v>97</v>
      </c>
      <c r="K954" s="5">
        <v>46098.0</v>
      </c>
      <c r="L954" s="4" t="str">
        <f t="shared" si="1"/>
        <v>Macarena Rodríguez Silva</v>
      </c>
      <c r="M954" s="6" t="str">
        <f t="shared" si="2"/>
        <v>19.033.265-0</v>
      </c>
      <c r="N954" s="6" t="str">
        <f t="shared" si="3"/>
        <v>Talcahuano - Concepción - Región del Biobío</v>
      </c>
      <c r="O954" s="4"/>
    </row>
    <row r="955">
      <c r="A955" s="1" t="s">
        <v>4249</v>
      </c>
      <c r="B955" s="1" t="s">
        <v>4250</v>
      </c>
      <c r="C955" s="1" t="s">
        <v>4251</v>
      </c>
      <c r="D955" s="1" t="s">
        <v>4252</v>
      </c>
      <c r="E955" s="1" t="s">
        <v>61</v>
      </c>
      <c r="F955" s="1" t="s">
        <v>62</v>
      </c>
      <c r="G955" s="1" t="s">
        <v>63</v>
      </c>
      <c r="H955" s="2">
        <v>8830000.0</v>
      </c>
      <c r="I955" s="1">
        <v>0.0</v>
      </c>
      <c r="J955" s="1" t="s">
        <v>47</v>
      </c>
      <c r="K955" s="5">
        <v>46197.0</v>
      </c>
      <c r="L955" s="4" t="str">
        <f t="shared" si="1"/>
        <v>Gonzalo Soto Pérez</v>
      </c>
      <c r="M955" s="6" t="str">
        <f t="shared" si="2"/>
        <v>11515221-6</v>
      </c>
      <c r="N955" s="6" t="str">
        <f t="shared" si="3"/>
        <v>Santiago Centro - Santiago - Región Metropolitana</v>
      </c>
      <c r="O955" s="4"/>
    </row>
    <row r="956">
      <c r="A956" s="1" t="s">
        <v>3198</v>
      </c>
      <c r="B956" s="1" t="s">
        <v>3199</v>
      </c>
      <c r="C956" s="1" t="s">
        <v>4803</v>
      </c>
      <c r="D956" s="1" t="s">
        <v>3201</v>
      </c>
      <c r="E956" s="1" t="s">
        <v>109</v>
      </c>
      <c r="F956" s="1" t="s">
        <v>62</v>
      </c>
      <c r="G956" s="1" t="s">
        <v>63</v>
      </c>
      <c r="H956" s="2">
        <v>1.3E7</v>
      </c>
      <c r="I956" s="1">
        <v>15.0</v>
      </c>
      <c r="J956" s="1" t="s">
        <v>20</v>
      </c>
      <c r="K956" s="5">
        <v>46189.0</v>
      </c>
      <c r="L956" s="4" t="str">
        <f t="shared" si="1"/>
        <v>Daniela Soto Vergara</v>
      </c>
      <c r="M956" s="6" t="str">
        <f t="shared" si="2"/>
        <v>16333000-K</v>
      </c>
      <c r="N956" s="6" t="str">
        <f t="shared" si="3"/>
        <v>Ñuñoa - Santiago - Región Metropolitana</v>
      </c>
      <c r="O956" s="4"/>
    </row>
    <row r="957">
      <c r="A957" s="1" t="s">
        <v>4804</v>
      </c>
      <c r="B957" s="1" t="s">
        <v>4805</v>
      </c>
      <c r="C957" s="1" t="s">
        <v>4806</v>
      </c>
      <c r="D957" s="1" t="s">
        <v>4477</v>
      </c>
      <c r="E957" s="1" t="s">
        <v>158</v>
      </c>
      <c r="F957" s="1" t="s">
        <v>158</v>
      </c>
      <c r="G957" s="1" t="s">
        <v>159</v>
      </c>
      <c r="H957" s="2">
        <v>1.915E7</v>
      </c>
      <c r="I957" s="1">
        <v>120.0</v>
      </c>
      <c r="J957" s="1" t="s">
        <v>20</v>
      </c>
      <c r="K957" s="5">
        <v>46160.0</v>
      </c>
      <c r="L957" s="4" t="str">
        <f t="shared" si="1"/>
        <v>Matías Valenzuela Soto</v>
      </c>
      <c r="M957" s="6" t="str">
        <f t="shared" si="2"/>
        <v>20.500.405-0</v>
      </c>
      <c r="N957" s="6" t="str">
        <f t="shared" si="3"/>
        <v>Antofagasta - Antofagasta - Región de Antofagasta</v>
      </c>
      <c r="O957" s="4"/>
    </row>
    <row r="958">
      <c r="A958" s="1" t="s">
        <v>4807</v>
      </c>
      <c r="B958" s="1" t="s">
        <v>4808</v>
      </c>
      <c r="C958" s="1" t="s">
        <v>4809</v>
      </c>
      <c r="D958" s="1" t="s">
        <v>4810</v>
      </c>
      <c r="E958" s="1" t="s">
        <v>18</v>
      </c>
      <c r="F958" s="1" t="s">
        <v>18</v>
      </c>
      <c r="G958" s="1" t="s">
        <v>19</v>
      </c>
      <c r="H958" s="2">
        <v>2.116E7</v>
      </c>
      <c r="I958" s="1">
        <v>0.0</v>
      </c>
      <c r="J958" s="1" t="s">
        <v>97</v>
      </c>
      <c r="K958" s="5">
        <v>46030.0</v>
      </c>
      <c r="L958" s="4" t="str">
        <f t="shared" si="1"/>
        <v>Loreto Valenzuela Contreras</v>
      </c>
      <c r="M958" s="6" t="str">
        <f t="shared" si="2"/>
        <v>16.582.830-3</v>
      </c>
      <c r="N958" s="6" t="str">
        <f t="shared" si="3"/>
        <v>La Serena - La Serena - Región de Coquimbo</v>
      </c>
      <c r="O958" s="4"/>
    </row>
    <row r="959">
      <c r="H959" s="2"/>
      <c r="K959" s="5"/>
      <c r="M959" s="6"/>
      <c r="N959" s="6"/>
      <c r="O959" s="4"/>
    </row>
    <row r="960">
      <c r="H960" s="2"/>
      <c r="K960" s="5"/>
      <c r="M960" s="6"/>
      <c r="N960" s="6"/>
      <c r="O960" s="4"/>
    </row>
    <row r="961">
      <c r="H961" s="2"/>
      <c r="K961" s="5"/>
      <c r="M961" s="6"/>
      <c r="N961" s="6"/>
      <c r="O961" s="4"/>
    </row>
    <row r="962">
      <c r="H962" s="2"/>
      <c r="K962" s="5"/>
      <c r="M962" s="6"/>
      <c r="N962" s="6"/>
      <c r="O962" s="4"/>
    </row>
    <row r="963">
      <c r="H963" s="2"/>
      <c r="K963" s="5"/>
      <c r="M963" s="6"/>
      <c r="N963" s="6"/>
      <c r="O963" s="4"/>
    </row>
    <row r="964">
      <c r="H964" s="2"/>
      <c r="K964" s="5"/>
      <c r="M964" s="6"/>
      <c r="N964" s="6"/>
      <c r="O964" s="4"/>
    </row>
    <row r="965">
      <c r="H965" s="2"/>
      <c r="K965" s="5"/>
      <c r="M965" s="6"/>
      <c r="N965" s="6"/>
      <c r="O965" s="4"/>
    </row>
    <row r="966">
      <c r="H966" s="2"/>
      <c r="K966" s="5"/>
      <c r="M966" s="6"/>
      <c r="N966" s="6"/>
      <c r="O966" s="4"/>
    </row>
    <row r="967">
      <c r="H967" s="2"/>
      <c r="K967" s="5"/>
      <c r="M967" s="6"/>
      <c r="N967" s="6"/>
      <c r="O967" s="4"/>
    </row>
    <row r="968">
      <c r="H968" s="2"/>
      <c r="K968" s="5"/>
      <c r="M968" s="6"/>
      <c r="N968" s="6"/>
      <c r="O968" s="4"/>
    </row>
    <row r="969">
      <c r="H969" s="2"/>
      <c r="K969" s="5"/>
      <c r="M969" s="6"/>
      <c r="N969" s="6"/>
      <c r="O969" s="4"/>
    </row>
    <row r="970">
      <c r="H970" s="2"/>
      <c r="K970" s="5"/>
      <c r="M970" s="6"/>
      <c r="N970" s="6"/>
      <c r="O970" s="4"/>
    </row>
    <row r="971">
      <c r="H971" s="2"/>
      <c r="K971" s="5"/>
      <c r="M971" s="6"/>
      <c r="N971" s="6"/>
      <c r="O971" s="4"/>
    </row>
    <row r="972">
      <c r="H972" s="2"/>
      <c r="K972" s="5"/>
      <c r="M972" s="6"/>
      <c r="N972" s="6"/>
      <c r="O972" s="4"/>
    </row>
    <row r="973">
      <c r="H973" s="2"/>
      <c r="K973" s="5"/>
      <c r="M973" s="6"/>
      <c r="N973" s="6"/>
      <c r="O973" s="4"/>
    </row>
    <row r="974">
      <c r="H974" s="2"/>
      <c r="K974" s="5"/>
      <c r="M974" s="6"/>
      <c r="N974" s="6"/>
      <c r="O974" s="4"/>
    </row>
    <row r="975">
      <c r="H975" s="2"/>
      <c r="K975" s="5"/>
      <c r="M975" s="6"/>
      <c r="N975" s="6"/>
      <c r="O975" s="4"/>
    </row>
    <row r="976">
      <c r="H976" s="2"/>
      <c r="K976" s="5"/>
      <c r="M976" s="6"/>
      <c r="N976" s="6"/>
      <c r="O976" s="4"/>
    </row>
    <row r="977">
      <c r="H977" s="2"/>
      <c r="K977" s="5"/>
      <c r="M977" s="6"/>
      <c r="N977" s="6"/>
      <c r="O977" s="4"/>
    </row>
    <row r="978">
      <c r="H978" s="2"/>
      <c r="K978" s="5"/>
      <c r="M978" s="6"/>
      <c r="N978" s="6"/>
      <c r="O978" s="4"/>
    </row>
    <row r="979">
      <c r="H979" s="2"/>
      <c r="K979" s="5"/>
      <c r="M979" s="6"/>
      <c r="N979" s="6"/>
      <c r="O979" s="4"/>
    </row>
    <row r="980">
      <c r="H980" s="2"/>
      <c r="K980" s="5"/>
      <c r="M980" s="6"/>
      <c r="N980" s="6"/>
      <c r="O980" s="4"/>
    </row>
    <row r="981">
      <c r="H981" s="2"/>
      <c r="K981" s="5"/>
      <c r="M981" s="6"/>
      <c r="N981" s="6"/>
      <c r="O981" s="4"/>
    </row>
    <row r="982">
      <c r="H982" s="2"/>
      <c r="K982" s="5"/>
      <c r="M982" s="6"/>
      <c r="N982" s="6"/>
      <c r="O982" s="4"/>
    </row>
    <row r="983">
      <c r="H983" s="2"/>
      <c r="K983" s="5"/>
      <c r="M983" s="6"/>
      <c r="N983" s="6"/>
      <c r="O983" s="4"/>
    </row>
    <row r="984">
      <c r="H984" s="2"/>
      <c r="K984" s="5"/>
      <c r="M984" s="6"/>
      <c r="N984" s="6"/>
      <c r="O984" s="4"/>
    </row>
    <row r="985">
      <c r="H985" s="2"/>
      <c r="K985" s="5"/>
      <c r="M985" s="6"/>
      <c r="N985" s="6"/>
      <c r="O985" s="4"/>
    </row>
    <row r="986">
      <c r="H986" s="2"/>
      <c r="K986" s="5"/>
      <c r="M986" s="6"/>
      <c r="N986" s="6"/>
      <c r="O986" s="4"/>
    </row>
    <row r="987">
      <c r="H987" s="2"/>
      <c r="K987" s="5"/>
      <c r="M987" s="6"/>
      <c r="N987" s="6"/>
      <c r="O987" s="4"/>
    </row>
    <row r="988">
      <c r="H988" s="2"/>
      <c r="K988" s="5"/>
      <c r="M988" s="6"/>
      <c r="N988" s="6"/>
      <c r="O988" s="4"/>
    </row>
    <row r="989">
      <c r="H989" s="2"/>
      <c r="K989" s="5"/>
      <c r="M989" s="6"/>
      <c r="N989" s="6"/>
      <c r="O989" s="4"/>
    </row>
    <row r="990">
      <c r="H990" s="2"/>
      <c r="K990" s="5"/>
      <c r="M990" s="6"/>
      <c r="N990" s="6"/>
      <c r="O990" s="4"/>
    </row>
    <row r="991">
      <c r="H991" s="2"/>
      <c r="K991" s="5"/>
      <c r="M991" s="6"/>
      <c r="N991" s="6"/>
      <c r="O991" s="4"/>
    </row>
    <row r="992">
      <c r="H992" s="2"/>
      <c r="K992" s="5"/>
      <c r="M992" s="6"/>
      <c r="N992" s="6"/>
      <c r="O992" s="4"/>
    </row>
    <row r="993">
      <c r="H993" s="2"/>
      <c r="K993" s="5"/>
      <c r="M993" s="6"/>
      <c r="N993" s="6"/>
      <c r="O993" s="4"/>
    </row>
    <row r="994">
      <c r="H994" s="2"/>
      <c r="K994" s="5"/>
      <c r="M994" s="6"/>
      <c r="N994" s="6"/>
      <c r="O994" s="4"/>
    </row>
    <row r="995">
      <c r="H995" s="2"/>
      <c r="K995" s="5"/>
      <c r="M995" s="6"/>
      <c r="N995" s="6"/>
      <c r="O995" s="4"/>
    </row>
    <row r="996">
      <c r="H996" s="2"/>
      <c r="K996" s="5"/>
      <c r="M996" s="6"/>
      <c r="N996" s="6"/>
      <c r="O996" s="4"/>
    </row>
    <row r="997">
      <c r="H997" s="2"/>
      <c r="K997" s="5"/>
      <c r="M997" s="6"/>
      <c r="N997" s="6"/>
      <c r="O997" s="4"/>
    </row>
    <row r="998">
      <c r="H998" s="2"/>
      <c r="K998" s="5"/>
      <c r="M998" s="6"/>
      <c r="N998" s="6"/>
      <c r="O998" s="4"/>
    </row>
    <row r="999">
      <c r="H999" s="2"/>
      <c r="K999" s="5"/>
      <c r="M999" s="6"/>
      <c r="N999" s="6"/>
      <c r="O999" s="4"/>
    </row>
    <row r="1000">
      <c r="H1000" s="2"/>
      <c r="K1000" s="5"/>
      <c r="M1000" s="6"/>
      <c r="N1000" s="6"/>
      <c r="O1000" s="4"/>
    </row>
    <row r="1001">
      <c r="H1001" s="2"/>
      <c r="K1001" s="5"/>
      <c r="M1001" s="6"/>
      <c r="N1001" s="6"/>
      <c r="O1001" s="4"/>
    </row>
    <row r="1002">
      <c r="H1002" s="10"/>
      <c r="M1002" s="6"/>
      <c r="N1002" s="4"/>
      <c r="O1002" s="4"/>
    </row>
    <row r="1003">
      <c r="O100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3.38"/>
    <col customWidth="1" min="3" max="3" width="31.38"/>
    <col customWidth="1" min="4" max="4" width="23.25"/>
    <col customWidth="1" min="5" max="5" width="13.0"/>
    <col customWidth="1" min="6" max="6" width="10.5"/>
    <col customWidth="1" min="7" max="7" width="18.38"/>
    <col customWidth="1" min="8" max="8" width="21.75"/>
    <col customWidth="1" min="9" max="9" width="13.0"/>
    <col customWidth="1" min="10" max="10" width="15.63"/>
    <col customWidth="1" min="11" max="11" width="16.0"/>
    <col customWidth="1" min="12" max="12" width="14.75"/>
    <col customWidth="1" min="14" max="14" width="25.38"/>
    <col customWidth="1" min="15" max="15" width="19.0"/>
    <col customWidth="1" min="16" max="16" width="38.75"/>
    <col customWidth="1" min="17" max="17" width="14.0"/>
  </cols>
  <sheetData>
    <row r="1">
      <c r="A1" s="1" t="s">
        <v>0</v>
      </c>
      <c r="B1" s="1" t="s">
        <v>1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7" t="s">
        <v>77</v>
      </c>
      <c r="M1" s="8"/>
      <c r="N1" s="3" t="s">
        <v>11</v>
      </c>
      <c r="O1" s="3" t="s">
        <v>12</v>
      </c>
      <c r="P1" s="3" t="s">
        <v>13</v>
      </c>
      <c r="Q1" s="3" t="s">
        <v>84</v>
      </c>
      <c r="R1" s="1" t="s">
        <v>85</v>
      </c>
      <c r="T1" s="1" t="s">
        <v>86</v>
      </c>
    </row>
    <row r="2">
      <c r="A2" s="1" t="s">
        <v>90</v>
      </c>
      <c r="B2" s="9" t="s">
        <v>92</v>
      </c>
      <c r="C2" s="9" t="s">
        <v>93</v>
      </c>
      <c r="D2" s="1" t="s">
        <v>94</v>
      </c>
      <c r="E2" s="1" t="s">
        <v>56</v>
      </c>
      <c r="F2" s="1" t="s">
        <v>39</v>
      </c>
      <c r="G2" s="1" t="s">
        <v>40</v>
      </c>
      <c r="H2" s="2">
        <v>8190000.0</v>
      </c>
      <c r="I2" s="1">
        <v>0.0</v>
      </c>
      <c r="J2" s="9" t="s">
        <v>97</v>
      </c>
      <c r="K2" s="5">
        <v>46197.0</v>
      </c>
      <c r="L2" s="11" t="s">
        <v>100</v>
      </c>
      <c r="M2" s="11"/>
      <c r="N2" s="4" t="str">
        <f t="shared" ref="N2:N957" si="1">PROPER(TRIM(C2))</f>
        <v>Álvaro Araya Soto</v>
      </c>
      <c r="O2" s="6" t="str">
        <f t="shared" ref="O2:O957" si="2">TRIM(B2)</f>
        <v>17.907.842-1</v>
      </c>
      <c r="P2" s="6" t="str">
        <f t="shared" ref="P2:P957" si="3">TEXTJOIN(" - ", TRUE, E2, F2, G2)</f>
        <v>Talcahuano - Concepción - Región del Biobío</v>
      </c>
      <c r="Q2" s="4" t="str">
        <f t="shared" ref="Q2:Q957" si="4">PROPER(J2)</f>
        <v>Inactivo</v>
      </c>
      <c r="R2" s="12" t="str">
        <f t="shared" ref="R2:R957" si="5">IFERROR(IFS(AND(I2&gt;60, Q2="Activo"), "Riesgo Alto", OR(I2&gt;30, Q2="En Revisión"), "Riesgo Medio", TRUE, "Riesgo Bajo"), "Sin Dato")</f>
        <v>Riesgo Bajo</v>
      </c>
      <c r="T2" s="9" t="str">
        <f>PROPER(C2)</f>
        <v>Álvaro Araya Soto</v>
      </c>
    </row>
    <row r="3">
      <c r="A3" s="1" t="s">
        <v>150</v>
      </c>
      <c r="B3" s="9" t="s">
        <v>151</v>
      </c>
      <c r="C3" s="9" t="s">
        <v>154</v>
      </c>
      <c r="D3" s="1" t="s">
        <v>156</v>
      </c>
      <c r="E3" s="1" t="s">
        <v>158</v>
      </c>
      <c r="F3" s="1" t="s">
        <v>158</v>
      </c>
      <c r="G3" s="1" t="s">
        <v>159</v>
      </c>
      <c r="H3" s="2">
        <v>7870000.0</v>
      </c>
      <c r="I3" s="1">
        <v>45.0</v>
      </c>
      <c r="J3" s="9" t="s">
        <v>97</v>
      </c>
      <c r="K3" s="5">
        <v>46180.0</v>
      </c>
      <c r="L3" s="11" t="s">
        <v>160</v>
      </c>
      <c r="M3" s="11"/>
      <c r="N3" s="4" t="str">
        <f t="shared" si="1"/>
        <v>Álvaro Contreras Pérez</v>
      </c>
      <c r="O3" s="6" t="str">
        <f t="shared" si="2"/>
        <v>18.661.277-6</v>
      </c>
      <c r="P3" s="6" t="str">
        <f t="shared" si="3"/>
        <v>Antofagasta - Antofagasta - Región de Antofagasta</v>
      </c>
      <c r="Q3" s="4" t="str">
        <f t="shared" si="4"/>
        <v>Inactivo</v>
      </c>
      <c r="R3" s="12" t="str">
        <f t="shared" si="5"/>
        <v>Riesgo Medio</v>
      </c>
      <c r="T3" s="9" t="str">
        <f>PROPER(C$3)</f>
        <v>Álvaro Contreras Pérez</v>
      </c>
    </row>
    <row r="4">
      <c r="A4" s="1" t="s">
        <v>173</v>
      </c>
      <c r="B4" s="9" t="s">
        <v>174</v>
      </c>
      <c r="C4" s="9" t="s">
        <v>175</v>
      </c>
      <c r="D4" s="1" t="s">
        <v>176</v>
      </c>
      <c r="E4" s="1" t="s">
        <v>33</v>
      </c>
      <c r="F4" s="1" t="s">
        <v>33</v>
      </c>
      <c r="G4" s="1" t="s">
        <v>34</v>
      </c>
      <c r="H4" s="2">
        <v>8820000.0</v>
      </c>
      <c r="I4" s="1">
        <v>0.0</v>
      </c>
      <c r="J4" s="9" t="s">
        <v>28</v>
      </c>
      <c r="K4" s="5">
        <v>46211.0</v>
      </c>
      <c r="L4" s="11" t="s">
        <v>181</v>
      </c>
      <c r="M4" s="11"/>
      <c r="N4" s="4" t="str">
        <f t="shared" si="1"/>
        <v>Álvaro Díaz Vergara</v>
      </c>
      <c r="O4" s="6" t="str">
        <f t="shared" si="2"/>
        <v>19.532.688-1</v>
      </c>
      <c r="P4" s="6" t="str">
        <f t="shared" si="3"/>
        <v>Puerto Montt - Puerto Montt - Región de Los Lagos</v>
      </c>
      <c r="Q4" s="4" t="str">
        <f t="shared" si="4"/>
        <v>Activo</v>
      </c>
      <c r="R4" s="12" t="str">
        <f t="shared" si="5"/>
        <v>Riesgo Bajo</v>
      </c>
      <c r="T4" s="9" t="str">
        <f>PROPER(C$4)</f>
        <v>Álvaro Díaz Vergara</v>
      </c>
    </row>
    <row r="5">
      <c r="A5" s="1" t="s">
        <v>190</v>
      </c>
      <c r="B5" s="9" t="s">
        <v>191</v>
      </c>
      <c r="C5" s="9" t="s">
        <v>192</v>
      </c>
      <c r="D5" s="1" t="s">
        <v>193</v>
      </c>
      <c r="E5" s="1" t="s">
        <v>194</v>
      </c>
      <c r="F5" s="1" t="s">
        <v>62</v>
      </c>
      <c r="G5" s="1" t="s">
        <v>63</v>
      </c>
      <c r="H5" s="2">
        <v>1.46E7</v>
      </c>
      <c r="I5" s="1">
        <v>0.0</v>
      </c>
      <c r="J5" s="9" t="s">
        <v>97</v>
      </c>
      <c r="K5" s="5">
        <v>46223.0</v>
      </c>
      <c r="L5" s="11" t="s">
        <v>199</v>
      </c>
      <c r="M5" s="11"/>
      <c r="N5" s="4" t="str">
        <f t="shared" si="1"/>
        <v>Álvaro Fuentes Araya</v>
      </c>
      <c r="O5" s="6" t="str">
        <f t="shared" si="2"/>
        <v>17.238.764-2</v>
      </c>
      <c r="P5" s="6" t="str">
        <f t="shared" si="3"/>
        <v>Las Condes - Santiago - Región Metropolitana</v>
      </c>
      <c r="Q5" s="4" t="str">
        <f t="shared" si="4"/>
        <v>Inactivo</v>
      </c>
      <c r="R5" s="12" t="str">
        <f t="shared" si="5"/>
        <v>Riesgo Bajo</v>
      </c>
    </row>
    <row r="6">
      <c r="A6" s="1" t="s">
        <v>204</v>
      </c>
      <c r="B6" s="9" t="s">
        <v>205</v>
      </c>
      <c r="C6" s="9" t="s">
        <v>192</v>
      </c>
      <c r="D6" s="1" t="s">
        <v>206</v>
      </c>
      <c r="E6" s="1" t="s">
        <v>18</v>
      </c>
      <c r="F6" s="1" t="s">
        <v>18</v>
      </c>
      <c r="G6" s="1" t="s">
        <v>19</v>
      </c>
      <c r="H6" s="2">
        <v>1.461E7</v>
      </c>
      <c r="I6" s="1">
        <v>60.0</v>
      </c>
      <c r="J6" s="9" t="s">
        <v>28</v>
      </c>
      <c r="K6" s="5">
        <v>46148.0</v>
      </c>
      <c r="L6" s="11" t="s">
        <v>207</v>
      </c>
      <c r="M6" s="11"/>
      <c r="N6" s="4" t="str">
        <f t="shared" si="1"/>
        <v>Álvaro Fuentes Araya</v>
      </c>
      <c r="O6" s="6" t="str">
        <f t="shared" si="2"/>
        <v>21.180.527-K</v>
      </c>
      <c r="P6" s="6" t="str">
        <f t="shared" si="3"/>
        <v>La Serena - La Serena - Región de Coquimbo</v>
      </c>
      <c r="Q6" s="4" t="str">
        <f t="shared" si="4"/>
        <v>Activo</v>
      </c>
      <c r="R6" s="12" t="str">
        <f t="shared" si="5"/>
        <v>Riesgo Medio</v>
      </c>
    </row>
    <row r="7">
      <c r="A7" s="1" t="s">
        <v>212</v>
      </c>
      <c r="B7" s="9" t="s">
        <v>213</v>
      </c>
      <c r="C7" s="9" t="s">
        <v>214</v>
      </c>
      <c r="D7" s="1" t="s">
        <v>215</v>
      </c>
      <c r="E7" s="1" t="s">
        <v>194</v>
      </c>
      <c r="F7" s="1" t="s">
        <v>62</v>
      </c>
      <c r="G7" s="1" t="s">
        <v>63</v>
      </c>
      <c r="H7" s="2">
        <v>5230000.0</v>
      </c>
      <c r="I7" s="1">
        <v>60.0</v>
      </c>
      <c r="J7" s="9" t="s">
        <v>28</v>
      </c>
      <c r="K7" s="5">
        <v>46156.0</v>
      </c>
      <c r="L7" s="11" t="s">
        <v>160</v>
      </c>
      <c r="M7" s="11"/>
      <c r="N7" s="4" t="str">
        <f t="shared" si="1"/>
        <v>Álvaro Fuentes González</v>
      </c>
      <c r="O7" s="6" t="str">
        <f t="shared" si="2"/>
        <v>15.617.915-5</v>
      </c>
      <c r="P7" s="6" t="str">
        <f t="shared" si="3"/>
        <v>Las Condes - Santiago - Región Metropolitana</v>
      </c>
      <c r="Q7" s="4" t="str">
        <f t="shared" si="4"/>
        <v>Activo</v>
      </c>
      <c r="R7" s="12" t="str">
        <f t="shared" si="5"/>
        <v>Riesgo Medio</v>
      </c>
    </row>
    <row r="8">
      <c r="A8" s="1" t="s">
        <v>220</v>
      </c>
      <c r="B8" s="9" t="s">
        <v>221</v>
      </c>
      <c r="C8" s="9" t="s">
        <v>222</v>
      </c>
      <c r="D8" s="1" t="s">
        <v>223</v>
      </c>
      <c r="E8" s="1" t="s">
        <v>26</v>
      </c>
      <c r="F8" s="1" t="s">
        <v>26</v>
      </c>
      <c r="G8" s="1" t="s">
        <v>27</v>
      </c>
      <c r="H8" s="2">
        <v>2.188E7</v>
      </c>
      <c r="I8" s="1">
        <v>60.0</v>
      </c>
      <c r="J8" s="9" t="s">
        <v>20</v>
      </c>
      <c r="K8" s="5">
        <v>46094.0</v>
      </c>
      <c r="L8" s="11" t="s">
        <v>100</v>
      </c>
      <c r="M8" s="11"/>
      <c r="N8" s="4" t="str">
        <f t="shared" si="1"/>
        <v>Álvaro López Araya</v>
      </c>
      <c r="O8" s="6" t="str">
        <f t="shared" si="2"/>
        <v>18.809.561-9</v>
      </c>
      <c r="P8" s="6" t="str">
        <f t="shared" si="3"/>
        <v>Valparaíso - Valparaíso - Región de Valparaíso</v>
      </c>
      <c r="Q8" s="4" t="str">
        <f t="shared" si="4"/>
        <v>En Revisión</v>
      </c>
      <c r="R8" s="12" t="str">
        <f t="shared" si="5"/>
        <v>Riesgo Medio</v>
      </c>
    </row>
    <row r="9">
      <c r="A9" s="1" t="s">
        <v>231</v>
      </c>
      <c r="B9" s="9" t="s">
        <v>232</v>
      </c>
      <c r="C9" s="9" t="s">
        <v>233</v>
      </c>
      <c r="D9" s="1" t="s">
        <v>234</v>
      </c>
      <c r="E9" s="1" t="s">
        <v>61</v>
      </c>
      <c r="F9" s="1" t="s">
        <v>62</v>
      </c>
      <c r="G9" s="1" t="s">
        <v>63</v>
      </c>
      <c r="H9" s="2">
        <v>6070000.0</v>
      </c>
      <c r="I9" s="1">
        <v>90.0</v>
      </c>
      <c r="J9" s="9" t="s">
        <v>20</v>
      </c>
      <c r="K9" s="5">
        <v>46157.0</v>
      </c>
      <c r="L9" s="11" t="s">
        <v>160</v>
      </c>
      <c r="M9" s="11"/>
      <c r="N9" s="4" t="str">
        <f t="shared" si="1"/>
        <v>Álvaro López Morales</v>
      </c>
      <c r="O9" s="6" t="str">
        <f t="shared" si="2"/>
        <v>21.871.809-9</v>
      </c>
      <c r="P9" s="6" t="str">
        <f t="shared" si="3"/>
        <v>Santiago Centro - Santiago - Región Metropolitana</v>
      </c>
      <c r="Q9" s="4" t="str">
        <f t="shared" si="4"/>
        <v>En Revisión</v>
      </c>
      <c r="R9" s="12" t="str">
        <f t="shared" si="5"/>
        <v>Riesgo Medio</v>
      </c>
    </row>
    <row r="10">
      <c r="A10" s="1" t="s">
        <v>240</v>
      </c>
      <c r="B10" s="9" t="s">
        <v>241</v>
      </c>
      <c r="C10" s="9" t="s">
        <v>242</v>
      </c>
      <c r="D10" s="1" t="s">
        <v>243</v>
      </c>
      <c r="E10" s="1" t="s">
        <v>118</v>
      </c>
      <c r="F10" s="1" t="s">
        <v>62</v>
      </c>
      <c r="G10" s="1" t="s">
        <v>63</v>
      </c>
      <c r="H10" s="2">
        <v>2150000.0</v>
      </c>
      <c r="I10" s="1">
        <v>60.0</v>
      </c>
      <c r="J10" s="9" t="s">
        <v>20</v>
      </c>
      <c r="K10" s="5">
        <v>46077.0</v>
      </c>
      <c r="L10" s="11" t="s">
        <v>181</v>
      </c>
      <c r="M10" s="11"/>
      <c r="N10" s="4" t="str">
        <f t="shared" si="1"/>
        <v>Álvaro López Silva</v>
      </c>
      <c r="O10" s="6" t="str">
        <f t="shared" si="2"/>
        <v>15107618-7</v>
      </c>
      <c r="P10" s="6" t="str">
        <f t="shared" si="3"/>
        <v>Maipú - Santiago - Región Metropolitana</v>
      </c>
      <c r="Q10" s="4" t="str">
        <f t="shared" si="4"/>
        <v>En Revisión</v>
      </c>
      <c r="R10" s="12" t="str">
        <f t="shared" si="5"/>
        <v>Riesgo Medio</v>
      </c>
    </row>
    <row r="11">
      <c r="A11" s="1" t="s">
        <v>251</v>
      </c>
      <c r="B11" s="9" t="s">
        <v>253</v>
      </c>
      <c r="C11" s="9" t="s">
        <v>254</v>
      </c>
      <c r="D11" s="1" t="s">
        <v>255</v>
      </c>
      <c r="E11" s="1" t="s">
        <v>26</v>
      </c>
      <c r="F11" s="1" t="s">
        <v>26</v>
      </c>
      <c r="G11" s="1" t="s">
        <v>27</v>
      </c>
      <c r="H11" s="2">
        <v>7680000.0</v>
      </c>
      <c r="I11" s="1">
        <v>45.0</v>
      </c>
      <c r="J11" s="9" t="s">
        <v>28</v>
      </c>
      <c r="K11" s="5">
        <v>46164.0</v>
      </c>
      <c r="L11" s="11" t="s">
        <v>207</v>
      </c>
      <c r="M11" s="11"/>
      <c r="N11" s="4" t="str">
        <f t="shared" si="1"/>
        <v>Álvaro López Vergara</v>
      </c>
      <c r="O11" s="6" t="str">
        <f t="shared" si="2"/>
        <v>22.476.077-K</v>
      </c>
      <c r="P11" s="6" t="str">
        <f t="shared" si="3"/>
        <v>Valparaíso - Valparaíso - Región de Valparaíso</v>
      </c>
      <c r="Q11" s="4" t="str">
        <f t="shared" si="4"/>
        <v>Activo</v>
      </c>
      <c r="R11" s="12" t="str">
        <f t="shared" si="5"/>
        <v>Riesgo Medio</v>
      </c>
    </row>
    <row r="12">
      <c r="A12" s="1" t="s">
        <v>264</v>
      </c>
      <c r="B12" s="9" t="s">
        <v>265</v>
      </c>
      <c r="C12" s="9" t="s">
        <v>266</v>
      </c>
      <c r="D12" s="1" t="s">
        <v>267</v>
      </c>
      <c r="E12" s="1" t="s">
        <v>26</v>
      </c>
      <c r="F12" s="1" t="s">
        <v>26</v>
      </c>
      <c r="G12" s="1" t="s">
        <v>27</v>
      </c>
      <c r="H12" s="2">
        <v>1.105E7</v>
      </c>
      <c r="I12" s="1">
        <v>0.0</v>
      </c>
      <c r="J12" s="9" t="s">
        <v>97</v>
      </c>
      <c r="K12" s="5">
        <v>46031.0</v>
      </c>
      <c r="L12" s="11" t="s">
        <v>181</v>
      </c>
      <c r="M12" s="11"/>
      <c r="N12" s="4" t="str">
        <f t="shared" si="1"/>
        <v>Álvaro Morales López</v>
      </c>
      <c r="O12" s="6" t="str">
        <f t="shared" si="2"/>
        <v>13776102-7</v>
      </c>
      <c r="P12" s="6" t="str">
        <f t="shared" si="3"/>
        <v>Valparaíso - Valparaíso - Región de Valparaíso</v>
      </c>
      <c r="Q12" s="4" t="str">
        <f t="shared" si="4"/>
        <v>Inactivo</v>
      </c>
      <c r="R12" s="12" t="str">
        <f t="shared" si="5"/>
        <v>Riesgo Bajo</v>
      </c>
    </row>
    <row r="13">
      <c r="A13" s="1" t="s">
        <v>278</v>
      </c>
      <c r="B13" s="9" t="s">
        <v>279</v>
      </c>
      <c r="C13" s="9" t="s">
        <v>280</v>
      </c>
      <c r="D13" s="1" t="s">
        <v>282</v>
      </c>
      <c r="E13" s="1" t="s">
        <v>194</v>
      </c>
      <c r="F13" s="1" t="s">
        <v>62</v>
      </c>
      <c r="G13" s="1" t="s">
        <v>63</v>
      </c>
      <c r="H13" s="2">
        <v>7440000.0</v>
      </c>
      <c r="I13" s="1">
        <v>60.0</v>
      </c>
      <c r="J13" s="9" t="s">
        <v>97</v>
      </c>
      <c r="K13" s="5">
        <v>46153.0</v>
      </c>
      <c r="L13" s="11" t="s">
        <v>100</v>
      </c>
      <c r="M13" s="11"/>
      <c r="N13" s="4" t="str">
        <f t="shared" si="1"/>
        <v>Álvaro Muñoz Sepúlveda</v>
      </c>
      <c r="O13" s="6" t="str">
        <f t="shared" si="2"/>
        <v>20.297.968-3</v>
      </c>
      <c r="P13" s="6" t="str">
        <f t="shared" si="3"/>
        <v>Las Condes - Santiago - Región Metropolitana</v>
      </c>
      <c r="Q13" s="4" t="str">
        <f t="shared" si="4"/>
        <v>Inactivo</v>
      </c>
      <c r="R13" s="12" t="str">
        <f t="shared" si="5"/>
        <v>Riesgo Medio</v>
      </c>
    </row>
    <row r="14">
      <c r="A14" s="1" t="s">
        <v>80</v>
      </c>
      <c r="B14" s="9" t="s">
        <v>81</v>
      </c>
      <c r="C14" s="9" t="s">
        <v>296</v>
      </c>
      <c r="D14" s="1" t="s">
        <v>83</v>
      </c>
      <c r="E14" s="1" t="s">
        <v>39</v>
      </c>
      <c r="F14" s="1" t="s">
        <v>39</v>
      </c>
      <c r="G14" s="1" t="s">
        <v>40</v>
      </c>
      <c r="H14" s="2">
        <v>1.491E7</v>
      </c>
      <c r="I14" s="1">
        <v>120.0</v>
      </c>
      <c r="J14" s="9" t="s">
        <v>20</v>
      </c>
      <c r="K14" s="5">
        <v>46209.0</v>
      </c>
      <c r="L14" s="11" t="s">
        <v>207</v>
      </c>
      <c r="M14" s="11"/>
      <c r="N14" s="4" t="str">
        <f t="shared" si="1"/>
        <v>Álvaro Pérez Soto</v>
      </c>
      <c r="O14" s="6" t="str">
        <f t="shared" si="2"/>
        <v>19.537.899-0</v>
      </c>
      <c r="P14" s="6" t="str">
        <f t="shared" si="3"/>
        <v>Concepción - Concepción - Región del Biobío</v>
      </c>
      <c r="Q14" s="4" t="str">
        <f t="shared" si="4"/>
        <v>En Revisión</v>
      </c>
      <c r="R14" s="12" t="str">
        <f t="shared" si="5"/>
        <v>Riesgo Medio</v>
      </c>
    </row>
    <row r="15">
      <c r="A15" s="1" t="s">
        <v>304</v>
      </c>
      <c r="B15" s="9" t="s">
        <v>306</v>
      </c>
      <c r="C15" s="9" t="s">
        <v>307</v>
      </c>
      <c r="D15" s="1" t="s">
        <v>308</v>
      </c>
      <c r="E15" s="1" t="s">
        <v>158</v>
      </c>
      <c r="F15" s="1" t="s">
        <v>158</v>
      </c>
      <c r="G15" s="1" t="s">
        <v>159</v>
      </c>
      <c r="H15" s="2">
        <v>2.122E7</v>
      </c>
      <c r="I15" s="1">
        <v>0.0</v>
      </c>
      <c r="J15" s="9" t="s">
        <v>28</v>
      </c>
      <c r="K15" s="5">
        <v>46094.0</v>
      </c>
      <c r="L15" s="11" t="s">
        <v>160</v>
      </c>
      <c r="M15" s="11"/>
      <c r="N15" s="4" t="str">
        <f t="shared" si="1"/>
        <v>Álvaro Pérez Vergara</v>
      </c>
      <c r="O15" s="6" t="str">
        <f t="shared" si="2"/>
        <v>17.286.867-9</v>
      </c>
      <c r="P15" s="6" t="str">
        <f t="shared" si="3"/>
        <v>Antofagasta - Antofagasta - Región de Antofagasta</v>
      </c>
      <c r="Q15" s="4" t="str">
        <f t="shared" si="4"/>
        <v>Activo</v>
      </c>
      <c r="R15" s="12" t="str">
        <f t="shared" si="5"/>
        <v>Riesgo Bajo</v>
      </c>
    </row>
    <row r="16">
      <c r="A16" s="1" t="s">
        <v>313</v>
      </c>
      <c r="B16" s="9" t="s">
        <v>314</v>
      </c>
      <c r="C16" s="9" t="s">
        <v>315</v>
      </c>
      <c r="D16" s="1" t="s">
        <v>316</v>
      </c>
      <c r="E16" s="1" t="s">
        <v>118</v>
      </c>
      <c r="F16" s="1" t="s">
        <v>62</v>
      </c>
      <c r="G16" s="1" t="s">
        <v>63</v>
      </c>
      <c r="H16" s="2">
        <v>3080000.0</v>
      </c>
      <c r="I16" s="1">
        <v>30.0</v>
      </c>
      <c r="J16" s="9" t="s">
        <v>20</v>
      </c>
      <c r="K16" s="5">
        <v>46129.0</v>
      </c>
      <c r="L16" s="11" t="s">
        <v>160</v>
      </c>
      <c r="M16" s="11"/>
      <c r="N16" s="4" t="str">
        <f t="shared" si="1"/>
        <v>Álvaro Rodríguez Rodríguez</v>
      </c>
      <c r="O16" s="6" t="str">
        <f t="shared" si="2"/>
        <v>13.189.660-2</v>
      </c>
      <c r="P16" s="6" t="str">
        <f t="shared" si="3"/>
        <v>Maipú - Santiago - Región Metropolitana</v>
      </c>
      <c r="Q16" s="4" t="str">
        <f t="shared" si="4"/>
        <v>En Revisión</v>
      </c>
      <c r="R16" s="12" t="str">
        <f t="shared" si="5"/>
        <v>Riesgo Medio</v>
      </c>
    </row>
    <row r="17">
      <c r="A17" s="1" t="s">
        <v>329</v>
      </c>
      <c r="B17" s="9" t="s">
        <v>331</v>
      </c>
      <c r="C17" s="9" t="s">
        <v>333</v>
      </c>
      <c r="D17" s="1" t="s">
        <v>334</v>
      </c>
      <c r="E17" s="1" t="s">
        <v>18</v>
      </c>
      <c r="F17" s="1" t="s">
        <v>18</v>
      </c>
      <c r="G17" s="1" t="s">
        <v>19</v>
      </c>
      <c r="H17" s="2">
        <v>1270000.0</v>
      </c>
      <c r="I17" s="1">
        <v>30.0</v>
      </c>
      <c r="J17" s="9" t="s">
        <v>28</v>
      </c>
      <c r="K17" s="5">
        <v>46049.0</v>
      </c>
      <c r="L17" s="11" t="s">
        <v>181</v>
      </c>
      <c r="M17" s="11"/>
      <c r="N17" s="4" t="str">
        <f t="shared" si="1"/>
        <v>Álvaro Rojas Contreras</v>
      </c>
      <c r="O17" s="6" t="str">
        <f t="shared" si="2"/>
        <v>22344182-8</v>
      </c>
      <c r="P17" s="6" t="str">
        <f t="shared" si="3"/>
        <v>La Serena - La Serena - Región de Coquimbo</v>
      </c>
      <c r="Q17" s="4" t="str">
        <f t="shared" si="4"/>
        <v>Activo</v>
      </c>
      <c r="R17" s="12" t="str">
        <f t="shared" si="5"/>
        <v>Riesgo Bajo</v>
      </c>
    </row>
    <row r="18">
      <c r="A18" s="1" t="s">
        <v>340</v>
      </c>
      <c r="B18" s="9" t="s">
        <v>341</v>
      </c>
      <c r="C18" s="9" t="s">
        <v>342</v>
      </c>
      <c r="D18" s="1" t="s">
        <v>344</v>
      </c>
      <c r="E18" s="1" t="s">
        <v>26</v>
      </c>
      <c r="F18" s="1" t="s">
        <v>26</v>
      </c>
      <c r="G18" s="1" t="s">
        <v>27</v>
      </c>
      <c r="H18" s="2">
        <v>5200000.0</v>
      </c>
      <c r="I18" s="1">
        <v>0.0</v>
      </c>
      <c r="J18" s="9" t="s">
        <v>97</v>
      </c>
      <c r="K18" s="5">
        <v>46220.0</v>
      </c>
      <c r="L18" s="11" t="s">
        <v>160</v>
      </c>
      <c r="M18" s="11"/>
      <c r="N18" s="4" t="str">
        <f t="shared" si="1"/>
        <v>Álvaro Rojas Morales</v>
      </c>
      <c r="O18" s="6" t="str">
        <f t="shared" si="2"/>
        <v>14.191.545-7</v>
      </c>
      <c r="P18" s="6" t="str">
        <f t="shared" si="3"/>
        <v>Valparaíso - Valparaíso - Región de Valparaíso</v>
      </c>
      <c r="Q18" s="4" t="str">
        <f t="shared" si="4"/>
        <v>Inactivo</v>
      </c>
      <c r="R18" s="12" t="str">
        <f t="shared" si="5"/>
        <v>Riesgo Bajo</v>
      </c>
    </row>
    <row r="19">
      <c r="A19" s="1" t="s">
        <v>351</v>
      </c>
      <c r="B19" s="9" t="s">
        <v>353</v>
      </c>
      <c r="C19" s="9" t="s">
        <v>355</v>
      </c>
      <c r="D19" s="1" t="s">
        <v>344</v>
      </c>
      <c r="E19" s="1" t="s">
        <v>56</v>
      </c>
      <c r="F19" s="1" t="s">
        <v>39</v>
      </c>
      <c r="G19" s="1" t="s">
        <v>40</v>
      </c>
      <c r="H19" s="2">
        <v>2.052E7</v>
      </c>
      <c r="I19" s="1">
        <v>0.0</v>
      </c>
      <c r="J19" s="9" t="s">
        <v>20</v>
      </c>
      <c r="K19" s="5">
        <v>46045.0</v>
      </c>
      <c r="L19" s="11" t="s">
        <v>160</v>
      </c>
      <c r="M19" s="11"/>
      <c r="N19" s="4" t="str">
        <f t="shared" si="1"/>
        <v>Álvaro Rojas Soto</v>
      </c>
      <c r="O19" s="6" t="str">
        <f t="shared" si="2"/>
        <v>12.390.974-2</v>
      </c>
      <c r="P19" s="6" t="str">
        <f t="shared" si="3"/>
        <v>Talcahuano - Concepción - Región del Biobío</v>
      </c>
      <c r="Q19" s="4" t="str">
        <f t="shared" si="4"/>
        <v>En Revisión</v>
      </c>
      <c r="R19" s="12" t="str">
        <f t="shared" si="5"/>
        <v>Riesgo Medio</v>
      </c>
    </row>
    <row r="20">
      <c r="A20" s="1" t="s">
        <v>367</v>
      </c>
      <c r="B20" s="9" t="s">
        <v>368</v>
      </c>
      <c r="C20" s="9" t="s">
        <v>370</v>
      </c>
      <c r="D20" s="1" t="s">
        <v>371</v>
      </c>
      <c r="E20" s="1" t="s">
        <v>18</v>
      </c>
      <c r="F20" s="1" t="s">
        <v>18</v>
      </c>
      <c r="G20" s="1" t="s">
        <v>19</v>
      </c>
      <c r="H20" s="2">
        <v>810000.0</v>
      </c>
      <c r="I20" s="1">
        <v>0.0</v>
      </c>
      <c r="J20" s="9" t="s">
        <v>28</v>
      </c>
      <c r="K20" s="5">
        <v>46154.0</v>
      </c>
      <c r="L20" s="11" t="s">
        <v>207</v>
      </c>
      <c r="M20" s="11"/>
      <c r="N20" s="4" t="str">
        <f t="shared" si="1"/>
        <v>Álvaro Sepúlveda López</v>
      </c>
      <c r="O20" s="6" t="str">
        <f t="shared" si="2"/>
        <v>14.774.123-3</v>
      </c>
      <c r="P20" s="6" t="str">
        <f t="shared" si="3"/>
        <v>La Serena - La Serena - Región de Coquimbo</v>
      </c>
      <c r="Q20" s="4" t="str">
        <f t="shared" si="4"/>
        <v>Activo</v>
      </c>
      <c r="R20" s="12" t="str">
        <f t="shared" si="5"/>
        <v>Riesgo Bajo</v>
      </c>
    </row>
    <row r="21">
      <c r="A21" s="1" t="s">
        <v>385</v>
      </c>
      <c r="B21" s="9" t="s">
        <v>387</v>
      </c>
      <c r="C21" s="9" t="s">
        <v>389</v>
      </c>
      <c r="D21" s="1" t="s">
        <v>391</v>
      </c>
      <c r="E21" s="1" t="s">
        <v>158</v>
      </c>
      <c r="F21" s="1" t="s">
        <v>158</v>
      </c>
      <c r="G21" s="1" t="s">
        <v>159</v>
      </c>
      <c r="H21" s="2">
        <v>6190000.0</v>
      </c>
      <c r="I21" s="1">
        <v>120.0</v>
      </c>
      <c r="J21" s="9" t="s">
        <v>28</v>
      </c>
      <c r="K21" s="5">
        <v>46101.0</v>
      </c>
      <c r="L21" s="11" t="s">
        <v>160</v>
      </c>
      <c r="M21" s="11"/>
      <c r="N21" s="4" t="str">
        <f t="shared" si="1"/>
        <v>Álvaro Soto Silva</v>
      </c>
      <c r="O21" s="6" t="str">
        <f t="shared" si="2"/>
        <v>15042157-3</v>
      </c>
      <c r="P21" s="6" t="str">
        <f t="shared" si="3"/>
        <v>Antofagasta - Antofagasta - Región de Antofagasta</v>
      </c>
      <c r="Q21" s="4" t="str">
        <f t="shared" si="4"/>
        <v>Activo</v>
      </c>
      <c r="R21" s="12" t="str">
        <f t="shared" si="5"/>
        <v>Riesgo Alto</v>
      </c>
    </row>
    <row r="22">
      <c r="A22" s="1" t="s">
        <v>395</v>
      </c>
      <c r="B22" s="9" t="s">
        <v>397</v>
      </c>
      <c r="C22" s="9" t="s">
        <v>398</v>
      </c>
      <c r="D22" s="1" t="s">
        <v>399</v>
      </c>
      <c r="E22" s="1" t="s">
        <v>61</v>
      </c>
      <c r="F22" s="1" t="s">
        <v>62</v>
      </c>
      <c r="G22" s="1" t="s">
        <v>63</v>
      </c>
      <c r="H22" s="2">
        <v>1.63E7</v>
      </c>
      <c r="I22" s="1">
        <v>60.0</v>
      </c>
      <c r="J22" s="9" t="s">
        <v>20</v>
      </c>
      <c r="K22" s="5">
        <v>46155.0</v>
      </c>
      <c r="L22" s="11" t="s">
        <v>207</v>
      </c>
      <c r="M22" s="11"/>
      <c r="N22" s="4" t="str">
        <f t="shared" si="1"/>
        <v>Álvaro Soto Vergara</v>
      </c>
      <c r="O22" s="6" t="str">
        <f t="shared" si="2"/>
        <v>16.752.592-9</v>
      </c>
      <c r="P22" s="6" t="str">
        <f t="shared" si="3"/>
        <v>Santiago Centro - Santiago - Región Metropolitana</v>
      </c>
      <c r="Q22" s="4" t="str">
        <f t="shared" si="4"/>
        <v>En Revisión</v>
      </c>
      <c r="R22" s="12" t="str">
        <f t="shared" si="5"/>
        <v>Riesgo Medio</v>
      </c>
    </row>
    <row r="23">
      <c r="A23" s="1" t="s">
        <v>404</v>
      </c>
      <c r="B23" s="9" t="s">
        <v>406</v>
      </c>
      <c r="C23" s="9" t="s">
        <v>407</v>
      </c>
      <c r="D23" s="1" t="s">
        <v>408</v>
      </c>
      <c r="E23" s="1" t="s">
        <v>118</v>
      </c>
      <c r="F23" s="1" t="s">
        <v>62</v>
      </c>
      <c r="G23" s="1" t="s">
        <v>63</v>
      </c>
      <c r="H23" s="2">
        <v>8770000.0</v>
      </c>
      <c r="I23" s="1">
        <v>0.0</v>
      </c>
      <c r="J23" s="9" t="s">
        <v>20</v>
      </c>
      <c r="K23" s="5">
        <v>46060.0</v>
      </c>
      <c r="L23" s="11" t="s">
        <v>100</v>
      </c>
      <c r="M23" s="11"/>
      <c r="N23" s="4" t="str">
        <f t="shared" si="1"/>
        <v>Álvaro Tapia Contreras</v>
      </c>
      <c r="O23" s="6" t="str">
        <f t="shared" si="2"/>
        <v>16.902.804-3</v>
      </c>
      <c r="P23" s="6" t="str">
        <f t="shared" si="3"/>
        <v>Maipú - Santiago - Región Metropolitana</v>
      </c>
      <c r="Q23" s="4" t="str">
        <f t="shared" si="4"/>
        <v>En Revisión</v>
      </c>
      <c r="R23" s="12" t="str">
        <f t="shared" si="5"/>
        <v>Riesgo Medio</v>
      </c>
    </row>
    <row r="24">
      <c r="A24" s="1" t="s">
        <v>420</v>
      </c>
      <c r="B24" s="9" t="s">
        <v>421</v>
      </c>
      <c r="C24" s="9" t="s">
        <v>422</v>
      </c>
      <c r="D24" s="1" t="s">
        <v>423</v>
      </c>
      <c r="E24" s="1" t="s">
        <v>25</v>
      </c>
      <c r="F24" s="1" t="s">
        <v>26</v>
      </c>
      <c r="G24" s="1" t="s">
        <v>27</v>
      </c>
      <c r="H24" s="2">
        <v>1.632E7</v>
      </c>
      <c r="I24" s="1">
        <v>0.0</v>
      </c>
      <c r="J24" s="9" t="s">
        <v>97</v>
      </c>
      <c r="K24" s="5">
        <v>46093.0</v>
      </c>
      <c r="L24" s="11" t="s">
        <v>207</v>
      </c>
      <c r="M24" s="11"/>
      <c r="N24" s="4" t="str">
        <f t="shared" si="1"/>
        <v>Álvaro Tapia Díaz</v>
      </c>
      <c r="O24" s="6" t="str">
        <f t="shared" si="2"/>
        <v>15.508.689-5</v>
      </c>
      <c r="P24" s="6" t="str">
        <f t="shared" si="3"/>
        <v>Viña del Mar - Valparaíso - Región de Valparaíso</v>
      </c>
      <c r="Q24" s="4" t="str">
        <f t="shared" si="4"/>
        <v>Inactivo</v>
      </c>
      <c r="R24" s="12" t="str">
        <f t="shared" si="5"/>
        <v>Riesgo Bajo</v>
      </c>
    </row>
    <row r="25">
      <c r="A25" s="1" t="s">
        <v>435</v>
      </c>
      <c r="B25" s="9" t="s">
        <v>436</v>
      </c>
      <c r="C25" s="9" t="s">
        <v>438</v>
      </c>
      <c r="D25" s="1" t="s">
        <v>423</v>
      </c>
      <c r="E25" s="1" t="s">
        <v>45</v>
      </c>
      <c r="F25" s="1" t="s">
        <v>45</v>
      </c>
      <c r="G25" s="1" t="s">
        <v>46</v>
      </c>
      <c r="H25" s="2">
        <v>1.409E7</v>
      </c>
      <c r="I25" s="1">
        <v>0.0</v>
      </c>
      <c r="J25" s="9" t="s">
        <v>28</v>
      </c>
      <c r="K25" s="5">
        <v>46133.0</v>
      </c>
      <c r="L25" s="11" t="s">
        <v>207</v>
      </c>
      <c r="M25" s="11"/>
      <c r="N25" s="4" t="str">
        <f t="shared" si="1"/>
        <v>Álvaro Tapia Espinoza</v>
      </c>
      <c r="O25" s="6" t="str">
        <f t="shared" si="2"/>
        <v>20.532.244-4</v>
      </c>
      <c r="P25" s="6" t="str">
        <f t="shared" si="3"/>
        <v>Temuco - Temuco - Región de la Araucanía</v>
      </c>
      <c r="Q25" s="4" t="str">
        <f t="shared" si="4"/>
        <v>Activo</v>
      </c>
      <c r="R25" s="12" t="str">
        <f t="shared" si="5"/>
        <v>Riesgo Bajo</v>
      </c>
    </row>
    <row r="26">
      <c r="A26" s="1" t="s">
        <v>455</v>
      </c>
      <c r="B26" s="9" t="s">
        <v>457</v>
      </c>
      <c r="C26" s="9" t="s">
        <v>458</v>
      </c>
      <c r="D26" s="1" t="s">
        <v>408</v>
      </c>
      <c r="E26" s="1" t="s">
        <v>118</v>
      </c>
      <c r="F26" s="1" t="s">
        <v>62</v>
      </c>
      <c r="G26" s="1" t="s">
        <v>63</v>
      </c>
      <c r="H26" s="2">
        <v>2.106E7</v>
      </c>
      <c r="I26" s="1">
        <v>0.0</v>
      </c>
      <c r="J26" s="9" t="s">
        <v>20</v>
      </c>
      <c r="K26" s="5">
        <v>46023.0</v>
      </c>
      <c r="L26" s="11" t="s">
        <v>100</v>
      </c>
      <c r="M26" s="11"/>
      <c r="N26" s="4" t="str">
        <f t="shared" si="1"/>
        <v>Álvaro Tapia Morales</v>
      </c>
      <c r="O26" s="6" t="str">
        <f t="shared" si="2"/>
        <v>21384372-2</v>
      </c>
      <c r="P26" s="6" t="str">
        <f t="shared" si="3"/>
        <v>Maipú - Santiago - Región Metropolitana</v>
      </c>
      <c r="Q26" s="4" t="str">
        <f t="shared" si="4"/>
        <v>En Revisión</v>
      </c>
      <c r="R26" s="12" t="str">
        <f t="shared" si="5"/>
        <v>Riesgo Medio</v>
      </c>
    </row>
    <row r="27">
      <c r="A27" s="1" t="s">
        <v>471</v>
      </c>
      <c r="B27" s="9" t="s">
        <v>473</v>
      </c>
      <c r="C27" s="9" t="s">
        <v>475</v>
      </c>
      <c r="D27" s="1" t="s">
        <v>476</v>
      </c>
      <c r="E27" s="1" t="s">
        <v>25</v>
      </c>
      <c r="F27" s="1" t="s">
        <v>26</v>
      </c>
      <c r="G27" s="1" t="s">
        <v>27</v>
      </c>
      <c r="H27" s="2">
        <v>4800000.0</v>
      </c>
      <c r="I27" s="1">
        <v>60.0</v>
      </c>
      <c r="J27" s="9" t="s">
        <v>97</v>
      </c>
      <c r="K27" s="5">
        <v>46093.0</v>
      </c>
      <c r="L27" s="11" t="s">
        <v>207</v>
      </c>
      <c r="M27" s="11"/>
      <c r="N27" s="4" t="str">
        <f t="shared" si="1"/>
        <v>Álvaro Tapia Rojas</v>
      </c>
      <c r="O27" s="6" t="str">
        <f t="shared" si="2"/>
        <v>18.405.031-4</v>
      </c>
      <c r="P27" s="6" t="str">
        <f t="shared" si="3"/>
        <v>Viña del Mar - Valparaíso - Región de Valparaíso</v>
      </c>
      <c r="Q27" s="4" t="str">
        <f t="shared" si="4"/>
        <v>Inactivo</v>
      </c>
      <c r="R27" s="12" t="str">
        <f t="shared" si="5"/>
        <v>Riesgo Medio</v>
      </c>
    </row>
    <row r="28">
      <c r="A28" s="1" t="s">
        <v>490</v>
      </c>
      <c r="B28" s="9" t="s">
        <v>491</v>
      </c>
      <c r="C28" s="9" t="s">
        <v>493</v>
      </c>
      <c r="D28" s="1" t="s">
        <v>495</v>
      </c>
      <c r="E28" s="1" t="s">
        <v>45</v>
      </c>
      <c r="F28" s="1" t="s">
        <v>45</v>
      </c>
      <c r="G28" s="1" t="s">
        <v>46</v>
      </c>
      <c r="H28" s="2">
        <v>1.087E7</v>
      </c>
      <c r="I28" s="1">
        <v>15.0</v>
      </c>
      <c r="J28" s="9" t="s">
        <v>28</v>
      </c>
      <c r="K28" s="5">
        <v>46166.0</v>
      </c>
      <c r="L28" s="11" t="s">
        <v>100</v>
      </c>
      <c r="M28" s="11"/>
      <c r="N28" s="4" t="str">
        <f t="shared" si="1"/>
        <v>Álvaro Valenzuela Rodríguez</v>
      </c>
      <c r="O28" s="6" t="str">
        <f t="shared" si="2"/>
        <v>14.707.341-2</v>
      </c>
      <c r="P28" s="6" t="str">
        <f t="shared" si="3"/>
        <v>Temuco - Temuco - Región de la Araucanía</v>
      </c>
      <c r="Q28" s="4" t="str">
        <f t="shared" si="4"/>
        <v>Activo</v>
      </c>
      <c r="R28" s="12" t="str">
        <f t="shared" si="5"/>
        <v>Riesgo Bajo</v>
      </c>
    </row>
    <row r="29">
      <c r="A29" s="1" t="s">
        <v>507</v>
      </c>
      <c r="B29" s="9" t="s">
        <v>508</v>
      </c>
      <c r="C29" s="9" t="s">
        <v>509</v>
      </c>
      <c r="D29" s="1" t="s">
        <v>511</v>
      </c>
      <c r="E29" s="1" t="s">
        <v>39</v>
      </c>
      <c r="F29" s="1" t="s">
        <v>39</v>
      </c>
      <c r="G29" s="1" t="s">
        <v>40</v>
      </c>
      <c r="H29" s="2">
        <v>9580000.0</v>
      </c>
      <c r="I29" s="1">
        <v>0.0</v>
      </c>
      <c r="J29" s="9" t="s">
        <v>20</v>
      </c>
      <c r="K29" s="5">
        <v>46105.0</v>
      </c>
      <c r="L29" s="11" t="s">
        <v>160</v>
      </c>
      <c r="M29" s="11"/>
      <c r="N29" s="4" t="str">
        <f t="shared" si="1"/>
        <v>Álvaro Valenzuela Valenzuela</v>
      </c>
      <c r="O29" s="6" t="str">
        <f t="shared" si="2"/>
        <v>12.466.467-9</v>
      </c>
      <c r="P29" s="6" t="str">
        <f t="shared" si="3"/>
        <v>Concepción - Concepción - Región del Biobío</v>
      </c>
      <c r="Q29" s="4" t="str">
        <f t="shared" si="4"/>
        <v>En Revisión</v>
      </c>
      <c r="R29" s="12" t="str">
        <f t="shared" si="5"/>
        <v>Riesgo Medio</v>
      </c>
    </row>
    <row r="30">
      <c r="A30" s="1" t="s">
        <v>519</v>
      </c>
      <c r="B30" s="9" t="s">
        <v>520</v>
      </c>
      <c r="C30" s="9" t="s">
        <v>522</v>
      </c>
      <c r="D30" s="1" t="s">
        <v>523</v>
      </c>
      <c r="E30" s="1" t="s">
        <v>18</v>
      </c>
      <c r="F30" s="1" t="s">
        <v>18</v>
      </c>
      <c r="G30" s="1" t="s">
        <v>19</v>
      </c>
      <c r="H30" s="2">
        <v>1.135E7</v>
      </c>
      <c r="I30" s="1">
        <v>45.0</v>
      </c>
      <c r="J30" s="9" t="s">
        <v>20</v>
      </c>
      <c r="K30" s="5">
        <v>46078.0</v>
      </c>
      <c r="L30" s="11" t="s">
        <v>181</v>
      </c>
      <c r="M30" s="11"/>
      <c r="N30" s="4" t="str">
        <f t="shared" si="1"/>
        <v>Andrea Araya Muñoz</v>
      </c>
      <c r="O30" s="6" t="str">
        <f t="shared" si="2"/>
        <v>15.737.306-6</v>
      </c>
      <c r="P30" s="6" t="str">
        <f t="shared" si="3"/>
        <v>La Serena - La Serena - Región de Coquimbo</v>
      </c>
      <c r="Q30" s="4" t="str">
        <f t="shared" si="4"/>
        <v>En Revisión</v>
      </c>
      <c r="R30" s="12" t="str">
        <f t="shared" si="5"/>
        <v>Riesgo Medio</v>
      </c>
    </row>
    <row r="31">
      <c r="A31" s="1" t="s">
        <v>533</v>
      </c>
      <c r="B31" s="9" t="s">
        <v>535</v>
      </c>
      <c r="C31" s="9" t="s">
        <v>536</v>
      </c>
      <c r="D31" s="1" t="s">
        <v>538</v>
      </c>
      <c r="E31" s="1" t="s">
        <v>33</v>
      </c>
      <c r="F31" s="1" t="s">
        <v>33</v>
      </c>
      <c r="G31" s="1" t="s">
        <v>34</v>
      </c>
      <c r="H31" s="2">
        <v>1.566E7</v>
      </c>
      <c r="I31" s="1">
        <v>90.0</v>
      </c>
      <c r="J31" s="9" t="s">
        <v>20</v>
      </c>
      <c r="K31" s="5">
        <v>46100.0</v>
      </c>
      <c r="L31" s="11" t="s">
        <v>199</v>
      </c>
      <c r="M31" s="11"/>
      <c r="N31" s="4" t="str">
        <f t="shared" si="1"/>
        <v>Andrea Contreras Díaz</v>
      </c>
      <c r="O31" s="6" t="str">
        <f t="shared" si="2"/>
        <v>14.068.812-0</v>
      </c>
      <c r="P31" s="6" t="str">
        <f t="shared" si="3"/>
        <v>Puerto Montt - Puerto Montt - Región de Los Lagos</v>
      </c>
      <c r="Q31" s="4" t="str">
        <f t="shared" si="4"/>
        <v>En Revisión</v>
      </c>
      <c r="R31" s="12" t="str">
        <f t="shared" si="5"/>
        <v>Riesgo Medio</v>
      </c>
    </row>
    <row r="32">
      <c r="A32" s="1" t="s">
        <v>554</v>
      </c>
      <c r="B32" s="9" t="s">
        <v>556</v>
      </c>
      <c r="C32" s="9" t="s">
        <v>558</v>
      </c>
      <c r="D32" s="1" t="s">
        <v>560</v>
      </c>
      <c r="E32" s="1" t="s">
        <v>158</v>
      </c>
      <c r="F32" s="1" t="s">
        <v>158</v>
      </c>
      <c r="G32" s="1" t="s">
        <v>159</v>
      </c>
      <c r="H32" s="2">
        <v>1.129E7</v>
      </c>
      <c r="I32" s="1">
        <v>15.0</v>
      </c>
      <c r="J32" s="9" t="s">
        <v>28</v>
      </c>
      <c r="K32" s="5">
        <v>46030.0</v>
      </c>
      <c r="L32" s="11" t="s">
        <v>207</v>
      </c>
      <c r="M32" s="11"/>
      <c r="N32" s="4" t="str">
        <f t="shared" si="1"/>
        <v>Andrea Contreras González</v>
      </c>
      <c r="O32" s="6" t="str">
        <f t="shared" si="2"/>
        <v>12.715.632-3</v>
      </c>
      <c r="P32" s="6" t="str">
        <f t="shared" si="3"/>
        <v>Antofagasta - Antofagasta - Región de Antofagasta</v>
      </c>
      <c r="Q32" s="4" t="str">
        <f t="shared" si="4"/>
        <v>Activo</v>
      </c>
      <c r="R32" s="12" t="str">
        <f t="shared" si="5"/>
        <v>Riesgo Bajo</v>
      </c>
    </row>
    <row r="33">
      <c r="A33" s="1" t="s">
        <v>591</v>
      </c>
      <c r="B33" s="9" t="s">
        <v>592</v>
      </c>
      <c r="C33" s="9" t="s">
        <v>594</v>
      </c>
      <c r="D33" s="1" t="s">
        <v>595</v>
      </c>
      <c r="E33" s="1" t="s">
        <v>194</v>
      </c>
      <c r="F33" s="1" t="s">
        <v>62</v>
      </c>
      <c r="G33" s="1" t="s">
        <v>63</v>
      </c>
      <c r="H33" s="2">
        <v>1.171E7</v>
      </c>
      <c r="I33" s="1">
        <v>15.0</v>
      </c>
      <c r="J33" s="9" t="s">
        <v>28</v>
      </c>
      <c r="K33" s="5">
        <v>46197.0</v>
      </c>
      <c r="L33" s="11" t="s">
        <v>160</v>
      </c>
      <c r="M33" s="11"/>
      <c r="N33" s="4" t="str">
        <f t="shared" si="1"/>
        <v>Andrea Contreras Morales</v>
      </c>
      <c r="O33" s="6" t="str">
        <f t="shared" si="2"/>
        <v>21409726-8</v>
      </c>
      <c r="P33" s="6" t="str">
        <f t="shared" si="3"/>
        <v>Las Condes - Santiago - Región Metropolitana</v>
      </c>
      <c r="Q33" s="4" t="str">
        <f t="shared" si="4"/>
        <v>Activo</v>
      </c>
      <c r="R33" s="12" t="str">
        <f t="shared" si="5"/>
        <v>Riesgo Bajo</v>
      </c>
    </row>
    <row r="34">
      <c r="A34" s="1" t="s">
        <v>605</v>
      </c>
      <c r="B34" s="9" t="s">
        <v>606</v>
      </c>
      <c r="C34" s="9" t="s">
        <v>607</v>
      </c>
      <c r="D34" s="1" t="s">
        <v>608</v>
      </c>
      <c r="E34" s="1" t="s">
        <v>61</v>
      </c>
      <c r="F34" s="1" t="s">
        <v>62</v>
      </c>
      <c r="G34" s="1" t="s">
        <v>63</v>
      </c>
      <c r="H34" s="2">
        <v>1.68E7</v>
      </c>
      <c r="I34" s="1">
        <v>30.0</v>
      </c>
      <c r="J34" s="9" t="s">
        <v>28</v>
      </c>
      <c r="K34" s="5">
        <v>46047.0</v>
      </c>
      <c r="L34" s="11" t="s">
        <v>100</v>
      </c>
      <c r="M34" s="11"/>
      <c r="N34" s="4" t="str">
        <f t="shared" si="1"/>
        <v>Andrea Díaz Araya</v>
      </c>
      <c r="O34" s="6" t="str">
        <f t="shared" si="2"/>
        <v>15.114.550-4</v>
      </c>
      <c r="P34" s="6" t="str">
        <f t="shared" si="3"/>
        <v>Santiago Centro - Santiago - Región Metropolitana</v>
      </c>
      <c r="Q34" s="4" t="str">
        <f t="shared" si="4"/>
        <v>Activo</v>
      </c>
      <c r="R34" s="12" t="str">
        <f t="shared" si="5"/>
        <v>Riesgo Bajo</v>
      </c>
    </row>
    <row r="35">
      <c r="A35" s="1" t="s">
        <v>617</v>
      </c>
      <c r="B35" s="9" t="s">
        <v>618</v>
      </c>
      <c r="C35" s="9" t="s">
        <v>620</v>
      </c>
      <c r="D35" s="1" t="s">
        <v>621</v>
      </c>
      <c r="E35" s="1" t="s">
        <v>39</v>
      </c>
      <c r="F35" s="1" t="s">
        <v>39</v>
      </c>
      <c r="G35" s="1" t="s">
        <v>40</v>
      </c>
      <c r="H35" s="2">
        <v>1.036E7</v>
      </c>
      <c r="I35" s="1">
        <v>0.0</v>
      </c>
      <c r="J35" s="9" t="s">
        <v>28</v>
      </c>
      <c r="K35" s="5">
        <v>46028.0</v>
      </c>
      <c r="L35" s="11" t="s">
        <v>160</v>
      </c>
      <c r="M35" s="11"/>
      <c r="N35" s="4" t="str">
        <f t="shared" si="1"/>
        <v>Andrea Díaz Tapia</v>
      </c>
      <c r="O35" s="6" t="str">
        <f t="shared" si="2"/>
        <v>12727815-0</v>
      </c>
      <c r="P35" s="6" t="str">
        <f t="shared" si="3"/>
        <v>Concepción - Concepción - Región del Biobío</v>
      </c>
      <c r="Q35" s="4" t="str">
        <f t="shared" si="4"/>
        <v>Activo</v>
      </c>
      <c r="R35" s="12" t="str">
        <f t="shared" si="5"/>
        <v>Riesgo Bajo</v>
      </c>
    </row>
    <row r="36">
      <c r="A36" s="1" t="s">
        <v>632</v>
      </c>
      <c r="B36" s="9" t="s">
        <v>633</v>
      </c>
      <c r="C36" s="9" t="s">
        <v>634</v>
      </c>
      <c r="D36" s="1" t="s">
        <v>636</v>
      </c>
      <c r="E36" s="1" t="s">
        <v>39</v>
      </c>
      <c r="F36" s="1" t="s">
        <v>39</v>
      </c>
      <c r="G36" s="1" t="s">
        <v>40</v>
      </c>
      <c r="H36" s="2">
        <v>9310000.0</v>
      </c>
      <c r="I36" s="1">
        <v>30.0</v>
      </c>
      <c r="J36" s="9" t="s">
        <v>20</v>
      </c>
      <c r="K36" s="5">
        <v>46148.0</v>
      </c>
      <c r="L36" s="11" t="s">
        <v>160</v>
      </c>
      <c r="M36" s="11"/>
      <c r="N36" s="4" t="str">
        <f t="shared" si="1"/>
        <v>Andrea Espinoza Vergara</v>
      </c>
      <c r="O36" s="6" t="str">
        <f t="shared" si="2"/>
        <v>12.170.111-9</v>
      </c>
      <c r="P36" s="6" t="str">
        <f t="shared" si="3"/>
        <v>Concepción - Concepción - Región del Biobío</v>
      </c>
      <c r="Q36" s="4" t="str">
        <f t="shared" si="4"/>
        <v>En Revisión</v>
      </c>
      <c r="R36" s="12" t="str">
        <f t="shared" si="5"/>
        <v>Riesgo Medio</v>
      </c>
    </row>
    <row r="37">
      <c r="A37" s="1" t="s">
        <v>498</v>
      </c>
      <c r="B37" s="9" t="s">
        <v>499</v>
      </c>
      <c r="C37" s="9" t="s">
        <v>652</v>
      </c>
      <c r="D37" s="1" t="s">
        <v>502</v>
      </c>
      <c r="E37" s="1" t="s">
        <v>33</v>
      </c>
      <c r="F37" s="1" t="s">
        <v>33</v>
      </c>
      <c r="G37" s="1" t="s">
        <v>34</v>
      </c>
      <c r="H37" s="2">
        <v>1.539E7</v>
      </c>
      <c r="I37" s="1">
        <v>30.0</v>
      </c>
      <c r="J37" s="9" t="s">
        <v>97</v>
      </c>
      <c r="K37" s="5">
        <v>46221.0</v>
      </c>
      <c r="L37" s="11" t="s">
        <v>181</v>
      </c>
      <c r="M37" s="11"/>
      <c r="N37" s="4" t="str">
        <f t="shared" si="1"/>
        <v>Andrea González Espinoza</v>
      </c>
      <c r="O37" s="6" t="str">
        <f t="shared" si="2"/>
        <v>11.955.434-4</v>
      </c>
      <c r="P37" s="6" t="str">
        <f t="shared" si="3"/>
        <v>Puerto Montt - Puerto Montt - Región de Los Lagos</v>
      </c>
      <c r="Q37" s="4" t="str">
        <f t="shared" si="4"/>
        <v>Inactivo</v>
      </c>
      <c r="R37" s="12" t="str">
        <f t="shared" si="5"/>
        <v>Riesgo Bajo</v>
      </c>
    </row>
    <row r="38">
      <c r="A38" s="1" t="s">
        <v>670</v>
      </c>
      <c r="B38" s="9" t="s">
        <v>672</v>
      </c>
      <c r="C38" s="9" t="s">
        <v>674</v>
      </c>
      <c r="D38" s="1" t="s">
        <v>675</v>
      </c>
      <c r="E38" s="1" t="s">
        <v>158</v>
      </c>
      <c r="F38" s="1" t="s">
        <v>158</v>
      </c>
      <c r="G38" s="1" t="s">
        <v>159</v>
      </c>
      <c r="H38" s="2">
        <v>1420000.0</v>
      </c>
      <c r="I38" s="1">
        <v>0.0</v>
      </c>
      <c r="J38" s="9" t="s">
        <v>20</v>
      </c>
      <c r="K38" s="5">
        <v>46126.0</v>
      </c>
      <c r="L38" s="11" t="s">
        <v>160</v>
      </c>
      <c r="M38" s="11"/>
      <c r="N38" s="4" t="str">
        <f t="shared" si="1"/>
        <v>Andrea González Sepúlveda</v>
      </c>
      <c r="O38" s="6" t="str">
        <f t="shared" si="2"/>
        <v>13.451.347-2</v>
      </c>
      <c r="P38" s="6" t="str">
        <f t="shared" si="3"/>
        <v>Antofagasta - Antofagasta - Región de Antofagasta</v>
      </c>
      <c r="Q38" s="4" t="str">
        <f t="shared" si="4"/>
        <v>En Revisión</v>
      </c>
      <c r="R38" s="12" t="str">
        <f t="shared" si="5"/>
        <v>Riesgo Medio</v>
      </c>
    </row>
    <row r="39">
      <c r="A39" s="1" t="s">
        <v>684</v>
      </c>
      <c r="B39" s="9" t="s">
        <v>685</v>
      </c>
      <c r="C39" s="9" t="s">
        <v>686</v>
      </c>
      <c r="D39" s="1" t="s">
        <v>688</v>
      </c>
      <c r="E39" s="1" t="s">
        <v>61</v>
      </c>
      <c r="F39" s="1" t="s">
        <v>62</v>
      </c>
      <c r="G39" s="1" t="s">
        <v>63</v>
      </c>
      <c r="H39" s="2">
        <v>8700000.0</v>
      </c>
      <c r="I39" s="1">
        <v>0.0</v>
      </c>
      <c r="J39" s="9" t="s">
        <v>97</v>
      </c>
      <c r="K39" s="5">
        <v>46084.0</v>
      </c>
      <c r="L39" s="11" t="s">
        <v>160</v>
      </c>
      <c r="M39" s="11"/>
      <c r="N39" s="4" t="str">
        <f t="shared" si="1"/>
        <v>Andrea González Silva</v>
      </c>
      <c r="O39" s="6" t="str">
        <f t="shared" si="2"/>
        <v>15.481.798-9</v>
      </c>
      <c r="P39" s="6" t="str">
        <f t="shared" si="3"/>
        <v>Santiago Centro - Santiago - Región Metropolitana</v>
      </c>
      <c r="Q39" s="4" t="str">
        <f t="shared" si="4"/>
        <v>Inactivo</v>
      </c>
      <c r="R39" s="12" t="str">
        <f t="shared" si="5"/>
        <v>Riesgo Bajo</v>
      </c>
    </row>
    <row r="40">
      <c r="A40" s="1" t="s">
        <v>697</v>
      </c>
      <c r="B40" s="9" t="s">
        <v>698</v>
      </c>
      <c r="C40" s="9" t="s">
        <v>699</v>
      </c>
      <c r="D40" s="1" t="s">
        <v>701</v>
      </c>
      <c r="E40" s="1" t="s">
        <v>109</v>
      </c>
      <c r="F40" s="1" t="s">
        <v>62</v>
      </c>
      <c r="G40" s="1" t="s">
        <v>63</v>
      </c>
      <c r="H40" s="2">
        <v>1.147E7</v>
      </c>
      <c r="I40" s="1">
        <v>45.0</v>
      </c>
      <c r="J40" s="9" t="s">
        <v>97</v>
      </c>
      <c r="K40" s="5">
        <v>46223.0</v>
      </c>
      <c r="L40" s="11" t="s">
        <v>207</v>
      </c>
      <c r="M40" s="11"/>
      <c r="N40" s="4" t="str">
        <f t="shared" si="1"/>
        <v>Andrea López Fuentes</v>
      </c>
      <c r="O40" s="6" t="str">
        <f t="shared" si="2"/>
        <v>21204928-8</v>
      </c>
      <c r="P40" s="6" t="str">
        <f t="shared" si="3"/>
        <v>Ñuñoa - Santiago - Región Metropolitana</v>
      </c>
      <c r="Q40" s="4" t="str">
        <f t="shared" si="4"/>
        <v>Inactivo</v>
      </c>
      <c r="R40" s="12" t="str">
        <f t="shared" si="5"/>
        <v>Riesgo Medio</v>
      </c>
    </row>
    <row r="41">
      <c r="A41" s="1" t="s">
        <v>714</v>
      </c>
      <c r="B41" s="9" t="s">
        <v>716</v>
      </c>
      <c r="C41" s="9" t="s">
        <v>717</v>
      </c>
      <c r="D41" s="1" t="s">
        <v>718</v>
      </c>
      <c r="E41" s="1" t="s">
        <v>18</v>
      </c>
      <c r="F41" s="1" t="s">
        <v>18</v>
      </c>
      <c r="G41" s="1" t="s">
        <v>19</v>
      </c>
      <c r="H41" s="2">
        <v>1.92E7</v>
      </c>
      <c r="I41" s="1">
        <v>90.0</v>
      </c>
      <c r="J41" s="9" t="s">
        <v>28</v>
      </c>
      <c r="K41" s="5">
        <v>46177.0</v>
      </c>
      <c r="L41" s="11" t="s">
        <v>160</v>
      </c>
      <c r="M41" s="11"/>
      <c r="N41" s="4" t="str">
        <f t="shared" si="1"/>
        <v>Andrea López González</v>
      </c>
      <c r="O41" s="6" t="str">
        <f t="shared" si="2"/>
        <v>11.719.561-0</v>
      </c>
      <c r="P41" s="6" t="str">
        <f t="shared" si="3"/>
        <v>La Serena - La Serena - Región de Coquimbo</v>
      </c>
      <c r="Q41" s="4" t="str">
        <f t="shared" si="4"/>
        <v>Activo</v>
      </c>
      <c r="R41" s="12" t="str">
        <f t="shared" si="5"/>
        <v>Riesgo Alto</v>
      </c>
    </row>
    <row r="42">
      <c r="A42" s="1" t="s">
        <v>726</v>
      </c>
      <c r="B42" s="9" t="s">
        <v>728</v>
      </c>
      <c r="C42" s="9" t="s">
        <v>731</v>
      </c>
      <c r="D42" s="1" t="s">
        <v>732</v>
      </c>
      <c r="E42" s="1" t="s">
        <v>109</v>
      </c>
      <c r="F42" s="1" t="s">
        <v>62</v>
      </c>
      <c r="G42" s="1" t="s">
        <v>63</v>
      </c>
      <c r="H42" s="2">
        <v>1.159E7</v>
      </c>
      <c r="I42" s="1">
        <v>15.0</v>
      </c>
      <c r="J42" s="9" t="s">
        <v>28</v>
      </c>
      <c r="K42" s="5">
        <v>46116.0</v>
      </c>
      <c r="L42" s="11" t="s">
        <v>207</v>
      </c>
      <c r="M42" s="11"/>
      <c r="N42" s="4" t="str">
        <f t="shared" si="1"/>
        <v>Andrea López Rojas</v>
      </c>
      <c r="O42" s="6" t="str">
        <f t="shared" si="2"/>
        <v>20.881.696-6</v>
      </c>
      <c r="P42" s="6" t="str">
        <f t="shared" si="3"/>
        <v>Ñuñoa - Santiago - Región Metropolitana</v>
      </c>
      <c r="Q42" s="4" t="str">
        <f t="shared" si="4"/>
        <v>Activo</v>
      </c>
      <c r="R42" s="12" t="str">
        <f t="shared" si="5"/>
        <v>Riesgo Bajo</v>
      </c>
    </row>
    <row r="43">
      <c r="A43" s="1" t="s">
        <v>743</v>
      </c>
      <c r="B43" s="9" t="s">
        <v>744</v>
      </c>
      <c r="C43" s="9" t="s">
        <v>745</v>
      </c>
      <c r="D43" s="1" t="s">
        <v>746</v>
      </c>
      <c r="E43" s="1" t="s">
        <v>18</v>
      </c>
      <c r="F43" s="1" t="s">
        <v>18</v>
      </c>
      <c r="G43" s="1" t="s">
        <v>19</v>
      </c>
      <c r="H43" s="2">
        <v>2460000.0</v>
      </c>
      <c r="I43" s="1">
        <v>30.0</v>
      </c>
      <c r="J43" s="9" t="s">
        <v>28</v>
      </c>
      <c r="K43" s="5">
        <v>46134.0</v>
      </c>
      <c r="L43" s="11" t="s">
        <v>100</v>
      </c>
      <c r="M43" s="11"/>
      <c r="N43" s="4" t="str">
        <f t="shared" si="1"/>
        <v>Andrea Morales Díaz</v>
      </c>
      <c r="O43" s="6" t="str">
        <f t="shared" si="2"/>
        <v>17.148.986-5</v>
      </c>
      <c r="P43" s="6" t="str">
        <f t="shared" si="3"/>
        <v>La Serena - La Serena - Región de Coquimbo</v>
      </c>
      <c r="Q43" s="4" t="str">
        <f t="shared" si="4"/>
        <v>Activo</v>
      </c>
      <c r="R43" s="12" t="str">
        <f t="shared" si="5"/>
        <v>Riesgo Bajo</v>
      </c>
    </row>
    <row r="44">
      <c r="A44" s="1" t="s">
        <v>762</v>
      </c>
      <c r="B44" s="9" t="s">
        <v>763</v>
      </c>
      <c r="C44" s="9" t="s">
        <v>765</v>
      </c>
      <c r="D44" s="1" t="s">
        <v>766</v>
      </c>
      <c r="E44" s="1" t="s">
        <v>158</v>
      </c>
      <c r="F44" s="1" t="s">
        <v>158</v>
      </c>
      <c r="G44" s="1" t="s">
        <v>159</v>
      </c>
      <c r="H44" s="2">
        <v>6970000.0</v>
      </c>
      <c r="I44" s="1">
        <v>120.0</v>
      </c>
      <c r="J44" s="9" t="s">
        <v>28</v>
      </c>
      <c r="K44" s="5">
        <v>46217.0</v>
      </c>
      <c r="L44" s="11" t="s">
        <v>207</v>
      </c>
      <c r="M44" s="11"/>
      <c r="N44" s="4" t="str">
        <f t="shared" si="1"/>
        <v>Andrea Morales Soto</v>
      </c>
      <c r="O44" s="6" t="str">
        <f t="shared" si="2"/>
        <v>14.910.269-7</v>
      </c>
      <c r="P44" s="6" t="str">
        <f t="shared" si="3"/>
        <v>Antofagasta - Antofagasta - Región de Antofagasta</v>
      </c>
      <c r="Q44" s="4" t="str">
        <f t="shared" si="4"/>
        <v>Activo</v>
      </c>
      <c r="R44" s="12" t="str">
        <f t="shared" si="5"/>
        <v>Riesgo Alto</v>
      </c>
    </row>
    <row r="45">
      <c r="A45" s="1" t="s">
        <v>553</v>
      </c>
      <c r="B45" s="9" t="s">
        <v>555</v>
      </c>
      <c r="C45" s="9" t="s">
        <v>776</v>
      </c>
      <c r="D45" s="1" t="s">
        <v>559</v>
      </c>
      <c r="E45" s="1" t="s">
        <v>56</v>
      </c>
      <c r="F45" s="1" t="s">
        <v>39</v>
      </c>
      <c r="G45" s="1" t="s">
        <v>40</v>
      </c>
      <c r="H45" s="2">
        <v>7030000.0</v>
      </c>
      <c r="I45" s="1">
        <v>0.0</v>
      </c>
      <c r="J45" s="9" t="s">
        <v>97</v>
      </c>
      <c r="K45" s="5">
        <v>46114.0</v>
      </c>
      <c r="L45" s="11" t="s">
        <v>207</v>
      </c>
      <c r="M45" s="11"/>
      <c r="N45" s="4" t="str">
        <f t="shared" si="1"/>
        <v>Andrea Muñoz Araya</v>
      </c>
      <c r="O45" s="6" t="str">
        <f t="shared" si="2"/>
        <v>11364673-7</v>
      </c>
      <c r="P45" s="6" t="str">
        <f t="shared" si="3"/>
        <v>Talcahuano - Concepción - Región del Biobío</v>
      </c>
      <c r="Q45" s="4" t="str">
        <f t="shared" si="4"/>
        <v>Inactivo</v>
      </c>
      <c r="R45" s="12" t="str">
        <f t="shared" si="5"/>
        <v>Riesgo Bajo</v>
      </c>
    </row>
    <row r="46">
      <c r="A46" s="1" t="s">
        <v>790</v>
      </c>
      <c r="B46" s="9" t="s">
        <v>791</v>
      </c>
      <c r="C46" s="9" t="s">
        <v>793</v>
      </c>
      <c r="D46" s="1" t="s">
        <v>794</v>
      </c>
      <c r="E46" s="1" t="s">
        <v>158</v>
      </c>
      <c r="F46" s="1" t="s">
        <v>158</v>
      </c>
      <c r="G46" s="1" t="s">
        <v>159</v>
      </c>
      <c r="H46" s="2">
        <v>6170000.0</v>
      </c>
      <c r="I46" s="1">
        <v>30.0</v>
      </c>
      <c r="J46" s="9" t="s">
        <v>97</v>
      </c>
      <c r="K46" s="5">
        <v>46137.0</v>
      </c>
      <c r="L46" s="11" t="s">
        <v>100</v>
      </c>
      <c r="M46" s="11"/>
      <c r="N46" s="4" t="str">
        <f t="shared" si="1"/>
        <v>Andrea Pérez Contreras</v>
      </c>
      <c r="O46" s="6" t="str">
        <f t="shared" si="2"/>
        <v>13.008.833-3</v>
      </c>
      <c r="P46" s="6" t="str">
        <f t="shared" si="3"/>
        <v>Antofagasta - Antofagasta - Región de Antofagasta</v>
      </c>
      <c r="Q46" s="4" t="str">
        <f t="shared" si="4"/>
        <v>Inactivo</v>
      </c>
      <c r="R46" s="12" t="str">
        <f t="shared" si="5"/>
        <v>Riesgo Bajo</v>
      </c>
    </row>
    <row r="47">
      <c r="A47" s="1" t="s">
        <v>807</v>
      </c>
      <c r="B47" s="9" t="s">
        <v>809</v>
      </c>
      <c r="C47" s="9" t="s">
        <v>811</v>
      </c>
      <c r="D47" s="1" t="s">
        <v>813</v>
      </c>
      <c r="E47" s="1" t="s">
        <v>45</v>
      </c>
      <c r="F47" s="1" t="s">
        <v>45</v>
      </c>
      <c r="G47" s="1" t="s">
        <v>46</v>
      </c>
      <c r="H47" s="2">
        <v>8130000.0</v>
      </c>
      <c r="I47" s="1">
        <v>120.0</v>
      </c>
      <c r="J47" s="9" t="s">
        <v>20</v>
      </c>
      <c r="K47" s="5">
        <v>46140.0</v>
      </c>
      <c r="L47" s="11" t="s">
        <v>207</v>
      </c>
      <c r="M47" s="11"/>
      <c r="N47" s="4" t="str">
        <f t="shared" si="1"/>
        <v>Andrea Pérez López</v>
      </c>
      <c r="O47" s="6" t="str">
        <f t="shared" si="2"/>
        <v>18.580.834-7</v>
      </c>
      <c r="P47" s="6" t="str">
        <f t="shared" si="3"/>
        <v>Temuco - Temuco - Región de la Araucanía</v>
      </c>
      <c r="Q47" s="4" t="str">
        <f t="shared" si="4"/>
        <v>En Revisión</v>
      </c>
      <c r="R47" s="12" t="str">
        <f t="shared" si="5"/>
        <v>Riesgo Medio</v>
      </c>
    </row>
    <row r="48">
      <c r="A48" s="1" t="s">
        <v>826</v>
      </c>
      <c r="B48" s="9" t="s">
        <v>828</v>
      </c>
      <c r="C48" s="9" t="s">
        <v>830</v>
      </c>
      <c r="D48" s="1" t="s">
        <v>831</v>
      </c>
      <c r="E48" s="1" t="s">
        <v>158</v>
      </c>
      <c r="F48" s="1" t="s">
        <v>158</v>
      </c>
      <c r="G48" s="1" t="s">
        <v>159</v>
      </c>
      <c r="H48" s="2">
        <v>1.747E7</v>
      </c>
      <c r="I48" s="1">
        <v>0.0</v>
      </c>
      <c r="J48" s="9" t="s">
        <v>20</v>
      </c>
      <c r="K48" s="5">
        <v>46197.0</v>
      </c>
      <c r="L48" s="11" t="s">
        <v>100</v>
      </c>
      <c r="M48" s="11"/>
      <c r="N48" s="4" t="str">
        <f t="shared" si="1"/>
        <v>Andrea Rojas Fuentes</v>
      </c>
      <c r="O48" s="6" t="str">
        <f t="shared" si="2"/>
        <v>13019670-2</v>
      </c>
      <c r="P48" s="6" t="str">
        <f t="shared" si="3"/>
        <v>Antofagasta - Antofagasta - Región de Antofagasta</v>
      </c>
      <c r="Q48" s="4" t="str">
        <f t="shared" si="4"/>
        <v>En Revisión</v>
      </c>
      <c r="R48" s="12" t="str">
        <f t="shared" si="5"/>
        <v>Riesgo Medio</v>
      </c>
    </row>
    <row r="49">
      <c r="A49" s="1" t="s">
        <v>841</v>
      </c>
      <c r="B49" s="9" t="s">
        <v>842</v>
      </c>
      <c r="C49" s="9" t="s">
        <v>843</v>
      </c>
      <c r="D49" s="1" t="s">
        <v>845</v>
      </c>
      <c r="E49" s="1" t="s">
        <v>194</v>
      </c>
      <c r="F49" s="1" t="s">
        <v>62</v>
      </c>
      <c r="G49" s="1" t="s">
        <v>63</v>
      </c>
      <c r="H49" s="2">
        <v>3460000.0</v>
      </c>
      <c r="I49" s="1">
        <v>90.0</v>
      </c>
      <c r="J49" s="9" t="s">
        <v>20</v>
      </c>
      <c r="K49" s="5">
        <v>46065.0</v>
      </c>
      <c r="L49" s="11" t="s">
        <v>160</v>
      </c>
      <c r="M49" s="11"/>
      <c r="N49" s="4" t="str">
        <f t="shared" si="1"/>
        <v>Andrea Sepúlveda Espinoza</v>
      </c>
      <c r="O49" s="6" t="str">
        <f t="shared" si="2"/>
        <v>11.124.171-2</v>
      </c>
      <c r="P49" s="6" t="str">
        <f t="shared" si="3"/>
        <v>Las Condes - Santiago - Región Metropolitana</v>
      </c>
      <c r="Q49" s="4" t="str">
        <f t="shared" si="4"/>
        <v>En Revisión</v>
      </c>
      <c r="R49" s="12" t="str">
        <f t="shared" si="5"/>
        <v>Riesgo Medio</v>
      </c>
    </row>
    <row r="50">
      <c r="A50" s="1" t="s">
        <v>866</v>
      </c>
      <c r="B50" s="9" t="s">
        <v>868</v>
      </c>
      <c r="C50" s="9" t="s">
        <v>869</v>
      </c>
      <c r="D50" s="1" t="s">
        <v>845</v>
      </c>
      <c r="E50" s="1" t="s">
        <v>194</v>
      </c>
      <c r="F50" s="1" t="s">
        <v>62</v>
      </c>
      <c r="G50" s="1" t="s">
        <v>63</v>
      </c>
      <c r="H50" s="2">
        <v>1.704E7</v>
      </c>
      <c r="I50" s="1">
        <v>0.0</v>
      </c>
      <c r="J50" s="9" t="s">
        <v>28</v>
      </c>
      <c r="K50" s="5">
        <v>46192.0</v>
      </c>
      <c r="L50" s="11" t="s">
        <v>181</v>
      </c>
      <c r="M50" s="11"/>
      <c r="N50" s="4" t="str">
        <f t="shared" si="1"/>
        <v>Andrea Sepúlveda López</v>
      </c>
      <c r="O50" s="6" t="str">
        <f t="shared" si="2"/>
        <v>17191972-2</v>
      </c>
      <c r="P50" s="6" t="str">
        <f t="shared" si="3"/>
        <v>Las Condes - Santiago - Región Metropolitana</v>
      </c>
      <c r="Q50" s="4" t="str">
        <f t="shared" si="4"/>
        <v>Activo</v>
      </c>
      <c r="R50" s="12" t="str">
        <f t="shared" si="5"/>
        <v>Riesgo Bajo</v>
      </c>
    </row>
    <row r="51">
      <c r="A51" s="1" t="s">
        <v>884</v>
      </c>
      <c r="B51" s="9" t="s">
        <v>885</v>
      </c>
      <c r="C51" s="9" t="s">
        <v>886</v>
      </c>
      <c r="D51" s="1" t="s">
        <v>845</v>
      </c>
      <c r="E51" s="1" t="s">
        <v>72</v>
      </c>
      <c r="F51" s="1" t="s">
        <v>62</v>
      </c>
      <c r="G51" s="1" t="s">
        <v>63</v>
      </c>
      <c r="H51" s="2">
        <v>1.565E7</v>
      </c>
      <c r="I51" s="1">
        <v>30.0</v>
      </c>
      <c r="J51" s="9" t="s">
        <v>28</v>
      </c>
      <c r="K51" s="5">
        <v>46056.0</v>
      </c>
      <c r="L51" s="11" t="s">
        <v>199</v>
      </c>
      <c r="M51" s="11"/>
      <c r="N51" s="4" t="str">
        <f t="shared" si="1"/>
        <v>Andrea Sepúlveda Valenzuela</v>
      </c>
      <c r="O51" s="6" t="str">
        <f t="shared" si="2"/>
        <v>16494746-5</v>
      </c>
      <c r="P51" s="6" t="str">
        <f t="shared" si="3"/>
        <v>Providencia - Santiago - Región Metropolitana</v>
      </c>
      <c r="Q51" s="4" t="str">
        <f t="shared" si="4"/>
        <v>Activo</v>
      </c>
      <c r="R51" s="12" t="str">
        <f t="shared" si="5"/>
        <v>Riesgo Bajo</v>
      </c>
    </row>
    <row r="52">
      <c r="A52" s="1" t="s">
        <v>900</v>
      </c>
      <c r="B52" s="9" t="s">
        <v>902</v>
      </c>
      <c r="C52" s="9" t="s">
        <v>903</v>
      </c>
      <c r="D52" s="1" t="s">
        <v>32</v>
      </c>
      <c r="E52" s="1" t="s">
        <v>18</v>
      </c>
      <c r="F52" s="1" t="s">
        <v>18</v>
      </c>
      <c r="G52" s="1" t="s">
        <v>19</v>
      </c>
      <c r="H52" s="2">
        <v>8850000.0</v>
      </c>
      <c r="I52" s="1">
        <v>60.0</v>
      </c>
      <c r="J52" s="9" t="s">
        <v>20</v>
      </c>
      <c r="K52" s="5">
        <v>46027.0</v>
      </c>
      <c r="L52" s="11" t="s">
        <v>207</v>
      </c>
      <c r="M52" s="11"/>
      <c r="N52" s="4" t="str">
        <f t="shared" si="1"/>
        <v>Andrea Silva Díaz</v>
      </c>
      <c r="O52" s="6" t="str">
        <f t="shared" si="2"/>
        <v>20.992.389-9</v>
      </c>
      <c r="P52" s="6" t="str">
        <f t="shared" si="3"/>
        <v>La Serena - La Serena - Región de Coquimbo</v>
      </c>
      <c r="Q52" s="4" t="str">
        <f t="shared" si="4"/>
        <v>En Revisión</v>
      </c>
      <c r="R52" s="12" t="str">
        <f t="shared" si="5"/>
        <v>Riesgo Medio</v>
      </c>
    </row>
    <row r="53">
      <c r="A53" s="1" t="s">
        <v>29</v>
      </c>
      <c r="B53" s="9" t="s">
        <v>30</v>
      </c>
      <c r="C53" s="9" t="s">
        <v>31</v>
      </c>
      <c r="D53" s="1" t="s">
        <v>32</v>
      </c>
      <c r="E53" s="1" t="s">
        <v>33</v>
      </c>
      <c r="F53" s="1" t="s">
        <v>33</v>
      </c>
      <c r="G53" s="1" t="s">
        <v>34</v>
      </c>
      <c r="H53" s="2">
        <v>7980000.0</v>
      </c>
      <c r="I53" s="1">
        <v>0.0</v>
      </c>
      <c r="J53" s="9" t="s">
        <v>28</v>
      </c>
      <c r="K53" s="5">
        <v>46194.0</v>
      </c>
      <c r="L53" s="11" t="s">
        <v>160</v>
      </c>
      <c r="M53" s="11"/>
      <c r="N53" s="4" t="str">
        <f t="shared" si="1"/>
        <v>Andrea Silva Morales</v>
      </c>
      <c r="O53" s="6" t="str">
        <f t="shared" si="2"/>
        <v>14.402.092-1</v>
      </c>
      <c r="P53" s="6" t="str">
        <f t="shared" si="3"/>
        <v>Puerto Montt - Puerto Montt - Región de Los Lagos</v>
      </c>
      <c r="Q53" s="4" t="str">
        <f t="shared" si="4"/>
        <v>Activo</v>
      </c>
      <c r="R53" s="12" t="str">
        <f t="shared" si="5"/>
        <v>Riesgo Bajo</v>
      </c>
    </row>
    <row r="54">
      <c r="A54" s="1" t="s">
        <v>933</v>
      </c>
      <c r="B54" s="9" t="s">
        <v>935</v>
      </c>
      <c r="C54" s="9" t="s">
        <v>936</v>
      </c>
      <c r="D54" s="1" t="s">
        <v>937</v>
      </c>
      <c r="E54" s="1" t="s">
        <v>109</v>
      </c>
      <c r="F54" s="1" t="s">
        <v>62</v>
      </c>
      <c r="G54" s="1" t="s">
        <v>63</v>
      </c>
      <c r="H54" s="2">
        <v>1.221E7</v>
      </c>
      <c r="I54" s="1">
        <v>0.0</v>
      </c>
      <c r="J54" s="9" t="s">
        <v>28</v>
      </c>
      <c r="K54" s="5">
        <v>46134.0</v>
      </c>
      <c r="L54" s="11" t="s">
        <v>100</v>
      </c>
      <c r="M54" s="11"/>
      <c r="N54" s="4" t="str">
        <f t="shared" si="1"/>
        <v>Andrea Silva Silva</v>
      </c>
      <c r="O54" s="6" t="str">
        <f t="shared" si="2"/>
        <v>19.349.246-8</v>
      </c>
      <c r="P54" s="6" t="str">
        <f t="shared" si="3"/>
        <v>Ñuñoa - Santiago - Región Metropolitana</v>
      </c>
      <c r="Q54" s="4" t="str">
        <f t="shared" si="4"/>
        <v>Activo</v>
      </c>
      <c r="R54" s="12" t="str">
        <f t="shared" si="5"/>
        <v>Riesgo Bajo</v>
      </c>
    </row>
    <row r="55">
      <c r="A55" s="1" t="s">
        <v>951</v>
      </c>
      <c r="B55" s="9" t="s">
        <v>953</v>
      </c>
      <c r="C55" s="9" t="s">
        <v>954</v>
      </c>
      <c r="D55" s="1" t="s">
        <v>956</v>
      </c>
      <c r="E55" s="1" t="s">
        <v>61</v>
      </c>
      <c r="F55" s="1" t="s">
        <v>62</v>
      </c>
      <c r="G55" s="1" t="s">
        <v>63</v>
      </c>
      <c r="H55" s="2">
        <v>1.055E7</v>
      </c>
      <c r="I55" s="1">
        <v>30.0</v>
      </c>
      <c r="J55" s="9" t="s">
        <v>28</v>
      </c>
      <c r="K55" s="5">
        <v>46047.0</v>
      </c>
      <c r="L55" s="11" t="s">
        <v>160</v>
      </c>
      <c r="M55" s="11"/>
      <c r="N55" s="4" t="str">
        <f t="shared" si="1"/>
        <v>Andrea Soto Rodríguez</v>
      </c>
      <c r="O55" s="6" t="str">
        <f t="shared" si="2"/>
        <v>17.550.135-7</v>
      </c>
      <c r="P55" s="6" t="str">
        <f t="shared" si="3"/>
        <v>Santiago Centro - Santiago - Región Metropolitana</v>
      </c>
      <c r="Q55" s="4" t="str">
        <f t="shared" si="4"/>
        <v>Activo</v>
      </c>
      <c r="R55" s="12" t="str">
        <f t="shared" si="5"/>
        <v>Riesgo Bajo</v>
      </c>
    </row>
    <row r="56">
      <c r="A56" s="1" t="s">
        <v>971</v>
      </c>
      <c r="B56" s="9" t="s">
        <v>972</v>
      </c>
      <c r="C56" s="9" t="s">
        <v>974</v>
      </c>
      <c r="D56" s="1" t="s">
        <v>975</v>
      </c>
      <c r="E56" s="1" t="s">
        <v>33</v>
      </c>
      <c r="F56" s="1" t="s">
        <v>33</v>
      </c>
      <c r="G56" s="1" t="s">
        <v>34</v>
      </c>
      <c r="H56" s="2">
        <v>1.248E7</v>
      </c>
      <c r="I56" s="1">
        <v>0.0</v>
      </c>
      <c r="J56" s="9" t="s">
        <v>20</v>
      </c>
      <c r="K56" s="5">
        <v>46029.0</v>
      </c>
      <c r="L56" s="11" t="s">
        <v>160</v>
      </c>
      <c r="M56" s="11"/>
      <c r="N56" s="4" t="str">
        <f t="shared" si="1"/>
        <v>Andrea Tapia Pérez</v>
      </c>
      <c r="O56" s="6" t="str">
        <f t="shared" si="2"/>
        <v>13.913.938-0</v>
      </c>
      <c r="P56" s="6" t="str">
        <f t="shared" si="3"/>
        <v>Puerto Montt - Puerto Montt - Región de Los Lagos</v>
      </c>
      <c r="Q56" s="4" t="str">
        <f t="shared" si="4"/>
        <v>En Revisión</v>
      </c>
      <c r="R56" s="12" t="str">
        <f t="shared" si="5"/>
        <v>Riesgo Medio</v>
      </c>
    </row>
    <row r="57">
      <c r="A57" s="1" t="s">
        <v>991</v>
      </c>
      <c r="B57" s="9" t="s">
        <v>993</v>
      </c>
      <c r="C57" s="9" t="s">
        <v>994</v>
      </c>
      <c r="D57" s="1" t="s">
        <v>995</v>
      </c>
      <c r="E57" s="1" t="s">
        <v>33</v>
      </c>
      <c r="F57" s="1" t="s">
        <v>33</v>
      </c>
      <c r="G57" s="1" t="s">
        <v>34</v>
      </c>
      <c r="H57" s="2">
        <v>2020000.0</v>
      </c>
      <c r="I57" s="1">
        <v>30.0</v>
      </c>
      <c r="J57" s="9" t="s">
        <v>28</v>
      </c>
      <c r="K57" s="5">
        <v>46069.0</v>
      </c>
      <c r="L57" s="11" t="s">
        <v>181</v>
      </c>
      <c r="M57" s="11"/>
      <c r="N57" s="4" t="str">
        <f t="shared" si="1"/>
        <v>Andrea Vergara López</v>
      </c>
      <c r="O57" s="6" t="str">
        <f t="shared" si="2"/>
        <v>17035538-0</v>
      </c>
      <c r="P57" s="6" t="str">
        <f t="shared" si="3"/>
        <v>Puerto Montt - Puerto Montt - Región de Los Lagos</v>
      </c>
      <c r="Q57" s="4" t="str">
        <f t="shared" si="4"/>
        <v>Activo</v>
      </c>
      <c r="R57" s="12" t="str">
        <f t="shared" si="5"/>
        <v>Riesgo Bajo</v>
      </c>
    </row>
    <row r="58">
      <c r="A58" s="1" t="s">
        <v>1010</v>
      </c>
      <c r="B58" s="9" t="s">
        <v>1012</v>
      </c>
      <c r="C58" s="9" t="s">
        <v>1013</v>
      </c>
      <c r="D58" s="1" t="s">
        <v>1014</v>
      </c>
      <c r="E58" s="1" t="s">
        <v>72</v>
      </c>
      <c r="F58" s="1" t="s">
        <v>62</v>
      </c>
      <c r="G58" s="1" t="s">
        <v>63</v>
      </c>
      <c r="H58" s="2">
        <v>2.025E7</v>
      </c>
      <c r="I58" s="1">
        <v>45.0</v>
      </c>
      <c r="J58" s="9" t="s">
        <v>20</v>
      </c>
      <c r="K58" s="5">
        <v>46030.0</v>
      </c>
      <c r="L58" s="11" t="s">
        <v>160</v>
      </c>
      <c r="M58" s="11"/>
      <c r="N58" s="4" t="str">
        <f t="shared" si="1"/>
        <v>Beatriz Araya Fuentes</v>
      </c>
      <c r="O58" s="6" t="str">
        <f t="shared" si="2"/>
        <v>15.447.490-9</v>
      </c>
      <c r="P58" s="6" t="str">
        <f t="shared" si="3"/>
        <v>Providencia - Santiago - Región Metropolitana</v>
      </c>
      <c r="Q58" s="4" t="str">
        <f t="shared" si="4"/>
        <v>En Revisión</v>
      </c>
      <c r="R58" s="12" t="str">
        <f t="shared" si="5"/>
        <v>Riesgo Medio</v>
      </c>
    </row>
    <row r="59">
      <c r="A59" s="1" t="s">
        <v>1029</v>
      </c>
      <c r="B59" s="9" t="s">
        <v>1030</v>
      </c>
      <c r="C59" s="9" t="s">
        <v>1032</v>
      </c>
      <c r="D59" s="1" t="s">
        <v>1014</v>
      </c>
      <c r="E59" s="1" t="s">
        <v>118</v>
      </c>
      <c r="F59" s="1" t="s">
        <v>62</v>
      </c>
      <c r="G59" s="1" t="s">
        <v>63</v>
      </c>
      <c r="H59" s="2">
        <v>2.154E7</v>
      </c>
      <c r="I59" s="1">
        <v>90.0</v>
      </c>
      <c r="J59" s="9" t="s">
        <v>28</v>
      </c>
      <c r="K59" s="5">
        <v>46089.0</v>
      </c>
      <c r="L59" s="11" t="s">
        <v>160</v>
      </c>
      <c r="M59" s="11"/>
      <c r="N59" s="4" t="str">
        <f t="shared" si="1"/>
        <v>Beatriz Araya Valenzuela</v>
      </c>
      <c r="O59" s="6" t="str">
        <f t="shared" si="2"/>
        <v>19.079.232-2</v>
      </c>
      <c r="P59" s="6" t="str">
        <f t="shared" si="3"/>
        <v>Maipú - Santiago - Región Metropolitana</v>
      </c>
      <c r="Q59" s="4" t="str">
        <f t="shared" si="4"/>
        <v>Activo</v>
      </c>
      <c r="R59" s="12" t="str">
        <f t="shared" si="5"/>
        <v>Riesgo Alto</v>
      </c>
    </row>
    <row r="60">
      <c r="A60" s="1" t="s">
        <v>1045</v>
      </c>
      <c r="B60" s="9" t="s">
        <v>1048</v>
      </c>
      <c r="C60" s="9" t="s">
        <v>1032</v>
      </c>
      <c r="D60" s="1" t="s">
        <v>1049</v>
      </c>
      <c r="E60" s="1" t="s">
        <v>56</v>
      </c>
      <c r="F60" s="1" t="s">
        <v>39</v>
      </c>
      <c r="G60" s="1" t="s">
        <v>40</v>
      </c>
      <c r="H60" s="2">
        <v>1.089E7</v>
      </c>
      <c r="I60" s="1">
        <v>90.0</v>
      </c>
      <c r="J60" s="9" t="s">
        <v>20</v>
      </c>
      <c r="K60" s="5">
        <v>46140.0</v>
      </c>
      <c r="L60" s="11" t="s">
        <v>207</v>
      </c>
      <c r="M60" s="11"/>
      <c r="N60" s="4" t="str">
        <f t="shared" si="1"/>
        <v>Beatriz Araya Valenzuela</v>
      </c>
      <c r="O60" s="6" t="str">
        <f t="shared" si="2"/>
        <v>21.272.458-K</v>
      </c>
      <c r="P60" s="6" t="str">
        <f t="shared" si="3"/>
        <v>Talcahuano - Concepción - Región del Biobío</v>
      </c>
      <c r="Q60" s="4" t="str">
        <f t="shared" si="4"/>
        <v>En Revisión</v>
      </c>
      <c r="R60" s="12" t="str">
        <f t="shared" si="5"/>
        <v>Riesgo Medio</v>
      </c>
    </row>
    <row r="61">
      <c r="A61" s="1" t="s">
        <v>1056</v>
      </c>
      <c r="B61" s="9" t="s">
        <v>1058</v>
      </c>
      <c r="C61" s="9" t="s">
        <v>1059</v>
      </c>
      <c r="D61" s="1" t="s">
        <v>1060</v>
      </c>
      <c r="E61" s="1" t="s">
        <v>39</v>
      </c>
      <c r="F61" s="1" t="s">
        <v>39</v>
      </c>
      <c r="G61" s="1" t="s">
        <v>40</v>
      </c>
      <c r="H61" s="2">
        <v>1.763E7</v>
      </c>
      <c r="I61" s="1">
        <v>90.0</v>
      </c>
      <c r="J61" s="9" t="s">
        <v>20</v>
      </c>
      <c r="K61" s="5">
        <v>46068.0</v>
      </c>
      <c r="L61" s="11" t="s">
        <v>160</v>
      </c>
      <c r="M61" s="11"/>
      <c r="N61" s="4" t="str">
        <f t="shared" si="1"/>
        <v>Beatriz Contreras González</v>
      </c>
      <c r="O61" s="6" t="str">
        <f t="shared" si="2"/>
        <v>20539681-6</v>
      </c>
      <c r="P61" s="6" t="str">
        <f t="shared" si="3"/>
        <v>Concepción - Concepción - Región del Biobío</v>
      </c>
      <c r="Q61" s="4" t="str">
        <f t="shared" si="4"/>
        <v>En Revisión</v>
      </c>
      <c r="R61" s="12" t="str">
        <f t="shared" si="5"/>
        <v>Riesgo Medio</v>
      </c>
    </row>
    <row r="62">
      <c r="A62" s="1" t="s">
        <v>1074</v>
      </c>
      <c r="B62" s="9" t="s">
        <v>1075</v>
      </c>
      <c r="C62" s="9" t="s">
        <v>1077</v>
      </c>
      <c r="D62" s="1" t="s">
        <v>1078</v>
      </c>
      <c r="E62" s="1" t="s">
        <v>61</v>
      </c>
      <c r="F62" s="1" t="s">
        <v>62</v>
      </c>
      <c r="G62" s="1" t="s">
        <v>63</v>
      </c>
      <c r="H62" s="2">
        <v>1.461E7</v>
      </c>
      <c r="I62" s="1">
        <v>90.0</v>
      </c>
      <c r="J62" s="9" t="s">
        <v>20</v>
      </c>
      <c r="K62" s="5">
        <v>46056.0</v>
      </c>
      <c r="L62" s="11" t="s">
        <v>207</v>
      </c>
      <c r="M62" s="11"/>
      <c r="N62" s="4" t="str">
        <f t="shared" si="1"/>
        <v>Beatriz Espinoza Pérez</v>
      </c>
      <c r="O62" s="6" t="str">
        <f t="shared" si="2"/>
        <v>17549161-0</v>
      </c>
      <c r="P62" s="6" t="str">
        <f t="shared" si="3"/>
        <v>Santiago Centro - Santiago - Región Metropolitana</v>
      </c>
      <c r="Q62" s="4" t="str">
        <f t="shared" si="4"/>
        <v>En Revisión</v>
      </c>
      <c r="R62" s="12" t="str">
        <f t="shared" si="5"/>
        <v>Riesgo Medio</v>
      </c>
    </row>
    <row r="63">
      <c r="A63" s="1" t="s">
        <v>986</v>
      </c>
      <c r="B63" s="9" t="s">
        <v>987</v>
      </c>
      <c r="C63" s="9" t="s">
        <v>1090</v>
      </c>
      <c r="D63" s="1" t="s">
        <v>989</v>
      </c>
      <c r="E63" s="1" t="s">
        <v>72</v>
      </c>
      <c r="F63" s="1" t="s">
        <v>62</v>
      </c>
      <c r="G63" s="1" t="s">
        <v>63</v>
      </c>
      <c r="H63" s="2">
        <v>9450000.0</v>
      </c>
      <c r="I63" s="1">
        <v>0.0</v>
      </c>
      <c r="J63" s="9" t="s">
        <v>20</v>
      </c>
      <c r="K63" s="5">
        <v>46072.0</v>
      </c>
      <c r="L63" s="11" t="s">
        <v>100</v>
      </c>
      <c r="M63" s="11"/>
      <c r="N63" s="4" t="str">
        <f t="shared" si="1"/>
        <v>Beatriz Espinoza Silva</v>
      </c>
      <c r="O63" s="6" t="str">
        <f t="shared" si="2"/>
        <v>19.580.611-4</v>
      </c>
      <c r="P63" s="6" t="str">
        <f t="shared" si="3"/>
        <v>Providencia - Santiago - Región Metropolitana</v>
      </c>
      <c r="Q63" s="4" t="str">
        <f t="shared" si="4"/>
        <v>En Revisión</v>
      </c>
      <c r="R63" s="12" t="str">
        <f t="shared" si="5"/>
        <v>Riesgo Medio</v>
      </c>
    </row>
    <row r="64">
      <c r="A64" s="1" t="s">
        <v>1103</v>
      </c>
      <c r="B64" s="9" t="s">
        <v>1104</v>
      </c>
      <c r="C64" s="9" t="s">
        <v>1105</v>
      </c>
      <c r="D64" s="1" t="s">
        <v>1106</v>
      </c>
      <c r="E64" s="1" t="s">
        <v>45</v>
      </c>
      <c r="F64" s="1" t="s">
        <v>45</v>
      </c>
      <c r="G64" s="1" t="s">
        <v>46</v>
      </c>
      <c r="H64" s="2">
        <v>2.127E7</v>
      </c>
      <c r="I64" s="1">
        <v>30.0</v>
      </c>
      <c r="J64" s="9" t="s">
        <v>20</v>
      </c>
      <c r="K64" s="5">
        <v>46143.0</v>
      </c>
      <c r="L64" s="11" t="s">
        <v>207</v>
      </c>
      <c r="M64" s="11"/>
      <c r="N64" s="4" t="str">
        <f t="shared" si="1"/>
        <v>Beatriz Fuentes Araya</v>
      </c>
      <c r="O64" s="6" t="str">
        <f t="shared" si="2"/>
        <v>15701172-8</v>
      </c>
      <c r="P64" s="6" t="str">
        <f t="shared" si="3"/>
        <v>Temuco - Temuco - Región de la Araucanía</v>
      </c>
      <c r="Q64" s="4" t="str">
        <f t="shared" si="4"/>
        <v>En Revisión</v>
      </c>
      <c r="R64" s="12" t="str">
        <f t="shared" si="5"/>
        <v>Riesgo Medio</v>
      </c>
    </row>
    <row r="65">
      <c r="A65" s="1" t="s">
        <v>1116</v>
      </c>
      <c r="B65" s="9" t="s">
        <v>1118</v>
      </c>
      <c r="C65" s="9" t="s">
        <v>1119</v>
      </c>
      <c r="D65" s="1" t="s">
        <v>1121</v>
      </c>
      <c r="E65" s="1" t="s">
        <v>39</v>
      </c>
      <c r="F65" s="1" t="s">
        <v>39</v>
      </c>
      <c r="G65" s="1" t="s">
        <v>40</v>
      </c>
      <c r="H65" s="2">
        <v>1.942E7</v>
      </c>
      <c r="I65" s="1">
        <v>15.0</v>
      </c>
      <c r="J65" s="9" t="s">
        <v>20</v>
      </c>
      <c r="K65" s="5">
        <v>46079.0</v>
      </c>
      <c r="L65" s="11" t="s">
        <v>207</v>
      </c>
      <c r="M65" s="11"/>
      <c r="N65" s="4" t="str">
        <f t="shared" si="1"/>
        <v>Beatriz Fuentes Espinoza</v>
      </c>
      <c r="O65" s="6" t="str">
        <f t="shared" si="2"/>
        <v>18.456.416-2</v>
      </c>
      <c r="P65" s="6" t="str">
        <f t="shared" si="3"/>
        <v>Concepción - Concepción - Región del Biobío</v>
      </c>
      <c r="Q65" s="4" t="str">
        <f t="shared" si="4"/>
        <v>En Revisión</v>
      </c>
      <c r="R65" s="12" t="str">
        <f t="shared" si="5"/>
        <v>Riesgo Medio</v>
      </c>
    </row>
    <row r="66">
      <c r="A66" s="1" t="s">
        <v>1133</v>
      </c>
      <c r="B66" s="9" t="s">
        <v>1135</v>
      </c>
      <c r="C66" s="9" t="s">
        <v>1136</v>
      </c>
      <c r="D66" s="1" t="s">
        <v>1138</v>
      </c>
      <c r="E66" s="1" t="s">
        <v>33</v>
      </c>
      <c r="F66" s="1" t="s">
        <v>33</v>
      </c>
      <c r="G66" s="1" t="s">
        <v>34</v>
      </c>
      <c r="H66" s="2">
        <v>6230000.0</v>
      </c>
      <c r="I66" s="1">
        <v>90.0</v>
      </c>
      <c r="J66" s="9" t="s">
        <v>28</v>
      </c>
      <c r="K66" s="5">
        <v>46133.0</v>
      </c>
      <c r="L66" s="11" t="s">
        <v>100</v>
      </c>
      <c r="M66" s="11"/>
      <c r="N66" s="4" t="str">
        <f t="shared" si="1"/>
        <v>Beatriz Fuentes Rojas</v>
      </c>
      <c r="O66" s="6" t="str">
        <f t="shared" si="2"/>
        <v>17.180.304-4</v>
      </c>
      <c r="P66" s="6" t="str">
        <f t="shared" si="3"/>
        <v>Puerto Montt - Puerto Montt - Región de Los Lagos</v>
      </c>
      <c r="Q66" s="4" t="str">
        <f t="shared" si="4"/>
        <v>Activo</v>
      </c>
      <c r="R66" s="12" t="str">
        <f t="shared" si="5"/>
        <v>Riesgo Alto</v>
      </c>
    </row>
    <row r="67">
      <c r="A67" s="1" t="s">
        <v>1142</v>
      </c>
      <c r="B67" s="9" t="s">
        <v>1144</v>
      </c>
      <c r="C67" s="9" t="s">
        <v>1145</v>
      </c>
      <c r="D67" s="1" t="s">
        <v>1146</v>
      </c>
      <c r="E67" s="1" t="s">
        <v>194</v>
      </c>
      <c r="F67" s="1" t="s">
        <v>62</v>
      </c>
      <c r="G67" s="1" t="s">
        <v>63</v>
      </c>
      <c r="H67" s="2">
        <v>9790000.0</v>
      </c>
      <c r="I67" s="1">
        <v>120.0</v>
      </c>
      <c r="J67" s="9" t="s">
        <v>97</v>
      </c>
      <c r="K67" s="5">
        <v>46066.0</v>
      </c>
      <c r="L67" s="11" t="s">
        <v>181</v>
      </c>
      <c r="M67" s="11"/>
      <c r="N67" s="4" t="str">
        <f t="shared" si="1"/>
        <v>Beatriz González Sepúlveda</v>
      </c>
      <c r="O67" s="6" t="str">
        <f t="shared" si="2"/>
        <v>19.083.668-6</v>
      </c>
      <c r="P67" s="6" t="str">
        <f t="shared" si="3"/>
        <v>Las Condes - Santiago - Región Metropolitana</v>
      </c>
      <c r="Q67" s="4" t="str">
        <f t="shared" si="4"/>
        <v>Inactivo</v>
      </c>
      <c r="R67" s="12" t="str">
        <f t="shared" si="5"/>
        <v>Riesgo Medio</v>
      </c>
    </row>
    <row r="68">
      <c r="A68" s="1" t="s">
        <v>1159</v>
      </c>
      <c r="B68" s="9" t="s">
        <v>1161</v>
      </c>
      <c r="C68" s="9" t="s">
        <v>1162</v>
      </c>
      <c r="D68" s="1" t="s">
        <v>1163</v>
      </c>
      <c r="E68" s="1" t="s">
        <v>72</v>
      </c>
      <c r="F68" s="1" t="s">
        <v>62</v>
      </c>
      <c r="G68" s="1" t="s">
        <v>63</v>
      </c>
      <c r="H68" s="2">
        <v>1.1E7</v>
      </c>
      <c r="I68" s="1">
        <v>90.0</v>
      </c>
      <c r="J68" s="9" t="s">
        <v>20</v>
      </c>
      <c r="K68" s="5">
        <v>46046.0</v>
      </c>
      <c r="L68" s="11" t="s">
        <v>100</v>
      </c>
      <c r="M68" s="11"/>
      <c r="N68" s="4" t="str">
        <f t="shared" si="1"/>
        <v>Beatriz Muñoz Díaz</v>
      </c>
      <c r="O68" s="6" t="str">
        <f t="shared" si="2"/>
        <v>19.714.207-1</v>
      </c>
      <c r="P68" s="6" t="str">
        <f t="shared" si="3"/>
        <v>Providencia - Santiago - Región Metropolitana</v>
      </c>
      <c r="Q68" s="4" t="str">
        <f t="shared" si="4"/>
        <v>En Revisión</v>
      </c>
      <c r="R68" s="12" t="str">
        <f t="shared" si="5"/>
        <v>Riesgo Medio</v>
      </c>
    </row>
    <row r="69">
      <c r="A69" s="1" t="s">
        <v>1177</v>
      </c>
      <c r="B69" s="9" t="s">
        <v>1178</v>
      </c>
      <c r="C69" s="9" t="s">
        <v>1162</v>
      </c>
      <c r="D69" s="1" t="s">
        <v>1179</v>
      </c>
      <c r="E69" s="1" t="s">
        <v>39</v>
      </c>
      <c r="F69" s="1" t="s">
        <v>39</v>
      </c>
      <c r="G69" s="1" t="s">
        <v>40</v>
      </c>
      <c r="H69" s="2">
        <v>8210000.0</v>
      </c>
      <c r="I69" s="1">
        <v>0.0</v>
      </c>
      <c r="J69" s="9" t="s">
        <v>97</v>
      </c>
      <c r="K69" s="5">
        <v>46058.0</v>
      </c>
      <c r="L69" s="11" t="s">
        <v>207</v>
      </c>
      <c r="M69" s="11"/>
      <c r="N69" s="4" t="str">
        <f t="shared" si="1"/>
        <v>Beatriz Muñoz Díaz</v>
      </c>
      <c r="O69" s="6" t="str">
        <f t="shared" si="2"/>
        <v>15800408-5</v>
      </c>
      <c r="P69" s="6" t="str">
        <f t="shared" si="3"/>
        <v>Concepción - Concepción - Región del Biobío</v>
      </c>
      <c r="Q69" s="4" t="str">
        <f t="shared" si="4"/>
        <v>Inactivo</v>
      </c>
      <c r="R69" s="12" t="str">
        <f t="shared" si="5"/>
        <v>Riesgo Bajo</v>
      </c>
    </row>
    <row r="70">
      <c r="A70" s="1" t="s">
        <v>1188</v>
      </c>
      <c r="B70" s="9" t="s">
        <v>1190</v>
      </c>
      <c r="C70" s="9" t="s">
        <v>1192</v>
      </c>
      <c r="D70" s="1" t="s">
        <v>1194</v>
      </c>
      <c r="E70" s="1" t="s">
        <v>194</v>
      </c>
      <c r="F70" s="1" t="s">
        <v>62</v>
      </c>
      <c r="G70" s="1" t="s">
        <v>63</v>
      </c>
      <c r="H70" s="2">
        <v>1.482E7</v>
      </c>
      <c r="I70" s="1">
        <v>45.0</v>
      </c>
      <c r="J70" s="9" t="s">
        <v>28</v>
      </c>
      <c r="K70" s="5">
        <v>46034.0</v>
      </c>
      <c r="L70" s="11" t="s">
        <v>160</v>
      </c>
      <c r="M70" s="11"/>
      <c r="N70" s="4" t="str">
        <f t="shared" si="1"/>
        <v>Beatriz Pérez Fuentes</v>
      </c>
      <c r="O70" s="6" t="str">
        <f t="shared" si="2"/>
        <v>21.961.385-3</v>
      </c>
      <c r="P70" s="6" t="str">
        <f t="shared" si="3"/>
        <v>Las Condes - Santiago - Región Metropolitana</v>
      </c>
      <c r="Q70" s="4" t="str">
        <f t="shared" si="4"/>
        <v>Activo</v>
      </c>
      <c r="R70" s="12" t="str">
        <f t="shared" si="5"/>
        <v>Riesgo Medio</v>
      </c>
    </row>
    <row r="71">
      <c r="A71" s="1" t="s">
        <v>1204</v>
      </c>
      <c r="B71" s="9" t="s">
        <v>1205</v>
      </c>
      <c r="C71" s="9" t="s">
        <v>1206</v>
      </c>
      <c r="D71" s="1" t="s">
        <v>1207</v>
      </c>
      <c r="E71" s="1" t="s">
        <v>33</v>
      </c>
      <c r="F71" s="1" t="s">
        <v>33</v>
      </c>
      <c r="G71" s="1" t="s">
        <v>34</v>
      </c>
      <c r="H71" s="2">
        <v>1.353E7</v>
      </c>
      <c r="I71" s="1">
        <v>0.0</v>
      </c>
      <c r="J71" s="9" t="s">
        <v>28</v>
      </c>
      <c r="K71" s="5">
        <v>46195.0</v>
      </c>
      <c r="L71" s="11" t="s">
        <v>160</v>
      </c>
      <c r="M71" s="11"/>
      <c r="N71" s="4" t="str">
        <f t="shared" si="1"/>
        <v>Beatriz Pérez Silva</v>
      </c>
      <c r="O71" s="6" t="str">
        <f t="shared" si="2"/>
        <v>16449603-4</v>
      </c>
      <c r="P71" s="6" t="str">
        <f t="shared" si="3"/>
        <v>Puerto Montt - Puerto Montt - Región de Los Lagos</v>
      </c>
      <c r="Q71" s="4" t="str">
        <f t="shared" si="4"/>
        <v>Activo</v>
      </c>
      <c r="R71" s="12" t="str">
        <f t="shared" si="5"/>
        <v>Riesgo Bajo</v>
      </c>
    </row>
    <row r="72">
      <c r="A72" s="1" t="s">
        <v>1222</v>
      </c>
      <c r="B72" s="9" t="s">
        <v>1223</v>
      </c>
      <c r="C72" s="9" t="s">
        <v>1224</v>
      </c>
      <c r="D72" s="1" t="s">
        <v>1225</v>
      </c>
      <c r="E72" s="1" t="s">
        <v>45</v>
      </c>
      <c r="F72" s="1" t="s">
        <v>45</v>
      </c>
      <c r="G72" s="1" t="s">
        <v>46</v>
      </c>
      <c r="H72" s="2">
        <v>1.865E7</v>
      </c>
      <c r="I72" s="1">
        <v>15.0</v>
      </c>
      <c r="J72" s="9" t="s">
        <v>97</v>
      </c>
      <c r="K72" s="5">
        <v>46198.0</v>
      </c>
      <c r="L72" s="11" t="s">
        <v>181</v>
      </c>
      <c r="M72" s="11"/>
      <c r="N72" s="4" t="str">
        <f t="shared" si="1"/>
        <v>Beatriz Rojas Valenzuela</v>
      </c>
      <c r="O72" s="6" t="str">
        <f t="shared" si="2"/>
        <v>22.335.089-8</v>
      </c>
      <c r="P72" s="6" t="str">
        <f t="shared" si="3"/>
        <v>Temuco - Temuco - Región de la Araucanía</v>
      </c>
      <c r="Q72" s="4" t="str">
        <f t="shared" si="4"/>
        <v>Inactivo</v>
      </c>
      <c r="R72" s="12" t="str">
        <f t="shared" si="5"/>
        <v>Riesgo Bajo</v>
      </c>
    </row>
    <row r="73">
      <c r="A73" s="1" t="s">
        <v>373</v>
      </c>
      <c r="B73" s="9" t="s">
        <v>374</v>
      </c>
      <c r="C73" s="9" t="s">
        <v>375</v>
      </c>
      <c r="D73" s="1" t="s">
        <v>377</v>
      </c>
      <c r="E73" s="1" t="s">
        <v>158</v>
      </c>
      <c r="F73" s="1" t="s">
        <v>158</v>
      </c>
      <c r="G73" s="1" t="s">
        <v>159</v>
      </c>
      <c r="H73" s="2">
        <v>6220000.0</v>
      </c>
      <c r="I73" s="1">
        <v>0.0</v>
      </c>
      <c r="J73" s="9" t="s">
        <v>20</v>
      </c>
      <c r="K73" s="5">
        <v>46092.0</v>
      </c>
      <c r="L73" s="11" t="s">
        <v>160</v>
      </c>
      <c r="M73" s="11"/>
      <c r="N73" s="4" t="str">
        <f t="shared" si="1"/>
        <v>Beatriz Sepúlveda Morales</v>
      </c>
      <c r="O73" s="6" t="str">
        <f t="shared" si="2"/>
        <v>21.122.939-8</v>
      </c>
      <c r="P73" s="6" t="str">
        <f t="shared" si="3"/>
        <v>Antofagasta - Antofagasta - Región de Antofagasta</v>
      </c>
      <c r="Q73" s="4" t="str">
        <f t="shared" si="4"/>
        <v>En Revisión</v>
      </c>
      <c r="R73" s="12" t="str">
        <f t="shared" si="5"/>
        <v>Riesgo Medio</v>
      </c>
    </row>
    <row r="74">
      <c r="A74" s="1" t="s">
        <v>1245</v>
      </c>
      <c r="B74" s="9" t="s">
        <v>1246</v>
      </c>
      <c r="C74" s="9" t="s">
        <v>1247</v>
      </c>
      <c r="D74" s="1" t="s">
        <v>1248</v>
      </c>
      <c r="E74" s="1" t="s">
        <v>18</v>
      </c>
      <c r="F74" s="1" t="s">
        <v>18</v>
      </c>
      <c r="G74" s="1" t="s">
        <v>19</v>
      </c>
      <c r="H74" s="2">
        <v>1.531E7</v>
      </c>
      <c r="I74" s="1">
        <v>0.0</v>
      </c>
      <c r="J74" s="9" t="s">
        <v>20</v>
      </c>
      <c r="K74" s="5">
        <v>46100.0</v>
      </c>
      <c r="L74" s="11" t="s">
        <v>160</v>
      </c>
      <c r="M74" s="11"/>
      <c r="N74" s="4" t="str">
        <f t="shared" si="1"/>
        <v>Beatriz Silva Araya</v>
      </c>
      <c r="O74" s="6" t="str">
        <f t="shared" si="2"/>
        <v>19.334.906-5</v>
      </c>
      <c r="P74" s="6" t="str">
        <f t="shared" si="3"/>
        <v>La Serena - La Serena - Región de Coquimbo</v>
      </c>
      <c r="Q74" s="4" t="str">
        <f t="shared" si="4"/>
        <v>En Revisión</v>
      </c>
      <c r="R74" s="12" t="str">
        <f t="shared" si="5"/>
        <v>Riesgo Medio</v>
      </c>
    </row>
    <row r="75">
      <c r="A75" s="1" t="s">
        <v>1258</v>
      </c>
      <c r="B75" s="9" t="s">
        <v>1260</v>
      </c>
      <c r="C75" s="9" t="s">
        <v>1262</v>
      </c>
      <c r="D75" s="1" t="s">
        <v>1263</v>
      </c>
      <c r="E75" s="1" t="s">
        <v>109</v>
      </c>
      <c r="F75" s="1" t="s">
        <v>62</v>
      </c>
      <c r="G75" s="1" t="s">
        <v>63</v>
      </c>
      <c r="H75" s="2">
        <v>1.236E7</v>
      </c>
      <c r="I75" s="1">
        <v>0.0</v>
      </c>
      <c r="J75" s="9" t="s">
        <v>28</v>
      </c>
      <c r="K75" s="5">
        <v>46067.0</v>
      </c>
      <c r="L75" s="11" t="s">
        <v>207</v>
      </c>
      <c r="M75" s="11"/>
      <c r="N75" s="4" t="str">
        <f t="shared" si="1"/>
        <v>Beatriz Silva Díaz</v>
      </c>
      <c r="O75" s="6" t="str">
        <f t="shared" si="2"/>
        <v>14042889-8</v>
      </c>
      <c r="P75" s="6" t="str">
        <f t="shared" si="3"/>
        <v>Ñuñoa - Santiago - Región Metropolitana</v>
      </c>
      <c r="Q75" s="4" t="str">
        <f t="shared" si="4"/>
        <v>Activo</v>
      </c>
      <c r="R75" s="12" t="str">
        <f t="shared" si="5"/>
        <v>Riesgo Bajo</v>
      </c>
    </row>
    <row r="76">
      <c r="A76" s="1" t="s">
        <v>143</v>
      </c>
      <c r="B76" s="9" t="s">
        <v>144</v>
      </c>
      <c r="C76" s="9" t="s">
        <v>1275</v>
      </c>
      <c r="D76" s="1" t="s">
        <v>146</v>
      </c>
      <c r="E76" s="1" t="s">
        <v>33</v>
      </c>
      <c r="F76" s="1" t="s">
        <v>33</v>
      </c>
      <c r="G76" s="1" t="s">
        <v>34</v>
      </c>
      <c r="H76" s="2">
        <v>1.571E7</v>
      </c>
      <c r="I76" s="1">
        <v>30.0</v>
      </c>
      <c r="J76" s="9" t="s">
        <v>20</v>
      </c>
      <c r="K76" s="5">
        <v>46094.0</v>
      </c>
      <c r="L76" s="11" t="s">
        <v>160</v>
      </c>
      <c r="M76" s="11"/>
      <c r="N76" s="4" t="str">
        <f t="shared" si="1"/>
        <v>Beatriz Silva Morales</v>
      </c>
      <c r="O76" s="6" t="str">
        <f t="shared" si="2"/>
        <v>20.139.202-3</v>
      </c>
      <c r="P76" s="6" t="str">
        <f t="shared" si="3"/>
        <v>Puerto Montt - Puerto Montt - Región de Los Lagos</v>
      </c>
      <c r="Q76" s="4" t="str">
        <f t="shared" si="4"/>
        <v>En Revisión</v>
      </c>
      <c r="R76" s="12" t="str">
        <f t="shared" si="5"/>
        <v>Riesgo Medio</v>
      </c>
    </row>
    <row r="77">
      <c r="A77" s="1" t="s">
        <v>1293</v>
      </c>
      <c r="B77" s="9" t="s">
        <v>1294</v>
      </c>
      <c r="C77" s="9" t="s">
        <v>1297</v>
      </c>
      <c r="D77" s="1" t="s">
        <v>271</v>
      </c>
      <c r="E77" s="1" t="s">
        <v>25</v>
      </c>
      <c r="F77" s="1" t="s">
        <v>26</v>
      </c>
      <c r="G77" s="1" t="s">
        <v>27</v>
      </c>
      <c r="H77" s="2">
        <v>9950000.0</v>
      </c>
      <c r="I77" s="1">
        <v>120.0</v>
      </c>
      <c r="J77" s="9" t="s">
        <v>97</v>
      </c>
      <c r="K77" s="5">
        <v>46097.0</v>
      </c>
      <c r="L77" s="11" t="s">
        <v>207</v>
      </c>
      <c r="M77" s="11"/>
      <c r="N77" s="4" t="str">
        <f t="shared" si="1"/>
        <v>Beatriz Tapia Morales</v>
      </c>
      <c r="O77" s="6" t="str">
        <f t="shared" si="2"/>
        <v>13.832.868-7</v>
      </c>
      <c r="P77" s="6" t="str">
        <f t="shared" si="3"/>
        <v>Viña del Mar - Valparaíso - Región de Valparaíso</v>
      </c>
      <c r="Q77" s="4" t="str">
        <f t="shared" si="4"/>
        <v>Inactivo</v>
      </c>
      <c r="R77" s="12" t="str">
        <f t="shared" si="5"/>
        <v>Riesgo Medio</v>
      </c>
    </row>
    <row r="78">
      <c r="A78" s="1" t="s">
        <v>52</v>
      </c>
      <c r="B78" s="9" t="s">
        <v>53</v>
      </c>
      <c r="C78" s="9" t="s">
        <v>54</v>
      </c>
      <c r="D78" s="1" t="s">
        <v>55</v>
      </c>
      <c r="E78" s="1" t="s">
        <v>56</v>
      </c>
      <c r="F78" s="1" t="s">
        <v>39</v>
      </c>
      <c r="G78" s="1" t="s">
        <v>40</v>
      </c>
      <c r="H78" s="2">
        <v>1.32E7</v>
      </c>
      <c r="I78" s="1">
        <v>120.0</v>
      </c>
      <c r="J78" s="9" t="s">
        <v>28</v>
      </c>
      <c r="K78" s="5">
        <v>46119.0</v>
      </c>
      <c r="L78" s="11" t="s">
        <v>100</v>
      </c>
      <c r="M78" s="11"/>
      <c r="N78" s="4" t="str">
        <f t="shared" si="1"/>
        <v>Beatriz Tapia Silva</v>
      </c>
      <c r="O78" s="6" t="str">
        <f t="shared" si="2"/>
        <v>17.684.442-7</v>
      </c>
      <c r="P78" s="6" t="str">
        <f t="shared" si="3"/>
        <v>Talcahuano - Concepción - Región del Biobío</v>
      </c>
      <c r="Q78" s="4" t="str">
        <f t="shared" si="4"/>
        <v>Activo</v>
      </c>
      <c r="R78" s="12" t="str">
        <f t="shared" si="5"/>
        <v>Riesgo Alto</v>
      </c>
    </row>
    <row r="79">
      <c r="A79" s="1" t="s">
        <v>1323</v>
      </c>
      <c r="B79" s="9" t="s">
        <v>1324</v>
      </c>
      <c r="C79" s="9" t="s">
        <v>1326</v>
      </c>
      <c r="D79" s="1" t="s">
        <v>271</v>
      </c>
      <c r="E79" s="1" t="s">
        <v>109</v>
      </c>
      <c r="F79" s="1" t="s">
        <v>62</v>
      </c>
      <c r="G79" s="1" t="s">
        <v>63</v>
      </c>
      <c r="H79" s="2">
        <v>1.521E7</v>
      </c>
      <c r="I79" s="1">
        <v>45.0</v>
      </c>
      <c r="J79" s="9" t="s">
        <v>97</v>
      </c>
      <c r="K79" s="5">
        <v>46231.0</v>
      </c>
      <c r="L79" s="11" t="s">
        <v>207</v>
      </c>
      <c r="M79" s="11"/>
      <c r="N79" s="4" t="str">
        <f t="shared" si="1"/>
        <v>Beatriz Tapia Tapia</v>
      </c>
      <c r="O79" s="6" t="str">
        <f t="shared" si="2"/>
        <v>13.560.270-4</v>
      </c>
      <c r="P79" s="6" t="str">
        <f t="shared" si="3"/>
        <v>Ñuñoa - Santiago - Región Metropolitana</v>
      </c>
      <c r="Q79" s="4" t="str">
        <f t="shared" si="4"/>
        <v>Inactivo</v>
      </c>
      <c r="R79" s="12" t="str">
        <f t="shared" si="5"/>
        <v>Riesgo Medio</v>
      </c>
    </row>
    <row r="80">
      <c r="A80" s="1" t="s">
        <v>268</v>
      </c>
      <c r="B80" s="9" t="s">
        <v>269</v>
      </c>
      <c r="C80" s="9" t="s">
        <v>1341</v>
      </c>
      <c r="D80" s="1" t="s">
        <v>271</v>
      </c>
      <c r="E80" s="1" t="s">
        <v>109</v>
      </c>
      <c r="F80" s="1" t="s">
        <v>62</v>
      </c>
      <c r="G80" s="1" t="s">
        <v>63</v>
      </c>
      <c r="H80" s="2">
        <v>1.799E7</v>
      </c>
      <c r="I80" s="1">
        <v>0.0</v>
      </c>
      <c r="J80" s="9" t="s">
        <v>28</v>
      </c>
      <c r="K80" s="5">
        <v>46182.0</v>
      </c>
      <c r="L80" s="11" t="s">
        <v>160</v>
      </c>
      <c r="M80" s="11"/>
      <c r="N80" s="4" t="str">
        <f t="shared" si="1"/>
        <v>Beatriz Tapia Valenzuela</v>
      </c>
      <c r="O80" s="6" t="str">
        <f t="shared" si="2"/>
        <v>21720037-1</v>
      </c>
      <c r="P80" s="6" t="str">
        <f t="shared" si="3"/>
        <v>Ñuñoa - Santiago - Región Metropolitana</v>
      </c>
      <c r="Q80" s="4" t="str">
        <f t="shared" si="4"/>
        <v>Activo</v>
      </c>
      <c r="R80" s="12" t="str">
        <f t="shared" si="5"/>
        <v>Riesgo Bajo</v>
      </c>
    </row>
    <row r="81">
      <c r="A81" s="1" t="s">
        <v>1353</v>
      </c>
      <c r="B81" s="9" t="s">
        <v>1354</v>
      </c>
      <c r="C81" s="9" t="s">
        <v>1355</v>
      </c>
      <c r="D81" s="1" t="s">
        <v>1356</v>
      </c>
      <c r="E81" s="1" t="s">
        <v>158</v>
      </c>
      <c r="F81" s="1" t="s">
        <v>158</v>
      </c>
      <c r="G81" s="1" t="s">
        <v>159</v>
      </c>
      <c r="H81" s="2">
        <v>9160000.0</v>
      </c>
      <c r="I81" s="1">
        <v>90.0</v>
      </c>
      <c r="J81" s="9" t="s">
        <v>28</v>
      </c>
      <c r="K81" s="5">
        <v>46104.0</v>
      </c>
      <c r="L81" s="11" t="s">
        <v>207</v>
      </c>
      <c r="M81" s="11"/>
      <c r="N81" s="4" t="str">
        <f t="shared" si="1"/>
        <v>Beatriz Valenzuela Rodríguez</v>
      </c>
      <c r="O81" s="6" t="str">
        <f t="shared" si="2"/>
        <v>21.006.193-8</v>
      </c>
      <c r="P81" s="6" t="str">
        <f t="shared" si="3"/>
        <v>Antofagasta - Antofagasta - Región de Antofagasta</v>
      </c>
      <c r="Q81" s="4" t="str">
        <f t="shared" si="4"/>
        <v>Activo</v>
      </c>
      <c r="R81" s="12" t="str">
        <f t="shared" si="5"/>
        <v>Riesgo Alto</v>
      </c>
    </row>
    <row r="82">
      <c r="A82" s="1" t="s">
        <v>913</v>
      </c>
      <c r="B82" s="9" t="s">
        <v>914</v>
      </c>
      <c r="C82" s="9" t="s">
        <v>1369</v>
      </c>
      <c r="D82" s="1" t="s">
        <v>916</v>
      </c>
      <c r="E82" s="1" t="s">
        <v>25</v>
      </c>
      <c r="F82" s="1" t="s">
        <v>26</v>
      </c>
      <c r="G82" s="1" t="s">
        <v>27</v>
      </c>
      <c r="H82" s="2">
        <v>2.021E7</v>
      </c>
      <c r="I82" s="1">
        <v>0.0</v>
      </c>
      <c r="J82" s="9" t="s">
        <v>20</v>
      </c>
      <c r="K82" s="5">
        <v>46151.0</v>
      </c>
      <c r="L82" s="11" t="s">
        <v>100</v>
      </c>
      <c r="M82" s="11"/>
      <c r="N82" s="4" t="str">
        <f t="shared" si="1"/>
        <v>Camila Araya Araya</v>
      </c>
      <c r="O82" s="6" t="str">
        <f t="shared" si="2"/>
        <v>15880893-6</v>
      </c>
      <c r="P82" s="6" t="str">
        <f t="shared" si="3"/>
        <v>Viña del Mar - Valparaíso - Región de Valparaíso</v>
      </c>
      <c r="Q82" s="4" t="str">
        <f t="shared" si="4"/>
        <v>En Revisión</v>
      </c>
      <c r="R82" s="12" t="str">
        <f t="shared" si="5"/>
        <v>Riesgo Medio</v>
      </c>
    </row>
    <row r="83">
      <c r="A83" s="1" t="s">
        <v>1383</v>
      </c>
      <c r="B83" s="9" t="s">
        <v>1384</v>
      </c>
      <c r="C83" s="9" t="s">
        <v>1386</v>
      </c>
      <c r="D83" s="1" t="s">
        <v>1388</v>
      </c>
      <c r="E83" s="1" t="s">
        <v>26</v>
      </c>
      <c r="F83" s="1" t="s">
        <v>26</v>
      </c>
      <c r="G83" s="1" t="s">
        <v>27</v>
      </c>
      <c r="H83" s="2">
        <v>2.134E7</v>
      </c>
      <c r="I83" s="1">
        <v>30.0</v>
      </c>
      <c r="J83" s="9" t="s">
        <v>97</v>
      </c>
      <c r="K83" s="5">
        <v>46081.0</v>
      </c>
      <c r="L83" s="11" t="s">
        <v>207</v>
      </c>
      <c r="M83" s="11"/>
      <c r="N83" s="4" t="str">
        <f t="shared" si="1"/>
        <v>Camila Araya Fuentes</v>
      </c>
      <c r="O83" s="6" t="str">
        <f t="shared" si="2"/>
        <v>12.338.090-0</v>
      </c>
      <c r="P83" s="6" t="str">
        <f t="shared" si="3"/>
        <v>Valparaíso - Valparaíso - Región de Valparaíso</v>
      </c>
      <c r="Q83" s="4" t="str">
        <f t="shared" si="4"/>
        <v>Inactivo</v>
      </c>
      <c r="R83" s="12" t="str">
        <f t="shared" si="5"/>
        <v>Riesgo Bajo</v>
      </c>
    </row>
    <row r="84">
      <c r="A84" s="1" t="s">
        <v>1398</v>
      </c>
      <c r="B84" s="9" t="s">
        <v>1399</v>
      </c>
      <c r="C84" s="9" t="s">
        <v>1401</v>
      </c>
      <c r="D84" s="1" t="s">
        <v>1402</v>
      </c>
      <c r="E84" s="1" t="s">
        <v>72</v>
      </c>
      <c r="F84" s="1" t="s">
        <v>62</v>
      </c>
      <c r="G84" s="1" t="s">
        <v>63</v>
      </c>
      <c r="H84" s="2">
        <v>4200000.0</v>
      </c>
      <c r="I84" s="1">
        <v>90.0</v>
      </c>
      <c r="J84" s="9" t="s">
        <v>28</v>
      </c>
      <c r="K84" s="5">
        <v>46197.0</v>
      </c>
      <c r="L84" s="11" t="s">
        <v>207</v>
      </c>
      <c r="M84" s="11"/>
      <c r="N84" s="4" t="str">
        <f t="shared" si="1"/>
        <v>Camila Araya Sepúlveda</v>
      </c>
      <c r="O84" s="6" t="str">
        <f t="shared" si="2"/>
        <v>16.640.904-8</v>
      </c>
      <c r="P84" s="6" t="str">
        <f t="shared" si="3"/>
        <v>Providencia - Santiago - Región Metropolitana</v>
      </c>
      <c r="Q84" s="4" t="str">
        <f t="shared" si="4"/>
        <v>Activo</v>
      </c>
      <c r="R84" s="12" t="str">
        <f t="shared" si="5"/>
        <v>Riesgo Alto</v>
      </c>
    </row>
    <row r="85">
      <c r="A85" s="1" t="s">
        <v>757</v>
      </c>
      <c r="B85" s="9" t="s">
        <v>759</v>
      </c>
      <c r="C85" s="9" t="s">
        <v>1419</v>
      </c>
      <c r="D85" s="1" t="s">
        <v>761</v>
      </c>
      <c r="E85" s="1" t="s">
        <v>18</v>
      </c>
      <c r="F85" s="1" t="s">
        <v>18</v>
      </c>
      <c r="G85" s="1" t="s">
        <v>19</v>
      </c>
      <c r="H85" s="2">
        <v>1.034E7</v>
      </c>
      <c r="I85" s="1">
        <v>45.0</v>
      </c>
      <c r="J85" s="9" t="s">
        <v>28</v>
      </c>
      <c r="K85" s="5">
        <v>46210.0</v>
      </c>
      <c r="L85" s="11" t="s">
        <v>100</v>
      </c>
      <c r="M85" s="11"/>
      <c r="N85" s="4" t="str">
        <f t="shared" si="1"/>
        <v>Camila Contreras Espinoza</v>
      </c>
      <c r="O85" s="6" t="str">
        <f t="shared" si="2"/>
        <v>22.160.319-1</v>
      </c>
      <c r="P85" s="6" t="str">
        <f t="shared" si="3"/>
        <v>La Serena - La Serena - Región de Coquimbo</v>
      </c>
      <c r="Q85" s="4" t="str">
        <f t="shared" si="4"/>
        <v>Activo</v>
      </c>
      <c r="R85" s="12" t="str">
        <f t="shared" si="5"/>
        <v>Riesgo Medio</v>
      </c>
    </row>
    <row r="86">
      <c r="A86" s="1" t="s">
        <v>1429</v>
      </c>
      <c r="B86" s="9" t="s">
        <v>1430</v>
      </c>
      <c r="C86" s="9" t="s">
        <v>1431</v>
      </c>
      <c r="D86" s="1" t="s">
        <v>761</v>
      </c>
      <c r="E86" s="1" t="s">
        <v>56</v>
      </c>
      <c r="F86" s="1" t="s">
        <v>39</v>
      </c>
      <c r="G86" s="1" t="s">
        <v>40</v>
      </c>
      <c r="H86" s="2">
        <v>8870000.0</v>
      </c>
      <c r="I86" s="1">
        <v>15.0</v>
      </c>
      <c r="J86" s="9" t="s">
        <v>28</v>
      </c>
      <c r="K86" s="5">
        <v>46195.0</v>
      </c>
      <c r="L86" s="11" t="s">
        <v>207</v>
      </c>
      <c r="M86" s="11"/>
      <c r="N86" s="4" t="str">
        <f t="shared" si="1"/>
        <v>Camila Contreras Silva</v>
      </c>
      <c r="O86" s="6" t="str">
        <f t="shared" si="2"/>
        <v>19.132.132-4</v>
      </c>
      <c r="P86" s="6" t="str">
        <f t="shared" si="3"/>
        <v>Talcahuano - Concepción - Región del Biobío</v>
      </c>
      <c r="Q86" s="4" t="str">
        <f t="shared" si="4"/>
        <v>Activo</v>
      </c>
      <c r="R86" s="12" t="str">
        <f t="shared" si="5"/>
        <v>Riesgo Bajo</v>
      </c>
    </row>
    <row r="87">
      <c r="A87" s="1" t="s">
        <v>1438</v>
      </c>
      <c r="B87" s="9" t="s">
        <v>1440</v>
      </c>
      <c r="C87" s="9" t="s">
        <v>1442</v>
      </c>
      <c r="D87" s="1" t="s">
        <v>1444</v>
      </c>
      <c r="E87" s="1" t="s">
        <v>61</v>
      </c>
      <c r="F87" s="1" t="s">
        <v>62</v>
      </c>
      <c r="G87" s="1" t="s">
        <v>63</v>
      </c>
      <c r="H87" s="2">
        <v>1.29E7</v>
      </c>
      <c r="I87" s="1">
        <v>0.0</v>
      </c>
      <c r="J87" s="9" t="s">
        <v>28</v>
      </c>
      <c r="K87" s="5">
        <v>46040.0</v>
      </c>
      <c r="L87" s="11" t="s">
        <v>100</v>
      </c>
      <c r="M87" s="11"/>
      <c r="N87" s="4" t="str">
        <f t="shared" si="1"/>
        <v>Camila Díaz Fuentes</v>
      </c>
      <c r="O87" s="6" t="str">
        <f t="shared" si="2"/>
        <v>19.855.454-8</v>
      </c>
      <c r="P87" s="6" t="str">
        <f t="shared" si="3"/>
        <v>Santiago Centro - Santiago - Región Metropolitana</v>
      </c>
      <c r="Q87" s="4" t="str">
        <f t="shared" si="4"/>
        <v>Activo</v>
      </c>
      <c r="R87" s="12" t="str">
        <f t="shared" si="5"/>
        <v>Riesgo Bajo</v>
      </c>
    </row>
    <row r="88">
      <c r="A88" s="1" t="s">
        <v>1450</v>
      </c>
      <c r="B88" s="9" t="s">
        <v>1451</v>
      </c>
      <c r="C88" s="9" t="s">
        <v>1452</v>
      </c>
      <c r="D88" s="1" t="s">
        <v>1453</v>
      </c>
      <c r="E88" s="1" t="s">
        <v>118</v>
      </c>
      <c r="F88" s="1" t="s">
        <v>62</v>
      </c>
      <c r="G88" s="1" t="s">
        <v>63</v>
      </c>
      <c r="H88" s="2">
        <v>7330000.0</v>
      </c>
      <c r="I88" s="1">
        <v>0.0</v>
      </c>
      <c r="J88" s="9" t="s">
        <v>20</v>
      </c>
      <c r="K88" s="5">
        <v>46100.0</v>
      </c>
      <c r="L88" s="11" t="s">
        <v>160</v>
      </c>
      <c r="M88" s="11"/>
      <c r="N88" s="4" t="str">
        <f t="shared" si="1"/>
        <v>Camila Espinoza Sepúlveda</v>
      </c>
      <c r="O88" s="6" t="str">
        <f t="shared" si="2"/>
        <v>12.693.162-2</v>
      </c>
      <c r="P88" s="6" t="str">
        <f t="shared" si="3"/>
        <v>Maipú - Santiago - Región Metropolitana</v>
      </c>
      <c r="Q88" s="4" t="str">
        <f t="shared" si="4"/>
        <v>En Revisión</v>
      </c>
      <c r="R88" s="12" t="str">
        <f t="shared" si="5"/>
        <v>Riesgo Medio</v>
      </c>
    </row>
    <row r="89">
      <c r="A89" s="1" t="s">
        <v>1459</v>
      </c>
      <c r="B89" s="9" t="s">
        <v>1461</v>
      </c>
      <c r="C89" s="9" t="s">
        <v>1463</v>
      </c>
      <c r="D89" s="1" t="s">
        <v>1465</v>
      </c>
      <c r="E89" s="1" t="s">
        <v>158</v>
      </c>
      <c r="F89" s="1" t="s">
        <v>158</v>
      </c>
      <c r="G89" s="1" t="s">
        <v>159</v>
      </c>
      <c r="H89" s="2">
        <v>4090000.0</v>
      </c>
      <c r="I89" s="1">
        <v>15.0</v>
      </c>
      <c r="J89" s="9" t="s">
        <v>20</v>
      </c>
      <c r="K89" s="5">
        <v>46208.0</v>
      </c>
      <c r="L89" s="11" t="s">
        <v>181</v>
      </c>
      <c r="M89" s="11"/>
      <c r="N89" s="4" t="str">
        <f t="shared" si="1"/>
        <v>Camila Fuentes González</v>
      </c>
      <c r="O89" s="6" t="str">
        <f t="shared" si="2"/>
        <v>13.567.526-1</v>
      </c>
      <c r="P89" s="6" t="str">
        <f t="shared" si="3"/>
        <v>Antofagasta - Antofagasta - Región de Antofagasta</v>
      </c>
      <c r="Q89" s="4" t="str">
        <f t="shared" si="4"/>
        <v>En Revisión</v>
      </c>
      <c r="R89" s="12" t="str">
        <f t="shared" si="5"/>
        <v>Riesgo Medio</v>
      </c>
    </row>
    <row r="90">
      <c r="A90" s="1" t="s">
        <v>1473</v>
      </c>
      <c r="B90" s="9" t="s">
        <v>1474</v>
      </c>
      <c r="C90" s="9" t="s">
        <v>1475</v>
      </c>
      <c r="D90" s="1" t="s">
        <v>1477</v>
      </c>
      <c r="E90" s="1" t="s">
        <v>26</v>
      </c>
      <c r="F90" s="1" t="s">
        <v>26</v>
      </c>
      <c r="G90" s="1" t="s">
        <v>27</v>
      </c>
      <c r="H90" s="2">
        <v>1.706E7</v>
      </c>
      <c r="I90" s="1">
        <v>15.0</v>
      </c>
      <c r="J90" s="9" t="s">
        <v>97</v>
      </c>
      <c r="K90" s="5">
        <v>46035.0</v>
      </c>
      <c r="L90" s="11" t="s">
        <v>199</v>
      </c>
      <c r="M90" s="11"/>
      <c r="N90" s="4" t="str">
        <f t="shared" si="1"/>
        <v>Camila Fuentes Vergara</v>
      </c>
      <c r="O90" s="6" t="str">
        <f t="shared" si="2"/>
        <v>15.884.916-5</v>
      </c>
      <c r="P90" s="6" t="str">
        <f t="shared" si="3"/>
        <v>Valparaíso - Valparaíso - Región de Valparaíso</v>
      </c>
      <c r="Q90" s="4" t="str">
        <f t="shared" si="4"/>
        <v>Inactivo</v>
      </c>
      <c r="R90" s="12" t="str">
        <f t="shared" si="5"/>
        <v>Riesgo Bajo</v>
      </c>
    </row>
    <row r="91">
      <c r="A91" s="1" t="s">
        <v>1486</v>
      </c>
      <c r="B91" s="9" t="s">
        <v>1487</v>
      </c>
      <c r="C91" s="9" t="s">
        <v>1488</v>
      </c>
      <c r="D91" s="1" t="s">
        <v>1489</v>
      </c>
      <c r="E91" s="1" t="s">
        <v>25</v>
      </c>
      <c r="F91" s="1" t="s">
        <v>26</v>
      </c>
      <c r="G91" s="1" t="s">
        <v>27</v>
      </c>
      <c r="H91" s="2">
        <v>7110000.0</v>
      </c>
      <c r="I91" s="1">
        <v>45.0</v>
      </c>
      <c r="J91" s="9" t="s">
        <v>97</v>
      </c>
      <c r="K91" s="5">
        <v>46146.0</v>
      </c>
      <c r="L91" s="11" t="s">
        <v>207</v>
      </c>
      <c r="M91" s="11"/>
      <c r="N91" s="4" t="str">
        <f t="shared" si="1"/>
        <v>Camila Morales González</v>
      </c>
      <c r="O91" s="6" t="str">
        <f t="shared" si="2"/>
        <v>13.994.580-1</v>
      </c>
      <c r="P91" s="6" t="str">
        <f t="shared" si="3"/>
        <v>Viña del Mar - Valparaíso - Región de Valparaíso</v>
      </c>
      <c r="Q91" s="4" t="str">
        <f t="shared" si="4"/>
        <v>Inactivo</v>
      </c>
      <c r="R91" s="12" t="str">
        <f t="shared" si="5"/>
        <v>Riesgo Medio</v>
      </c>
    </row>
    <row r="92">
      <c r="A92" s="1" t="s">
        <v>1492</v>
      </c>
      <c r="B92" s="9" t="s">
        <v>1494</v>
      </c>
      <c r="C92" s="9" t="s">
        <v>1496</v>
      </c>
      <c r="D92" s="1" t="s">
        <v>1498</v>
      </c>
      <c r="E92" s="1" t="s">
        <v>56</v>
      </c>
      <c r="F92" s="1" t="s">
        <v>39</v>
      </c>
      <c r="G92" s="1" t="s">
        <v>40</v>
      </c>
      <c r="H92" s="2">
        <v>1.202E7</v>
      </c>
      <c r="I92" s="1">
        <v>15.0</v>
      </c>
      <c r="J92" s="9" t="s">
        <v>28</v>
      </c>
      <c r="K92" s="5">
        <v>46059.0</v>
      </c>
      <c r="L92" s="11" t="s">
        <v>160</v>
      </c>
      <c r="M92" s="11"/>
      <c r="N92" s="4" t="str">
        <f t="shared" si="1"/>
        <v>Camila Morales Sepúlveda</v>
      </c>
      <c r="O92" s="6" t="str">
        <f t="shared" si="2"/>
        <v>15.793.359-4</v>
      </c>
      <c r="P92" s="6" t="str">
        <f t="shared" si="3"/>
        <v>Talcahuano - Concepción - Región del Biobío</v>
      </c>
      <c r="Q92" s="4" t="str">
        <f t="shared" si="4"/>
        <v>Activo</v>
      </c>
      <c r="R92" s="12" t="str">
        <f t="shared" si="5"/>
        <v>Riesgo Bajo</v>
      </c>
    </row>
    <row r="93">
      <c r="A93" s="1" t="s">
        <v>1505</v>
      </c>
      <c r="B93" s="9" t="s">
        <v>1506</v>
      </c>
      <c r="C93" s="9" t="s">
        <v>1507</v>
      </c>
      <c r="D93" s="1" t="s">
        <v>1498</v>
      </c>
      <c r="E93" s="1" t="s">
        <v>61</v>
      </c>
      <c r="F93" s="1" t="s">
        <v>62</v>
      </c>
      <c r="G93" s="1" t="s">
        <v>63</v>
      </c>
      <c r="H93" s="2">
        <v>3670000.0</v>
      </c>
      <c r="I93" s="1">
        <v>45.0</v>
      </c>
      <c r="J93" s="9" t="s">
        <v>28</v>
      </c>
      <c r="K93" s="5">
        <v>46221.0</v>
      </c>
      <c r="L93" s="11" t="s">
        <v>100</v>
      </c>
      <c r="M93" s="11"/>
      <c r="N93" s="4" t="str">
        <f t="shared" si="1"/>
        <v>Camila Morales Tapia</v>
      </c>
      <c r="O93" s="6" t="str">
        <f t="shared" si="2"/>
        <v>22.103.785-5</v>
      </c>
      <c r="P93" s="6" t="str">
        <f t="shared" si="3"/>
        <v>Santiago Centro - Santiago - Región Metropolitana</v>
      </c>
      <c r="Q93" s="4" t="str">
        <f t="shared" si="4"/>
        <v>Activo</v>
      </c>
      <c r="R93" s="12" t="str">
        <f t="shared" si="5"/>
        <v>Riesgo Medio</v>
      </c>
    </row>
    <row r="94">
      <c r="A94" s="1" t="s">
        <v>1287</v>
      </c>
      <c r="B94" s="9" t="s">
        <v>1288</v>
      </c>
      <c r="C94" s="9" t="s">
        <v>1514</v>
      </c>
      <c r="D94" s="1" t="s">
        <v>1291</v>
      </c>
      <c r="E94" s="1" t="s">
        <v>26</v>
      </c>
      <c r="F94" s="1" t="s">
        <v>26</v>
      </c>
      <c r="G94" s="1" t="s">
        <v>27</v>
      </c>
      <c r="H94" s="2">
        <v>1.858E7</v>
      </c>
      <c r="I94" s="1">
        <v>90.0</v>
      </c>
      <c r="J94" s="9" t="s">
        <v>20</v>
      </c>
      <c r="K94" s="5">
        <v>46210.0</v>
      </c>
      <c r="L94" s="11" t="s">
        <v>160</v>
      </c>
      <c r="M94" s="11"/>
      <c r="N94" s="4" t="str">
        <f t="shared" si="1"/>
        <v>Camila Rodríguez Silva</v>
      </c>
      <c r="O94" s="6" t="str">
        <f t="shared" si="2"/>
        <v>20.569.422-4</v>
      </c>
      <c r="P94" s="6" t="str">
        <f t="shared" si="3"/>
        <v>Valparaíso - Valparaíso - Región de Valparaíso</v>
      </c>
      <c r="Q94" s="4" t="str">
        <f t="shared" si="4"/>
        <v>En Revisión</v>
      </c>
      <c r="R94" s="12" t="str">
        <f t="shared" si="5"/>
        <v>Riesgo Medio</v>
      </c>
    </row>
    <row r="95">
      <c r="A95" s="1" t="s">
        <v>1520</v>
      </c>
      <c r="B95" s="9" t="s">
        <v>1521</v>
      </c>
      <c r="C95" s="9" t="s">
        <v>1524</v>
      </c>
      <c r="D95" s="1" t="s">
        <v>1527</v>
      </c>
      <c r="E95" s="1" t="s">
        <v>56</v>
      </c>
      <c r="F95" s="1" t="s">
        <v>39</v>
      </c>
      <c r="G95" s="1" t="s">
        <v>40</v>
      </c>
      <c r="H95" s="2">
        <v>2.149E7</v>
      </c>
      <c r="I95" s="1">
        <v>45.0</v>
      </c>
      <c r="J95" s="9" t="s">
        <v>97</v>
      </c>
      <c r="K95" s="5">
        <v>46136.0</v>
      </c>
      <c r="L95" s="11" t="s">
        <v>160</v>
      </c>
      <c r="M95" s="11"/>
      <c r="N95" s="4" t="str">
        <f t="shared" si="1"/>
        <v>Camila Rojas González</v>
      </c>
      <c r="O95" s="6" t="str">
        <f t="shared" si="2"/>
        <v>14.570.317-2</v>
      </c>
      <c r="P95" s="6" t="str">
        <f t="shared" si="3"/>
        <v>Talcahuano - Concepción - Región del Biobío</v>
      </c>
      <c r="Q95" s="4" t="str">
        <f t="shared" si="4"/>
        <v>Inactivo</v>
      </c>
      <c r="R95" s="12" t="str">
        <f t="shared" si="5"/>
        <v>Riesgo Medio</v>
      </c>
    </row>
    <row r="96">
      <c r="A96" s="1" t="s">
        <v>1533</v>
      </c>
      <c r="B96" s="9" t="s">
        <v>1534</v>
      </c>
      <c r="C96" s="9" t="s">
        <v>1535</v>
      </c>
      <c r="D96" s="1" t="s">
        <v>1526</v>
      </c>
      <c r="E96" s="1" t="s">
        <v>39</v>
      </c>
      <c r="F96" s="1" t="s">
        <v>39</v>
      </c>
      <c r="G96" s="1" t="s">
        <v>40</v>
      </c>
      <c r="H96" s="2">
        <v>2910000.0</v>
      </c>
      <c r="I96" s="1">
        <v>0.0</v>
      </c>
      <c r="J96" s="9" t="s">
        <v>97</v>
      </c>
      <c r="K96" s="5">
        <v>46108.0</v>
      </c>
      <c r="L96" s="11" t="s">
        <v>181</v>
      </c>
      <c r="M96" s="11"/>
      <c r="N96" s="4" t="str">
        <f t="shared" si="1"/>
        <v>Camila Rojas López</v>
      </c>
      <c r="O96" s="6" t="str">
        <f t="shared" si="2"/>
        <v>13.127.689-6</v>
      </c>
      <c r="P96" s="6" t="str">
        <f t="shared" si="3"/>
        <v>Concepción - Concepción - Región del Biobío</v>
      </c>
      <c r="Q96" s="4" t="str">
        <f t="shared" si="4"/>
        <v>Inactivo</v>
      </c>
      <c r="R96" s="12" t="str">
        <f t="shared" si="5"/>
        <v>Riesgo Bajo</v>
      </c>
    </row>
    <row r="97">
      <c r="A97" s="1" t="s">
        <v>1550</v>
      </c>
      <c r="B97" s="9" t="s">
        <v>1551</v>
      </c>
      <c r="C97" s="9" t="s">
        <v>1552</v>
      </c>
      <c r="D97" s="1" t="s">
        <v>1553</v>
      </c>
      <c r="E97" s="1" t="s">
        <v>109</v>
      </c>
      <c r="F97" s="1" t="s">
        <v>62</v>
      </c>
      <c r="G97" s="1" t="s">
        <v>63</v>
      </c>
      <c r="H97" s="2">
        <v>4700000.0</v>
      </c>
      <c r="I97" s="1">
        <v>120.0</v>
      </c>
      <c r="J97" s="9" t="s">
        <v>20</v>
      </c>
      <c r="K97" s="5">
        <v>46170.0</v>
      </c>
      <c r="L97" s="11" t="s">
        <v>160</v>
      </c>
      <c r="M97" s="11"/>
      <c r="N97" s="4" t="str">
        <f t="shared" si="1"/>
        <v>Camila Rojas Morales</v>
      </c>
      <c r="O97" s="6" t="str">
        <f t="shared" si="2"/>
        <v>12123240-4</v>
      </c>
      <c r="P97" s="6" t="str">
        <f t="shared" si="3"/>
        <v>Ñuñoa - Santiago - Región Metropolitana</v>
      </c>
      <c r="Q97" s="4" t="str">
        <f t="shared" si="4"/>
        <v>En Revisión</v>
      </c>
      <c r="R97" s="12" t="str">
        <f t="shared" si="5"/>
        <v>Riesgo Medio</v>
      </c>
    </row>
    <row r="98">
      <c r="A98" s="1" t="s">
        <v>1522</v>
      </c>
      <c r="B98" s="9" t="s">
        <v>1523</v>
      </c>
      <c r="C98" s="9" t="s">
        <v>1525</v>
      </c>
      <c r="D98" s="1" t="s">
        <v>1526</v>
      </c>
      <c r="E98" s="1" t="s">
        <v>109</v>
      </c>
      <c r="F98" s="1" t="s">
        <v>62</v>
      </c>
      <c r="G98" s="1" t="s">
        <v>63</v>
      </c>
      <c r="H98" s="2">
        <v>1.488E7</v>
      </c>
      <c r="I98" s="1">
        <v>30.0</v>
      </c>
      <c r="J98" s="9" t="s">
        <v>97</v>
      </c>
      <c r="K98" s="5">
        <v>46076.0</v>
      </c>
      <c r="L98" s="11" t="s">
        <v>160</v>
      </c>
      <c r="M98" s="11"/>
      <c r="N98" s="4" t="str">
        <f t="shared" si="1"/>
        <v>Camila Rojas Silva</v>
      </c>
      <c r="O98" s="6" t="str">
        <f t="shared" si="2"/>
        <v>13.870.401-5</v>
      </c>
      <c r="P98" s="6" t="str">
        <f t="shared" si="3"/>
        <v>Ñuñoa - Santiago - Región Metropolitana</v>
      </c>
      <c r="Q98" s="4" t="str">
        <f t="shared" si="4"/>
        <v>Inactivo</v>
      </c>
      <c r="R98" s="12" t="str">
        <f t="shared" si="5"/>
        <v>Riesgo Bajo</v>
      </c>
    </row>
    <row r="99">
      <c r="A99" s="1" t="s">
        <v>1571</v>
      </c>
      <c r="B99" s="9" t="s">
        <v>1572</v>
      </c>
      <c r="C99" s="9" t="s">
        <v>1573</v>
      </c>
      <c r="D99" s="1" t="s">
        <v>1574</v>
      </c>
      <c r="E99" s="1" t="s">
        <v>45</v>
      </c>
      <c r="F99" s="1" t="s">
        <v>45</v>
      </c>
      <c r="G99" s="1" t="s">
        <v>46</v>
      </c>
      <c r="H99" s="2">
        <v>2680000.0</v>
      </c>
      <c r="I99" s="1">
        <v>60.0</v>
      </c>
      <c r="J99" s="9" t="s">
        <v>97</v>
      </c>
      <c r="K99" s="5">
        <v>46097.0</v>
      </c>
      <c r="L99" s="11" t="s">
        <v>207</v>
      </c>
      <c r="M99" s="11"/>
      <c r="N99" s="4" t="str">
        <f t="shared" si="1"/>
        <v>Camila Rojas Tapia</v>
      </c>
      <c r="O99" s="6" t="str">
        <f t="shared" si="2"/>
        <v>12.684.699-1</v>
      </c>
      <c r="P99" s="6" t="str">
        <f t="shared" si="3"/>
        <v>Temuco - Temuco - Región de la Araucanía</v>
      </c>
      <c r="Q99" s="4" t="str">
        <f t="shared" si="4"/>
        <v>Inactivo</v>
      </c>
      <c r="R99" s="12" t="str">
        <f t="shared" si="5"/>
        <v>Riesgo Medio</v>
      </c>
    </row>
    <row r="100">
      <c r="A100" s="1" t="s">
        <v>1582</v>
      </c>
      <c r="B100" s="9" t="s">
        <v>1584</v>
      </c>
      <c r="C100" s="9" t="s">
        <v>1586</v>
      </c>
      <c r="D100" s="1" t="s">
        <v>1588</v>
      </c>
      <c r="E100" s="1" t="s">
        <v>158</v>
      </c>
      <c r="F100" s="1" t="s">
        <v>158</v>
      </c>
      <c r="G100" s="1" t="s">
        <v>159</v>
      </c>
      <c r="H100" s="2">
        <v>3140000.0</v>
      </c>
      <c r="I100" s="1">
        <v>0.0</v>
      </c>
      <c r="J100" s="9" t="s">
        <v>20</v>
      </c>
      <c r="K100" s="5">
        <v>46191.0</v>
      </c>
      <c r="L100" s="11" t="s">
        <v>160</v>
      </c>
      <c r="M100" s="11"/>
      <c r="N100" s="4" t="str">
        <f t="shared" si="1"/>
        <v>Camila Silva Vergara</v>
      </c>
      <c r="O100" s="6" t="str">
        <f t="shared" si="2"/>
        <v>17.948.040-3</v>
      </c>
      <c r="P100" s="6" t="str">
        <f t="shared" si="3"/>
        <v>Antofagasta - Antofagasta - Región de Antofagasta</v>
      </c>
      <c r="Q100" s="4" t="str">
        <f t="shared" si="4"/>
        <v>En Revisión</v>
      </c>
      <c r="R100" s="12" t="str">
        <f t="shared" si="5"/>
        <v>Riesgo Medio</v>
      </c>
    </row>
    <row r="101">
      <c r="A101" s="1" t="s">
        <v>946</v>
      </c>
      <c r="B101" s="9" t="s">
        <v>948</v>
      </c>
      <c r="C101" s="9" t="s">
        <v>949</v>
      </c>
      <c r="D101" s="1" t="s">
        <v>950</v>
      </c>
      <c r="E101" s="1" t="s">
        <v>56</v>
      </c>
      <c r="F101" s="1" t="s">
        <v>39</v>
      </c>
      <c r="G101" s="1" t="s">
        <v>40</v>
      </c>
      <c r="H101" s="2">
        <v>1.934E7</v>
      </c>
      <c r="I101" s="1">
        <v>15.0</v>
      </c>
      <c r="J101" s="9" t="s">
        <v>28</v>
      </c>
      <c r="K101" s="5">
        <v>46194.0</v>
      </c>
      <c r="L101" s="11" t="s">
        <v>207</v>
      </c>
      <c r="M101" s="11"/>
      <c r="N101" s="4" t="str">
        <f t="shared" si="1"/>
        <v>Camila Soto Morales</v>
      </c>
      <c r="O101" s="6" t="str">
        <f t="shared" si="2"/>
        <v>16.331.357-3</v>
      </c>
      <c r="P101" s="6" t="str">
        <f t="shared" si="3"/>
        <v>Talcahuano - Concepción - Región del Biobío</v>
      </c>
      <c r="Q101" s="4" t="str">
        <f t="shared" si="4"/>
        <v>Activo</v>
      </c>
      <c r="R101" s="12" t="str">
        <f t="shared" si="5"/>
        <v>Riesgo Bajo</v>
      </c>
    </row>
    <row r="102">
      <c r="A102" s="1" t="s">
        <v>1600</v>
      </c>
      <c r="B102" s="9" t="s">
        <v>1602</v>
      </c>
      <c r="C102" s="9" t="s">
        <v>1605</v>
      </c>
      <c r="D102" s="1" t="s">
        <v>1607</v>
      </c>
      <c r="E102" s="1" t="s">
        <v>109</v>
      </c>
      <c r="F102" s="1" t="s">
        <v>62</v>
      </c>
      <c r="G102" s="1" t="s">
        <v>63</v>
      </c>
      <c r="H102" s="2">
        <v>1.211E7</v>
      </c>
      <c r="I102" s="1">
        <v>120.0</v>
      </c>
      <c r="J102" s="9" t="s">
        <v>20</v>
      </c>
      <c r="K102" s="5">
        <v>46075.0</v>
      </c>
      <c r="L102" s="11" t="s">
        <v>100</v>
      </c>
      <c r="M102" s="11"/>
      <c r="N102" s="4" t="str">
        <f t="shared" si="1"/>
        <v>Camila Tapia Sepúlveda</v>
      </c>
      <c r="O102" s="6" t="str">
        <f t="shared" si="2"/>
        <v>12983533-4</v>
      </c>
      <c r="P102" s="6" t="str">
        <f t="shared" si="3"/>
        <v>Ñuñoa - Santiago - Región Metropolitana</v>
      </c>
      <c r="Q102" s="4" t="str">
        <f t="shared" si="4"/>
        <v>En Revisión</v>
      </c>
      <c r="R102" s="12" t="str">
        <f t="shared" si="5"/>
        <v>Riesgo Medio</v>
      </c>
    </row>
    <row r="103">
      <c r="A103" s="1" t="s">
        <v>1613</v>
      </c>
      <c r="B103" s="9" t="s">
        <v>1615</v>
      </c>
      <c r="C103" s="9" t="s">
        <v>1616</v>
      </c>
      <c r="D103" s="1" t="s">
        <v>1617</v>
      </c>
      <c r="E103" s="1" t="s">
        <v>72</v>
      </c>
      <c r="F103" s="1" t="s">
        <v>62</v>
      </c>
      <c r="G103" s="1" t="s">
        <v>63</v>
      </c>
      <c r="H103" s="2">
        <v>1.604E7</v>
      </c>
      <c r="I103" s="1">
        <v>60.0</v>
      </c>
      <c r="J103" s="9" t="s">
        <v>20</v>
      </c>
      <c r="K103" s="5">
        <v>46037.0</v>
      </c>
      <c r="L103" s="11" t="s">
        <v>207</v>
      </c>
      <c r="M103" s="11"/>
      <c r="N103" s="4" t="str">
        <f t="shared" si="1"/>
        <v>Camila Valenzuela Contreras</v>
      </c>
      <c r="O103" s="6" t="str">
        <f t="shared" si="2"/>
        <v>17.175.124-K</v>
      </c>
      <c r="P103" s="6" t="str">
        <f t="shared" si="3"/>
        <v>Providencia - Santiago - Región Metropolitana</v>
      </c>
      <c r="Q103" s="4" t="str">
        <f t="shared" si="4"/>
        <v>En Revisión</v>
      </c>
      <c r="R103" s="12" t="str">
        <f t="shared" si="5"/>
        <v>Riesgo Medio</v>
      </c>
    </row>
    <row r="104">
      <c r="A104" s="1" t="s">
        <v>1626</v>
      </c>
      <c r="B104" s="9" t="s">
        <v>1628</v>
      </c>
      <c r="C104" s="9" t="s">
        <v>1629</v>
      </c>
      <c r="D104" s="1" t="s">
        <v>1630</v>
      </c>
      <c r="E104" s="1" t="s">
        <v>45</v>
      </c>
      <c r="F104" s="1" t="s">
        <v>45</v>
      </c>
      <c r="G104" s="1" t="s">
        <v>46</v>
      </c>
      <c r="H104" s="2">
        <v>8570000.0</v>
      </c>
      <c r="I104" s="1">
        <v>30.0</v>
      </c>
      <c r="J104" s="9" t="s">
        <v>28</v>
      </c>
      <c r="K104" s="5">
        <v>46213.0</v>
      </c>
      <c r="L104" s="11" t="s">
        <v>207</v>
      </c>
      <c r="M104" s="11"/>
      <c r="N104" s="4" t="str">
        <f t="shared" si="1"/>
        <v>Camila Valenzuela Rojas</v>
      </c>
      <c r="O104" s="6" t="str">
        <f t="shared" si="2"/>
        <v>17.077.140-3</v>
      </c>
      <c r="P104" s="6" t="str">
        <f t="shared" si="3"/>
        <v>Temuco - Temuco - Región de la Araucanía</v>
      </c>
      <c r="Q104" s="4" t="str">
        <f t="shared" si="4"/>
        <v>Activo</v>
      </c>
      <c r="R104" s="12" t="str">
        <f t="shared" si="5"/>
        <v>Riesgo Bajo</v>
      </c>
    </row>
    <row r="105">
      <c r="A105" s="1" t="s">
        <v>1636</v>
      </c>
      <c r="B105" s="9" t="s">
        <v>1637</v>
      </c>
      <c r="C105" s="9" t="s">
        <v>1629</v>
      </c>
      <c r="D105" s="1" t="s">
        <v>1638</v>
      </c>
      <c r="E105" s="1" t="s">
        <v>18</v>
      </c>
      <c r="F105" s="1" t="s">
        <v>18</v>
      </c>
      <c r="G105" s="1" t="s">
        <v>19</v>
      </c>
      <c r="H105" s="2">
        <v>1.594E7</v>
      </c>
      <c r="I105" s="1">
        <v>60.0</v>
      </c>
      <c r="J105" s="9" t="s">
        <v>28</v>
      </c>
      <c r="K105" s="5">
        <v>46180.0</v>
      </c>
      <c r="L105" s="11" t="s">
        <v>100</v>
      </c>
      <c r="M105" s="11"/>
      <c r="N105" s="4" t="str">
        <f t="shared" si="1"/>
        <v>Camila Valenzuela Rojas</v>
      </c>
      <c r="O105" s="6" t="str">
        <f t="shared" si="2"/>
        <v>22.465.052-9</v>
      </c>
      <c r="P105" s="6" t="str">
        <f t="shared" si="3"/>
        <v>La Serena - La Serena - Región de Coquimbo</v>
      </c>
      <c r="Q105" s="4" t="str">
        <f t="shared" si="4"/>
        <v>Activo</v>
      </c>
      <c r="R105" s="12" t="str">
        <f t="shared" si="5"/>
        <v>Riesgo Medio</v>
      </c>
    </row>
    <row r="106">
      <c r="A106" s="1" t="s">
        <v>392</v>
      </c>
      <c r="B106" s="9" t="s">
        <v>393</v>
      </c>
      <c r="C106" s="9" t="s">
        <v>394</v>
      </c>
      <c r="D106" s="1" t="s">
        <v>396</v>
      </c>
      <c r="E106" s="1" t="s">
        <v>56</v>
      </c>
      <c r="F106" s="1" t="s">
        <v>39</v>
      </c>
      <c r="G106" s="1" t="s">
        <v>40</v>
      </c>
      <c r="H106" s="2">
        <v>2.197E7</v>
      </c>
      <c r="I106" s="1">
        <v>0.0</v>
      </c>
      <c r="J106" s="9" t="s">
        <v>20</v>
      </c>
      <c r="K106" s="5">
        <v>46161.0</v>
      </c>
      <c r="L106" s="11" t="s">
        <v>207</v>
      </c>
      <c r="M106" s="11"/>
      <c r="N106" s="4" t="str">
        <f t="shared" si="1"/>
        <v>Camila Vergara Espinoza</v>
      </c>
      <c r="O106" s="6" t="str">
        <f t="shared" si="2"/>
        <v>19.745.270-K</v>
      </c>
      <c r="P106" s="6" t="str">
        <f t="shared" si="3"/>
        <v>Talcahuano - Concepción - Región del Biobío</v>
      </c>
      <c r="Q106" s="4" t="str">
        <f t="shared" si="4"/>
        <v>En Revisión</v>
      </c>
      <c r="R106" s="12" t="str">
        <f t="shared" si="5"/>
        <v>Riesgo Medio</v>
      </c>
    </row>
    <row r="107">
      <c r="A107" s="1" t="s">
        <v>1656</v>
      </c>
      <c r="B107" s="9" t="s">
        <v>1658</v>
      </c>
      <c r="C107" s="9" t="s">
        <v>1660</v>
      </c>
      <c r="D107" s="1" t="s">
        <v>1661</v>
      </c>
      <c r="E107" s="1" t="s">
        <v>56</v>
      </c>
      <c r="F107" s="1" t="s">
        <v>39</v>
      </c>
      <c r="G107" s="1" t="s">
        <v>40</v>
      </c>
      <c r="H107" s="2">
        <v>9430000.0</v>
      </c>
      <c r="I107" s="1">
        <v>0.0</v>
      </c>
      <c r="J107" s="9" t="s">
        <v>28</v>
      </c>
      <c r="K107" s="5">
        <v>46226.0</v>
      </c>
      <c r="L107" s="11" t="s">
        <v>100</v>
      </c>
      <c r="M107" s="11"/>
      <c r="N107" s="4" t="str">
        <f t="shared" si="1"/>
        <v>Camila Vergara Morales</v>
      </c>
      <c r="O107" s="6" t="str">
        <f t="shared" si="2"/>
        <v>15.389.419-1</v>
      </c>
      <c r="P107" s="6" t="str">
        <f t="shared" si="3"/>
        <v>Talcahuano - Concepción - Región del Biobío</v>
      </c>
      <c r="Q107" s="4" t="str">
        <f t="shared" si="4"/>
        <v>Activo</v>
      </c>
      <c r="R107" s="12" t="str">
        <f t="shared" si="5"/>
        <v>Riesgo Bajo</v>
      </c>
    </row>
    <row r="108">
      <c r="A108" s="1" t="s">
        <v>317</v>
      </c>
      <c r="B108" s="9" t="s">
        <v>318</v>
      </c>
      <c r="C108" s="9" t="s">
        <v>319</v>
      </c>
      <c r="D108" s="1" t="s">
        <v>321</v>
      </c>
      <c r="E108" s="1" t="s">
        <v>33</v>
      </c>
      <c r="F108" s="1" t="s">
        <v>33</v>
      </c>
      <c r="G108" s="1" t="s">
        <v>34</v>
      </c>
      <c r="H108" s="2">
        <v>1.895E7</v>
      </c>
      <c r="I108" s="1">
        <v>0.0</v>
      </c>
      <c r="J108" s="9" t="s">
        <v>28</v>
      </c>
      <c r="K108" s="5">
        <v>46075.0</v>
      </c>
      <c r="L108" s="11" t="s">
        <v>160</v>
      </c>
      <c r="M108" s="11"/>
      <c r="N108" s="4" t="str">
        <f t="shared" si="1"/>
        <v>Camila Vergara Sepúlveda</v>
      </c>
      <c r="O108" s="6" t="str">
        <f t="shared" si="2"/>
        <v>19.107.255-1</v>
      </c>
      <c r="P108" s="6" t="str">
        <f t="shared" si="3"/>
        <v>Puerto Montt - Puerto Montt - Región de Los Lagos</v>
      </c>
      <c r="Q108" s="4" t="str">
        <f t="shared" si="4"/>
        <v>Activo</v>
      </c>
      <c r="R108" s="12" t="str">
        <f t="shared" si="5"/>
        <v>Riesgo Bajo</v>
      </c>
    </row>
    <row r="109">
      <c r="A109" s="1" t="s">
        <v>880</v>
      </c>
      <c r="B109" s="9" t="s">
        <v>881</v>
      </c>
      <c r="C109" s="9" t="s">
        <v>1678</v>
      </c>
      <c r="D109" s="1" t="s">
        <v>883</v>
      </c>
      <c r="E109" s="1" t="s">
        <v>39</v>
      </c>
      <c r="F109" s="1" t="s">
        <v>39</v>
      </c>
      <c r="G109" s="1" t="s">
        <v>40</v>
      </c>
      <c r="H109" s="2">
        <v>1.654E7</v>
      </c>
      <c r="I109" s="1">
        <v>30.0</v>
      </c>
      <c r="J109" s="9" t="s">
        <v>28</v>
      </c>
      <c r="K109" s="5">
        <v>46131.0</v>
      </c>
      <c r="L109" s="11" t="s">
        <v>181</v>
      </c>
      <c r="M109" s="11"/>
      <c r="N109" s="4" t="str">
        <f t="shared" si="1"/>
        <v>Camila Vergara Tapia</v>
      </c>
      <c r="O109" s="6" t="str">
        <f t="shared" si="2"/>
        <v>22.398.288-8</v>
      </c>
      <c r="P109" s="6" t="str">
        <f t="shared" si="3"/>
        <v>Concepción - Concepción - Región del Biobío</v>
      </c>
      <c r="Q109" s="4" t="str">
        <f t="shared" si="4"/>
        <v>Activo</v>
      </c>
      <c r="R109" s="12" t="str">
        <f t="shared" si="5"/>
        <v>Riesgo Bajo</v>
      </c>
    </row>
    <row r="110">
      <c r="A110" s="1" t="s">
        <v>1686</v>
      </c>
      <c r="B110" s="9" t="s">
        <v>1688</v>
      </c>
      <c r="C110" s="9" t="s">
        <v>1690</v>
      </c>
      <c r="D110" s="1" t="s">
        <v>1691</v>
      </c>
      <c r="E110" s="1" t="s">
        <v>72</v>
      </c>
      <c r="F110" s="1" t="s">
        <v>62</v>
      </c>
      <c r="G110" s="1" t="s">
        <v>63</v>
      </c>
      <c r="H110" s="2">
        <v>1580000.0</v>
      </c>
      <c r="I110" s="1">
        <v>0.0</v>
      </c>
      <c r="J110" s="9" t="s">
        <v>20</v>
      </c>
      <c r="K110" s="5">
        <v>46175.0</v>
      </c>
      <c r="L110" s="11" t="s">
        <v>199</v>
      </c>
      <c r="M110" s="11"/>
      <c r="N110" s="4" t="str">
        <f t="shared" si="1"/>
        <v>Camila Vergara Valenzuela</v>
      </c>
      <c r="O110" s="6" t="str">
        <f t="shared" si="2"/>
        <v>17.304.268-1</v>
      </c>
      <c r="P110" s="6" t="str">
        <f t="shared" si="3"/>
        <v>Providencia - Santiago - Región Metropolitana</v>
      </c>
      <c r="Q110" s="4" t="str">
        <f t="shared" si="4"/>
        <v>En Revisión</v>
      </c>
      <c r="R110" s="12" t="str">
        <f t="shared" si="5"/>
        <v>Riesgo Medio</v>
      </c>
    </row>
    <row r="111">
      <c r="A111" s="1" t="s">
        <v>1692</v>
      </c>
      <c r="B111" s="9" t="s">
        <v>1693</v>
      </c>
      <c r="C111" s="9" t="s">
        <v>1695</v>
      </c>
      <c r="D111" s="1" t="s">
        <v>1697</v>
      </c>
      <c r="E111" s="1" t="s">
        <v>158</v>
      </c>
      <c r="F111" s="1" t="s">
        <v>158</v>
      </c>
      <c r="G111" s="1" t="s">
        <v>159</v>
      </c>
      <c r="H111" s="2">
        <v>1.968E7</v>
      </c>
      <c r="I111" s="1">
        <v>0.0</v>
      </c>
      <c r="J111" s="9" t="s">
        <v>97</v>
      </c>
      <c r="K111" s="5">
        <v>46033.0</v>
      </c>
      <c r="L111" s="11" t="s">
        <v>207</v>
      </c>
      <c r="M111" s="11"/>
      <c r="N111" s="4" t="str">
        <f t="shared" si="1"/>
        <v>Carolina Araya López</v>
      </c>
      <c r="O111" s="6" t="str">
        <f t="shared" si="2"/>
        <v>21.406.401-6</v>
      </c>
      <c r="P111" s="6" t="str">
        <f t="shared" si="3"/>
        <v>Antofagasta - Antofagasta - Región de Antofagasta</v>
      </c>
      <c r="Q111" s="4" t="str">
        <f t="shared" si="4"/>
        <v>Inactivo</v>
      </c>
      <c r="R111" s="12" t="str">
        <f t="shared" si="5"/>
        <v>Riesgo Bajo</v>
      </c>
    </row>
    <row r="112">
      <c r="A112" s="1" t="s">
        <v>1705</v>
      </c>
      <c r="B112" s="9" t="s">
        <v>1706</v>
      </c>
      <c r="C112" s="9" t="s">
        <v>1707</v>
      </c>
      <c r="D112" s="1" t="s">
        <v>203</v>
      </c>
      <c r="E112" s="1" t="s">
        <v>61</v>
      </c>
      <c r="F112" s="1" t="s">
        <v>62</v>
      </c>
      <c r="G112" s="1" t="s">
        <v>63</v>
      </c>
      <c r="H112" s="2">
        <v>2450000.0</v>
      </c>
      <c r="I112" s="1">
        <v>0.0</v>
      </c>
      <c r="J112" s="9" t="s">
        <v>20</v>
      </c>
      <c r="K112" s="5">
        <v>46107.0</v>
      </c>
      <c r="L112" s="11" t="s">
        <v>160</v>
      </c>
      <c r="M112" s="11"/>
      <c r="N112" s="4" t="str">
        <f t="shared" si="1"/>
        <v>Carolina Araya Muñoz</v>
      </c>
      <c r="O112" s="6" t="str">
        <f t="shared" si="2"/>
        <v>15.362.740-2</v>
      </c>
      <c r="P112" s="6" t="str">
        <f t="shared" si="3"/>
        <v>Santiago Centro - Santiago - Región Metropolitana</v>
      </c>
      <c r="Q112" s="4" t="str">
        <f t="shared" si="4"/>
        <v>En Revisión</v>
      </c>
      <c r="R112" s="12" t="str">
        <f t="shared" si="5"/>
        <v>Riesgo Medio</v>
      </c>
    </row>
    <row r="113">
      <c r="A113" s="1" t="s">
        <v>200</v>
      </c>
      <c r="B113" s="9" t="s">
        <v>201</v>
      </c>
      <c r="C113" s="9" t="s">
        <v>1715</v>
      </c>
      <c r="D113" s="1" t="s">
        <v>203</v>
      </c>
      <c r="E113" s="1" t="s">
        <v>18</v>
      </c>
      <c r="F113" s="1" t="s">
        <v>18</v>
      </c>
      <c r="G113" s="1" t="s">
        <v>19</v>
      </c>
      <c r="H113" s="2">
        <v>2.124E7</v>
      </c>
      <c r="I113" s="1">
        <v>120.0</v>
      </c>
      <c r="J113" s="9" t="s">
        <v>28</v>
      </c>
      <c r="K113" s="5">
        <v>46192.0</v>
      </c>
      <c r="L113" s="11" t="s">
        <v>100</v>
      </c>
      <c r="M113" s="11"/>
      <c r="N113" s="4" t="str">
        <f t="shared" si="1"/>
        <v>Carolina Araya Pérez</v>
      </c>
      <c r="O113" s="6" t="str">
        <f t="shared" si="2"/>
        <v>16582459-2</v>
      </c>
      <c r="P113" s="6" t="str">
        <f t="shared" si="3"/>
        <v>La Serena - La Serena - Región de Coquimbo</v>
      </c>
      <c r="Q113" s="4" t="str">
        <f t="shared" si="4"/>
        <v>Activo</v>
      </c>
      <c r="R113" s="12" t="str">
        <f t="shared" si="5"/>
        <v>Riesgo Alto</v>
      </c>
    </row>
    <row r="114">
      <c r="A114" s="1" t="s">
        <v>1721</v>
      </c>
      <c r="B114" s="9" t="s">
        <v>1722</v>
      </c>
      <c r="C114" s="9" t="s">
        <v>1715</v>
      </c>
      <c r="D114" s="1" t="s">
        <v>1726</v>
      </c>
      <c r="E114" s="1" t="s">
        <v>56</v>
      </c>
      <c r="F114" s="1" t="s">
        <v>39</v>
      </c>
      <c r="G114" s="1" t="s">
        <v>40</v>
      </c>
      <c r="H114" s="2">
        <v>1.616E7</v>
      </c>
      <c r="I114" s="1">
        <v>45.0</v>
      </c>
      <c r="J114" s="9" t="s">
        <v>20</v>
      </c>
      <c r="K114" s="5">
        <v>46214.0</v>
      </c>
      <c r="L114" s="11" t="s">
        <v>160</v>
      </c>
      <c r="M114" s="11"/>
      <c r="N114" s="4" t="str">
        <f t="shared" si="1"/>
        <v>Carolina Araya Pérez</v>
      </c>
      <c r="O114" s="6" t="str">
        <f t="shared" si="2"/>
        <v>11523517-0</v>
      </c>
      <c r="P114" s="6" t="str">
        <f t="shared" si="3"/>
        <v>Talcahuano - Concepción - Región del Biobío</v>
      </c>
      <c r="Q114" s="4" t="str">
        <f t="shared" si="4"/>
        <v>En Revisión</v>
      </c>
      <c r="R114" s="12" t="str">
        <f t="shared" si="5"/>
        <v>Riesgo Medio</v>
      </c>
    </row>
    <row r="115">
      <c r="A115" s="1" t="s">
        <v>1128</v>
      </c>
      <c r="B115" s="9" t="s">
        <v>1129</v>
      </c>
      <c r="C115" s="9" t="s">
        <v>1130</v>
      </c>
      <c r="D115" s="1" t="s">
        <v>1132</v>
      </c>
      <c r="E115" s="1" t="s">
        <v>118</v>
      </c>
      <c r="F115" s="1" t="s">
        <v>62</v>
      </c>
      <c r="G115" s="1" t="s">
        <v>63</v>
      </c>
      <c r="H115" s="2">
        <v>1680000.0</v>
      </c>
      <c r="I115" s="1">
        <v>0.0</v>
      </c>
      <c r="J115" s="9" t="s">
        <v>97</v>
      </c>
      <c r="K115" s="5">
        <v>46198.0</v>
      </c>
      <c r="L115" s="11" t="s">
        <v>160</v>
      </c>
      <c r="M115" s="11"/>
      <c r="N115" s="4" t="str">
        <f t="shared" si="1"/>
        <v>Carolina Contreras Espinoza</v>
      </c>
      <c r="O115" s="6" t="str">
        <f t="shared" si="2"/>
        <v>14.053.360-1</v>
      </c>
      <c r="P115" s="6" t="str">
        <f t="shared" si="3"/>
        <v>Maipú - Santiago - Región Metropolitana</v>
      </c>
      <c r="Q115" s="4" t="str">
        <f t="shared" si="4"/>
        <v>Inactivo</v>
      </c>
      <c r="R115" s="12" t="str">
        <f t="shared" si="5"/>
        <v>Riesgo Bajo</v>
      </c>
    </row>
    <row r="116">
      <c r="A116" s="1" t="s">
        <v>1236</v>
      </c>
      <c r="B116" s="9" t="s">
        <v>1237</v>
      </c>
      <c r="C116" s="9" t="s">
        <v>1238</v>
      </c>
      <c r="D116" s="1" t="s">
        <v>1240</v>
      </c>
      <c r="E116" s="1" t="s">
        <v>18</v>
      </c>
      <c r="F116" s="1" t="s">
        <v>18</v>
      </c>
      <c r="G116" s="1" t="s">
        <v>19</v>
      </c>
      <c r="H116" s="2">
        <v>1.316E7</v>
      </c>
      <c r="I116" s="1">
        <v>15.0</v>
      </c>
      <c r="J116" s="9" t="s">
        <v>20</v>
      </c>
      <c r="K116" s="5">
        <v>46049.0</v>
      </c>
      <c r="L116" s="11" t="s">
        <v>181</v>
      </c>
      <c r="M116" s="11"/>
      <c r="N116" s="4" t="str">
        <f t="shared" si="1"/>
        <v>Carolina Contreras Pérez</v>
      </c>
      <c r="O116" s="6" t="str">
        <f t="shared" si="2"/>
        <v>15.748.609-1</v>
      </c>
      <c r="P116" s="6" t="str">
        <f t="shared" si="3"/>
        <v>La Serena - La Serena - Región de Coquimbo</v>
      </c>
      <c r="Q116" s="4" t="str">
        <f t="shared" si="4"/>
        <v>En Revisión</v>
      </c>
      <c r="R116" s="12" t="str">
        <f t="shared" si="5"/>
        <v>Riesgo Medio</v>
      </c>
    </row>
    <row r="117">
      <c r="A117" s="1" t="s">
        <v>965</v>
      </c>
      <c r="B117" s="9" t="s">
        <v>966</v>
      </c>
      <c r="C117" s="9" t="s">
        <v>967</v>
      </c>
      <c r="D117" s="1" t="s">
        <v>969</v>
      </c>
      <c r="E117" s="1" t="s">
        <v>39</v>
      </c>
      <c r="F117" s="1" t="s">
        <v>39</v>
      </c>
      <c r="G117" s="1" t="s">
        <v>40</v>
      </c>
      <c r="H117" s="2">
        <v>1.286E7</v>
      </c>
      <c r="I117" s="1">
        <v>60.0</v>
      </c>
      <c r="J117" s="9" t="s">
        <v>28</v>
      </c>
      <c r="K117" s="5">
        <v>46160.0</v>
      </c>
      <c r="L117" s="11" t="s">
        <v>160</v>
      </c>
      <c r="M117" s="11"/>
      <c r="N117" s="4" t="str">
        <f t="shared" si="1"/>
        <v>Carolina Díaz Espinoza</v>
      </c>
      <c r="O117" s="6" t="str">
        <f t="shared" si="2"/>
        <v>13.760.186-2</v>
      </c>
      <c r="P117" s="6" t="str">
        <f t="shared" si="3"/>
        <v>Concepción - Concepción - Región del Biobío</v>
      </c>
      <c r="Q117" s="4" t="str">
        <f t="shared" si="4"/>
        <v>Activo</v>
      </c>
      <c r="R117" s="12" t="str">
        <f t="shared" si="5"/>
        <v>Riesgo Medio</v>
      </c>
    </row>
    <row r="118">
      <c r="A118" s="1" t="s">
        <v>1758</v>
      </c>
      <c r="B118" s="9" t="s">
        <v>1759</v>
      </c>
      <c r="C118" s="9" t="s">
        <v>1760</v>
      </c>
      <c r="D118" s="1" t="s">
        <v>1762</v>
      </c>
      <c r="E118" s="1" t="s">
        <v>118</v>
      </c>
      <c r="F118" s="1" t="s">
        <v>62</v>
      </c>
      <c r="G118" s="1" t="s">
        <v>63</v>
      </c>
      <c r="H118" s="2">
        <v>1.859E7</v>
      </c>
      <c r="I118" s="1">
        <v>60.0</v>
      </c>
      <c r="J118" s="9" t="s">
        <v>97</v>
      </c>
      <c r="K118" s="5">
        <v>46144.0</v>
      </c>
      <c r="L118" s="11" t="s">
        <v>160</v>
      </c>
      <c r="M118" s="11"/>
      <c r="N118" s="4" t="str">
        <f t="shared" si="1"/>
        <v>Carolina Espinoza Díaz</v>
      </c>
      <c r="O118" s="6" t="str">
        <f t="shared" si="2"/>
        <v>15.243.099-8</v>
      </c>
      <c r="P118" s="6" t="str">
        <f t="shared" si="3"/>
        <v>Maipú - Santiago - Región Metropolitana</v>
      </c>
      <c r="Q118" s="4" t="str">
        <f t="shared" si="4"/>
        <v>Inactivo</v>
      </c>
      <c r="R118" s="12" t="str">
        <f t="shared" si="5"/>
        <v>Riesgo Medio</v>
      </c>
    </row>
    <row r="119">
      <c r="A119" s="1" t="s">
        <v>1772</v>
      </c>
      <c r="B119" s="9" t="s">
        <v>1773</v>
      </c>
      <c r="C119" s="9" t="s">
        <v>1774</v>
      </c>
      <c r="D119" s="1" t="s">
        <v>1775</v>
      </c>
      <c r="E119" s="1" t="s">
        <v>45</v>
      </c>
      <c r="F119" s="1" t="s">
        <v>45</v>
      </c>
      <c r="G119" s="1" t="s">
        <v>46</v>
      </c>
      <c r="H119" s="2">
        <v>1.698E7</v>
      </c>
      <c r="I119" s="1">
        <v>15.0</v>
      </c>
      <c r="J119" s="9" t="s">
        <v>97</v>
      </c>
      <c r="K119" s="5">
        <v>46074.0</v>
      </c>
      <c r="L119" s="11" t="s">
        <v>207</v>
      </c>
      <c r="M119" s="11"/>
      <c r="N119" s="4" t="str">
        <f t="shared" si="1"/>
        <v>Carolina Espinoza Espinoza</v>
      </c>
      <c r="O119" s="6" t="str">
        <f t="shared" si="2"/>
        <v>11.817.630-6</v>
      </c>
      <c r="P119" s="6" t="str">
        <f t="shared" si="3"/>
        <v>Temuco - Temuco - Región de la Araucanía</v>
      </c>
      <c r="Q119" s="4" t="str">
        <f t="shared" si="4"/>
        <v>Inactivo</v>
      </c>
      <c r="R119" s="12" t="str">
        <f t="shared" si="5"/>
        <v>Riesgo Bajo</v>
      </c>
    </row>
    <row r="120">
      <c r="A120" s="1" t="s">
        <v>1784</v>
      </c>
      <c r="B120" s="9" t="s">
        <v>1785</v>
      </c>
      <c r="C120" s="9" t="s">
        <v>1786</v>
      </c>
      <c r="D120" s="1" t="s">
        <v>1787</v>
      </c>
      <c r="E120" s="1" t="s">
        <v>109</v>
      </c>
      <c r="F120" s="1" t="s">
        <v>62</v>
      </c>
      <c r="G120" s="1" t="s">
        <v>63</v>
      </c>
      <c r="H120" s="2">
        <v>1.489E7</v>
      </c>
      <c r="I120" s="1">
        <v>90.0</v>
      </c>
      <c r="J120" s="9" t="s">
        <v>28</v>
      </c>
      <c r="K120" s="5">
        <v>46170.0</v>
      </c>
      <c r="L120" s="11" t="s">
        <v>160</v>
      </c>
      <c r="M120" s="11"/>
      <c r="N120" s="4" t="str">
        <f t="shared" si="1"/>
        <v>Carolina Fuentes Valenzuela</v>
      </c>
      <c r="O120" s="6" t="str">
        <f t="shared" si="2"/>
        <v>20033907-7</v>
      </c>
      <c r="P120" s="6" t="str">
        <f t="shared" si="3"/>
        <v>Ñuñoa - Santiago - Región Metropolitana</v>
      </c>
      <c r="Q120" s="4" t="str">
        <f t="shared" si="4"/>
        <v>Activo</v>
      </c>
      <c r="R120" s="12" t="str">
        <f t="shared" si="5"/>
        <v>Riesgo Alto</v>
      </c>
    </row>
    <row r="121">
      <c r="A121" s="1" t="s">
        <v>1797</v>
      </c>
      <c r="B121" s="9" t="s">
        <v>1798</v>
      </c>
      <c r="C121" s="9" t="s">
        <v>1786</v>
      </c>
      <c r="D121" s="1" t="s">
        <v>1801</v>
      </c>
      <c r="E121" s="1" t="s">
        <v>61</v>
      </c>
      <c r="F121" s="1" t="s">
        <v>62</v>
      </c>
      <c r="G121" s="1" t="s">
        <v>63</v>
      </c>
      <c r="H121" s="2">
        <v>1.025E7</v>
      </c>
      <c r="I121" s="1">
        <v>30.0</v>
      </c>
      <c r="J121" s="9" t="s">
        <v>97</v>
      </c>
      <c r="K121" s="5">
        <v>46197.0</v>
      </c>
      <c r="L121" s="11" t="s">
        <v>207</v>
      </c>
      <c r="M121" s="11"/>
      <c r="N121" s="4" t="str">
        <f t="shared" si="1"/>
        <v>Carolina Fuentes Valenzuela</v>
      </c>
      <c r="O121" s="6" t="str">
        <f t="shared" si="2"/>
        <v>17.104.224-5</v>
      </c>
      <c r="P121" s="6" t="str">
        <f t="shared" si="3"/>
        <v>Santiago Centro - Santiago - Región Metropolitana</v>
      </c>
      <c r="Q121" s="4" t="str">
        <f t="shared" si="4"/>
        <v>Inactivo</v>
      </c>
      <c r="R121" s="12" t="str">
        <f t="shared" si="5"/>
        <v>Riesgo Bajo</v>
      </c>
    </row>
    <row r="122">
      <c r="A122" s="1" t="s">
        <v>1810</v>
      </c>
      <c r="B122" s="9" t="s">
        <v>1811</v>
      </c>
      <c r="C122" s="9" t="s">
        <v>1812</v>
      </c>
      <c r="D122" s="1" t="s">
        <v>1813</v>
      </c>
      <c r="E122" s="1" t="s">
        <v>158</v>
      </c>
      <c r="F122" s="1" t="s">
        <v>158</v>
      </c>
      <c r="G122" s="1" t="s">
        <v>159</v>
      </c>
      <c r="H122" s="2">
        <v>1.288E7</v>
      </c>
      <c r="I122" s="1">
        <v>0.0</v>
      </c>
      <c r="J122" s="9" t="s">
        <v>97</v>
      </c>
      <c r="K122" s="5">
        <v>46044.0</v>
      </c>
      <c r="L122" s="11" t="s">
        <v>100</v>
      </c>
      <c r="M122" s="11"/>
      <c r="N122" s="4" t="str">
        <f t="shared" si="1"/>
        <v>Carolina González Pérez</v>
      </c>
      <c r="O122" s="6" t="str">
        <f t="shared" si="2"/>
        <v>19.237.425-6</v>
      </c>
      <c r="P122" s="6" t="str">
        <f t="shared" si="3"/>
        <v>Antofagasta - Antofagasta - Región de Antofagasta</v>
      </c>
      <c r="Q122" s="4" t="str">
        <f t="shared" si="4"/>
        <v>Inactivo</v>
      </c>
      <c r="R122" s="12" t="str">
        <f t="shared" si="5"/>
        <v>Riesgo Bajo</v>
      </c>
    </row>
    <row r="123">
      <c r="A123" s="1" t="s">
        <v>1823</v>
      </c>
      <c r="B123" s="9" t="s">
        <v>1824</v>
      </c>
      <c r="C123" s="9" t="s">
        <v>1825</v>
      </c>
      <c r="D123" s="1" t="s">
        <v>1826</v>
      </c>
      <c r="E123" s="1" t="s">
        <v>118</v>
      </c>
      <c r="F123" s="1" t="s">
        <v>62</v>
      </c>
      <c r="G123" s="1" t="s">
        <v>63</v>
      </c>
      <c r="H123" s="2">
        <v>1.593E7</v>
      </c>
      <c r="I123" s="1">
        <v>0.0</v>
      </c>
      <c r="J123" s="9" t="s">
        <v>28</v>
      </c>
      <c r="K123" s="5">
        <v>46132.0</v>
      </c>
      <c r="L123" s="11" t="s">
        <v>207</v>
      </c>
      <c r="M123" s="11"/>
      <c r="N123" s="4" t="str">
        <f t="shared" si="1"/>
        <v>Carolina González Soto</v>
      </c>
      <c r="O123" s="6" t="str">
        <f t="shared" si="2"/>
        <v>11954776-2</v>
      </c>
      <c r="P123" s="6" t="str">
        <f t="shared" si="3"/>
        <v>Maipú - Santiago - Región Metropolitana</v>
      </c>
      <c r="Q123" s="4" t="str">
        <f t="shared" si="4"/>
        <v>Activo</v>
      </c>
      <c r="R123" s="12" t="str">
        <f t="shared" si="5"/>
        <v>Riesgo Bajo</v>
      </c>
    </row>
    <row r="124">
      <c r="A124" s="1" t="s">
        <v>1819</v>
      </c>
      <c r="B124" s="9" t="s">
        <v>1820</v>
      </c>
      <c r="C124" s="9" t="s">
        <v>1836</v>
      </c>
      <c r="D124" s="1" t="s">
        <v>1822</v>
      </c>
      <c r="E124" s="1" t="s">
        <v>45</v>
      </c>
      <c r="F124" s="1" t="s">
        <v>45</v>
      </c>
      <c r="G124" s="1" t="s">
        <v>46</v>
      </c>
      <c r="H124" s="2">
        <v>2.068E7</v>
      </c>
      <c r="I124" s="1">
        <v>120.0</v>
      </c>
      <c r="J124" s="9" t="s">
        <v>28</v>
      </c>
      <c r="K124" s="5">
        <v>46091.0</v>
      </c>
      <c r="L124" s="11" t="s">
        <v>207</v>
      </c>
      <c r="M124" s="11"/>
      <c r="N124" s="4" t="str">
        <f t="shared" si="1"/>
        <v>Carolina González Valenzuela</v>
      </c>
      <c r="O124" s="6" t="str">
        <f t="shared" si="2"/>
        <v>20.135.847-2</v>
      </c>
      <c r="P124" s="6" t="str">
        <f t="shared" si="3"/>
        <v>Temuco - Temuco - Región de la Araucanía</v>
      </c>
      <c r="Q124" s="4" t="str">
        <f t="shared" si="4"/>
        <v>Activo</v>
      </c>
      <c r="R124" s="12" t="str">
        <f t="shared" si="5"/>
        <v>Riesgo Alto</v>
      </c>
    </row>
    <row r="125">
      <c r="A125" s="1" t="s">
        <v>1844</v>
      </c>
      <c r="B125" s="9" t="s">
        <v>1845</v>
      </c>
      <c r="C125" s="9" t="s">
        <v>1846</v>
      </c>
      <c r="D125" s="1" t="s">
        <v>1848</v>
      </c>
      <c r="E125" s="1" t="s">
        <v>39</v>
      </c>
      <c r="F125" s="1" t="s">
        <v>39</v>
      </c>
      <c r="G125" s="1" t="s">
        <v>40</v>
      </c>
      <c r="H125" s="2">
        <v>2.043E7</v>
      </c>
      <c r="I125" s="1">
        <v>45.0</v>
      </c>
      <c r="J125" s="9" t="s">
        <v>20</v>
      </c>
      <c r="K125" s="5">
        <v>46165.0</v>
      </c>
      <c r="L125" s="11" t="s">
        <v>100</v>
      </c>
      <c r="M125" s="11"/>
      <c r="N125" s="4" t="str">
        <f t="shared" si="1"/>
        <v>Carolina López González</v>
      </c>
      <c r="O125" s="6" t="str">
        <f t="shared" si="2"/>
        <v>14739177-1</v>
      </c>
      <c r="P125" s="6" t="str">
        <f t="shared" si="3"/>
        <v>Concepción - Concepción - Región del Biobío</v>
      </c>
      <c r="Q125" s="4" t="str">
        <f t="shared" si="4"/>
        <v>En Revisión</v>
      </c>
      <c r="R125" s="12" t="str">
        <f t="shared" si="5"/>
        <v>Riesgo Medio</v>
      </c>
    </row>
    <row r="126">
      <c r="A126" s="1" t="s">
        <v>1856</v>
      </c>
      <c r="B126" s="9" t="s">
        <v>1857</v>
      </c>
      <c r="C126" s="9" t="s">
        <v>1858</v>
      </c>
      <c r="D126" s="1" t="s">
        <v>1859</v>
      </c>
      <c r="E126" s="1" t="s">
        <v>61</v>
      </c>
      <c r="F126" s="1" t="s">
        <v>62</v>
      </c>
      <c r="G126" s="1" t="s">
        <v>63</v>
      </c>
      <c r="H126" s="2">
        <v>2360000.0</v>
      </c>
      <c r="I126" s="1">
        <v>0.0</v>
      </c>
      <c r="J126" s="9" t="s">
        <v>97</v>
      </c>
      <c r="K126" s="5">
        <v>46116.0</v>
      </c>
      <c r="L126" s="11" t="s">
        <v>181</v>
      </c>
      <c r="M126" s="11"/>
      <c r="N126" s="4" t="str">
        <f t="shared" si="1"/>
        <v>Carolina Morales González</v>
      </c>
      <c r="O126" s="6" t="str">
        <f t="shared" si="2"/>
        <v>19.274.372-5</v>
      </c>
      <c r="P126" s="6" t="str">
        <f t="shared" si="3"/>
        <v>Santiago Centro - Santiago - Región Metropolitana</v>
      </c>
      <c r="Q126" s="4" t="str">
        <f t="shared" si="4"/>
        <v>Inactivo</v>
      </c>
      <c r="R126" s="12" t="str">
        <f t="shared" si="5"/>
        <v>Riesgo Bajo</v>
      </c>
    </row>
    <row r="127">
      <c r="A127" s="1" t="s">
        <v>1864</v>
      </c>
      <c r="B127" s="9" t="s">
        <v>1865</v>
      </c>
      <c r="C127" s="9" t="s">
        <v>1866</v>
      </c>
      <c r="D127" s="1" t="s">
        <v>1867</v>
      </c>
      <c r="E127" s="1" t="s">
        <v>56</v>
      </c>
      <c r="F127" s="1" t="s">
        <v>39</v>
      </c>
      <c r="G127" s="1" t="s">
        <v>40</v>
      </c>
      <c r="H127" s="2">
        <v>2.046E7</v>
      </c>
      <c r="I127" s="1">
        <v>0.0</v>
      </c>
      <c r="J127" s="9" t="s">
        <v>20</v>
      </c>
      <c r="K127" s="5">
        <v>46099.0</v>
      </c>
      <c r="L127" s="11" t="s">
        <v>100</v>
      </c>
      <c r="M127" s="11"/>
      <c r="N127" s="4" t="str">
        <f t="shared" si="1"/>
        <v>Carolina Morales López</v>
      </c>
      <c r="O127" s="6" t="str">
        <f t="shared" si="2"/>
        <v>13949475-4</v>
      </c>
      <c r="P127" s="6" t="str">
        <f t="shared" si="3"/>
        <v>Talcahuano - Concepción - Región del Biobío</v>
      </c>
      <c r="Q127" s="4" t="str">
        <f t="shared" si="4"/>
        <v>En Revisión</v>
      </c>
      <c r="R127" s="12" t="str">
        <f t="shared" si="5"/>
        <v>Riesgo Medio</v>
      </c>
    </row>
    <row r="128">
      <c r="A128" s="1" t="s">
        <v>1873</v>
      </c>
      <c r="B128" s="9" t="s">
        <v>1874</v>
      </c>
      <c r="C128" s="9" t="s">
        <v>1875</v>
      </c>
      <c r="D128" s="1" t="s">
        <v>1876</v>
      </c>
      <c r="E128" s="1" t="s">
        <v>109</v>
      </c>
      <c r="F128" s="1" t="s">
        <v>62</v>
      </c>
      <c r="G128" s="1" t="s">
        <v>63</v>
      </c>
      <c r="H128" s="2">
        <v>8610000.0</v>
      </c>
      <c r="I128" s="1">
        <v>30.0</v>
      </c>
      <c r="J128" s="9" t="s">
        <v>28</v>
      </c>
      <c r="K128" s="5">
        <v>46061.0</v>
      </c>
      <c r="L128" s="11" t="s">
        <v>207</v>
      </c>
      <c r="M128" s="11"/>
      <c r="N128" s="4" t="str">
        <f t="shared" si="1"/>
        <v>Carolina Pérez Sepúlveda</v>
      </c>
      <c r="O128" s="6" t="str">
        <f t="shared" si="2"/>
        <v>13.182.612-K</v>
      </c>
      <c r="P128" s="6" t="str">
        <f t="shared" si="3"/>
        <v>Ñuñoa - Santiago - Región Metropolitana</v>
      </c>
      <c r="Q128" s="4" t="str">
        <f t="shared" si="4"/>
        <v>Activo</v>
      </c>
      <c r="R128" s="12" t="str">
        <f t="shared" si="5"/>
        <v>Riesgo Bajo</v>
      </c>
    </row>
    <row r="129">
      <c r="A129" s="1" t="s">
        <v>1882</v>
      </c>
      <c r="B129" s="9" t="s">
        <v>1883</v>
      </c>
      <c r="C129" s="9" t="s">
        <v>1884</v>
      </c>
      <c r="D129" s="1" t="s">
        <v>1568</v>
      </c>
      <c r="E129" s="1" t="s">
        <v>26</v>
      </c>
      <c r="F129" s="1" t="s">
        <v>26</v>
      </c>
      <c r="G129" s="1" t="s">
        <v>27</v>
      </c>
      <c r="H129" s="2">
        <v>1.275E7</v>
      </c>
      <c r="I129" s="1">
        <v>0.0</v>
      </c>
      <c r="J129" s="9" t="s">
        <v>97</v>
      </c>
      <c r="K129" s="5">
        <v>46189.0</v>
      </c>
      <c r="L129" s="11" t="s">
        <v>160</v>
      </c>
      <c r="M129" s="11"/>
      <c r="N129" s="4" t="str">
        <f t="shared" si="1"/>
        <v>Carolina Rodríguez Araya</v>
      </c>
      <c r="O129" s="6" t="str">
        <f t="shared" si="2"/>
        <v>16.003.120-8</v>
      </c>
      <c r="P129" s="6" t="str">
        <f t="shared" si="3"/>
        <v>Valparaíso - Valparaíso - Región de Valparaíso</v>
      </c>
      <c r="Q129" s="4" t="str">
        <f t="shared" si="4"/>
        <v>Inactivo</v>
      </c>
      <c r="R129" s="12" t="str">
        <f t="shared" si="5"/>
        <v>Riesgo Bajo</v>
      </c>
    </row>
    <row r="130">
      <c r="A130" s="1" t="s">
        <v>1890</v>
      </c>
      <c r="B130" s="9" t="s">
        <v>1891</v>
      </c>
      <c r="C130" s="9" t="s">
        <v>1892</v>
      </c>
      <c r="D130" s="1" t="s">
        <v>1893</v>
      </c>
      <c r="E130" s="1" t="s">
        <v>194</v>
      </c>
      <c r="F130" s="1" t="s">
        <v>62</v>
      </c>
      <c r="G130" s="1" t="s">
        <v>63</v>
      </c>
      <c r="H130" s="2">
        <v>7850000.0</v>
      </c>
      <c r="I130" s="1">
        <v>0.0</v>
      </c>
      <c r="J130" s="9" t="s">
        <v>20</v>
      </c>
      <c r="K130" s="5">
        <v>46032.0</v>
      </c>
      <c r="L130" s="11" t="s">
        <v>160</v>
      </c>
      <c r="M130" s="11"/>
      <c r="N130" s="4" t="str">
        <f t="shared" si="1"/>
        <v>Carolina Rodríguez Espinoza</v>
      </c>
      <c r="O130" s="6" t="str">
        <f t="shared" si="2"/>
        <v>12923901-1</v>
      </c>
      <c r="P130" s="6" t="str">
        <f t="shared" si="3"/>
        <v>Las Condes - Santiago - Región Metropolitana</v>
      </c>
      <c r="Q130" s="4" t="str">
        <f t="shared" si="4"/>
        <v>En Revisión</v>
      </c>
      <c r="R130" s="12" t="str">
        <f t="shared" si="5"/>
        <v>Riesgo Medio</v>
      </c>
    </row>
    <row r="131">
      <c r="A131" s="1" t="s">
        <v>1565</v>
      </c>
      <c r="B131" s="9" t="s">
        <v>1566</v>
      </c>
      <c r="C131" s="9" t="s">
        <v>1567</v>
      </c>
      <c r="D131" s="1" t="s">
        <v>1568</v>
      </c>
      <c r="E131" s="1" t="s">
        <v>33</v>
      </c>
      <c r="F131" s="1" t="s">
        <v>33</v>
      </c>
      <c r="G131" s="1" t="s">
        <v>34</v>
      </c>
      <c r="H131" s="2">
        <v>1.375E7</v>
      </c>
      <c r="I131" s="1">
        <v>0.0</v>
      </c>
      <c r="J131" s="9" t="s">
        <v>97</v>
      </c>
      <c r="K131" s="5">
        <v>46212.0</v>
      </c>
      <c r="L131" s="11" t="s">
        <v>181</v>
      </c>
      <c r="M131" s="11"/>
      <c r="N131" s="4" t="str">
        <f t="shared" si="1"/>
        <v>Carolina Rodríguez Morales</v>
      </c>
      <c r="O131" s="6" t="str">
        <f t="shared" si="2"/>
        <v>13665216-3</v>
      </c>
      <c r="P131" s="6" t="str">
        <f t="shared" si="3"/>
        <v>Puerto Montt - Puerto Montt - Región de Los Lagos</v>
      </c>
      <c r="Q131" s="4" t="str">
        <f t="shared" si="4"/>
        <v>Inactivo</v>
      </c>
      <c r="R131" s="12" t="str">
        <f t="shared" si="5"/>
        <v>Riesgo Bajo</v>
      </c>
    </row>
    <row r="132">
      <c r="A132" s="1" t="s">
        <v>528</v>
      </c>
      <c r="B132" s="9" t="s">
        <v>530</v>
      </c>
      <c r="C132" s="9" t="s">
        <v>1906</v>
      </c>
      <c r="D132" s="1" t="s">
        <v>532</v>
      </c>
      <c r="E132" s="1" t="s">
        <v>25</v>
      </c>
      <c r="F132" s="1" t="s">
        <v>26</v>
      </c>
      <c r="G132" s="1" t="s">
        <v>27</v>
      </c>
      <c r="H132" s="2">
        <v>1140000.0</v>
      </c>
      <c r="I132" s="1">
        <v>60.0</v>
      </c>
      <c r="J132" s="9" t="s">
        <v>20</v>
      </c>
      <c r="K132" s="5">
        <v>46189.0</v>
      </c>
      <c r="L132" s="11" t="s">
        <v>160</v>
      </c>
      <c r="M132" s="11"/>
      <c r="N132" s="4" t="str">
        <f t="shared" si="1"/>
        <v>Carolina Rojas Araya</v>
      </c>
      <c r="O132" s="6" t="str">
        <f t="shared" si="2"/>
        <v>13.859.516-2</v>
      </c>
      <c r="P132" s="6" t="str">
        <f t="shared" si="3"/>
        <v>Viña del Mar - Valparaíso - Región de Valparaíso</v>
      </c>
      <c r="Q132" s="4" t="str">
        <f t="shared" si="4"/>
        <v>En Revisión</v>
      </c>
      <c r="R132" s="12" t="str">
        <f t="shared" si="5"/>
        <v>Riesgo Medio</v>
      </c>
    </row>
    <row r="133">
      <c r="A133" s="1" t="s">
        <v>1913</v>
      </c>
      <c r="B133" s="9" t="s">
        <v>1914</v>
      </c>
      <c r="C133" s="9" t="s">
        <v>1915</v>
      </c>
      <c r="D133" s="1" t="s">
        <v>1916</v>
      </c>
      <c r="E133" s="1" t="s">
        <v>72</v>
      </c>
      <c r="F133" s="1" t="s">
        <v>62</v>
      </c>
      <c r="G133" s="1" t="s">
        <v>63</v>
      </c>
      <c r="H133" s="2">
        <v>8320000.0</v>
      </c>
      <c r="I133" s="1">
        <v>0.0</v>
      </c>
      <c r="J133" s="9" t="s">
        <v>20</v>
      </c>
      <c r="K133" s="5">
        <v>46039.0</v>
      </c>
      <c r="L133" s="11" t="s">
        <v>160</v>
      </c>
      <c r="M133" s="11"/>
      <c r="N133" s="4" t="str">
        <f t="shared" si="1"/>
        <v>Carolina Sepúlveda Araya</v>
      </c>
      <c r="O133" s="6" t="str">
        <f t="shared" si="2"/>
        <v>18892472-7</v>
      </c>
      <c r="P133" s="6" t="str">
        <f t="shared" si="3"/>
        <v>Providencia - Santiago - Región Metropolitana</v>
      </c>
      <c r="Q133" s="4" t="str">
        <f t="shared" si="4"/>
        <v>En Revisión</v>
      </c>
      <c r="R133" s="12" t="str">
        <f t="shared" si="5"/>
        <v>Riesgo Medio</v>
      </c>
    </row>
    <row r="134">
      <c r="A134" s="1" t="s">
        <v>1923</v>
      </c>
      <c r="B134" s="9" t="s">
        <v>1924</v>
      </c>
      <c r="C134" s="9" t="s">
        <v>1925</v>
      </c>
      <c r="D134" s="1" t="s">
        <v>1926</v>
      </c>
      <c r="E134" s="1" t="s">
        <v>72</v>
      </c>
      <c r="F134" s="1" t="s">
        <v>62</v>
      </c>
      <c r="G134" s="1" t="s">
        <v>63</v>
      </c>
      <c r="H134" s="2">
        <v>7360000.0</v>
      </c>
      <c r="I134" s="1">
        <v>15.0</v>
      </c>
      <c r="J134" s="9" t="s">
        <v>28</v>
      </c>
      <c r="K134" s="5">
        <v>46146.0</v>
      </c>
      <c r="L134" s="11" t="s">
        <v>207</v>
      </c>
      <c r="M134" s="11"/>
      <c r="N134" s="4" t="str">
        <f t="shared" si="1"/>
        <v>Carolina Silva Fuentes</v>
      </c>
      <c r="O134" s="6" t="str">
        <f t="shared" si="2"/>
        <v>22.143.256-0</v>
      </c>
      <c r="P134" s="6" t="str">
        <f t="shared" si="3"/>
        <v>Providencia - Santiago - Región Metropolitana</v>
      </c>
      <c r="Q134" s="4" t="str">
        <f t="shared" si="4"/>
        <v>Activo</v>
      </c>
      <c r="R134" s="12" t="str">
        <f t="shared" si="5"/>
        <v>Riesgo Bajo</v>
      </c>
    </row>
    <row r="135">
      <c r="A135" s="1" t="s">
        <v>1932</v>
      </c>
      <c r="B135" s="9" t="s">
        <v>1933</v>
      </c>
      <c r="C135" s="9" t="s">
        <v>1934</v>
      </c>
      <c r="D135" s="1" t="s">
        <v>1935</v>
      </c>
      <c r="E135" s="1" t="s">
        <v>72</v>
      </c>
      <c r="F135" s="1" t="s">
        <v>62</v>
      </c>
      <c r="G135" s="1" t="s">
        <v>63</v>
      </c>
      <c r="H135" s="2">
        <v>6910000.0</v>
      </c>
      <c r="I135" s="1">
        <v>0.0</v>
      </c>
      <c r="J135" s="9" t="s">
        <v>20</v>
      </c>
      <c r="K135" s="5">
        <v>46136.0</v>
      </c>
      <c r="L135" s="11" t="s">
        <v>160</v>
      </c>
      <c r="M135" s="11"/>
      <c r="N135" s="4" t="str">
        <f t="shared" si="1"/>
        <v>Carolina Silva Rodríguez</v>
      </c>
      <c r="O135" s="6" t="str">
        <f t="shared" si="2"/>
        <v>22.471.805-K</v>
      </c>
      <c r="P135" s="6" t="str">
        <f t="shared" si="3"/>
        <v>Providencia - Santiago - Región Metropolitana</v>
      </c>
      <c r="Q135" s="4" t="str">
        <f t="shared" si="4"/>
        <v>En Revisión</v>
      </c>
      <c r="R135" s="12" t="str">
        <f t="shared" si="5"/>
        <v>Riesgo Medio</v>
      </c>
    </row>
    <row r="136">
      <c r="A136" s="1" t="s">
        <v>1936</v>
      </c>
      <c r="B136" s="9" t="s">
        <v>1937</v>
      </c>
      <c r="C136" s="9" t="s">
        <v>1938</v>
      </c>
      <c r="D136" s="1" t="s">
        <v>1939</v>
      </c>
      <c r="E136" s="1" t="s">
        <v>118</v>
      </c>
      <c r="F136" s="1" t="s">
        <v>62</v>
      </c>
      <c r="G136" s="1" t="s">
        <v>63</v>
      </c>
      <c r="H136" s="2">
        <v>1.997E7</v>
      </c>
      <c r="I136" s="1">
        <v>0.0</v>
      </c>
      <c r="J136" s="9" t="s">
        <v>20</v>
      </c>
      <c r="K136" s="5">
        <v>46189.0</v>
      </c>
      <c r="L136" s="11" t="s">
        <v>207</v>
      </c>
      <c r="M136" s="11"/>
      <c r="N136" s="4" t="str">
        <f t="shared" si="1"/>
        <v>Carolina Soto Espinoza</v>
      </c>
      <c r="O136" s="6" t="str">
        <f t="shared" si="2"/>
        <v>14.504.587-8</v>
      </c>
      <c r="P136" s="6" t="str">
        <f t="shared" si="3"/>
        <v>Maipú - Santiago - Región Metropolitana</v>
      </c>
      <c r="Q136" s="4" t="str">
        <f t="shared" si="4"/>
        <v>En Revisión</v>
      </c>
      <c r="R136" s="12" t="str">
        <f t="shared" si="5"/>
        <v>Riesgo Medio</v>
      </c>
    </row>
    <row r="137">
      <c r="A137" s="1" t="s">
        <v>1953</v>
      </c>
      <c r="B137" s="9" t="s">
        <v>1955</v>
      </c>
      <c r="C137" s="9" t="s">
        <v>1957</v>
      </c>
      <c r="D137" s="1" t="s">
        <v>1958</v>
      </c>
      <c r="E137" s="1" t="s">
        <v>61</v>
      </c>
      <c r="F137" s="1" t="s">
        <v>62</v>
      </c>
      <c r="G137" s="1" t="s">
        <v>63</v>
      </c>
      <c r="H137" s="2">
        <v>7200000.0</v>
      </c>
      <c r="I137" s="1">
        <v>0.0</v>
      </c>
      <c r="J137" s="9" t="s">
        <v>97</v>
      </c>
      <c r="K137" s="5">
        <v>46177.0</v>
      </c>
      <c r="L137" s="11" t="s">
        <v>100</v>
      </c>
      <c r="M137" s="11"/>
      <c r="N137" s="4" t="str">
        <f t="shared" si="1"/>
        <v>Carolina Soto Tapia</v>
      </c>
      <c r="O137" s="6" t="str">
        <f t="shared" si="2"/>
        <v>12.432.984-4</v>
      </c>
      <c r="P137" s="6" t="str">
        <f t="shared" si="3"/>
        <v>Santiago Centro - Santiago - Región Metropolitana</v>
      </c>
      <c r="Q137" s="4" t="str">
        <f t="shared" si="4"/>
        <v>Inactivo</v>
      </c>
      <c r="R137" s="12" t="str">
        <f t="shared" si="5"/>
        <v>Riesgo Bajo</v>
      </c>
    </row>
    <row r="138">
      <c r="A138" s="1" t="s">
        <v>1970</v>
      </c>
      <c r="B138" s="9" t="s">
        <v>1971</v>
      </c>
      <c r="C138" s="9" t="s">
        <v>1972</v>
      </c>
      <c r="D138" s="1" t="s">
        <v>1973</v>
      </c>
      <c r="E138" s="1" t="s">
        <v>118</v>
      </c>
      <c r="F138" s="1" t="s">
        <v>62</v>
      </c>
      <c r="G138" s="1" t="s">
        <v>63</v>
      </c>
      <c r="H138" s="2">
        <v>5920000.0</v>
      </c>
      <c r="I138" s="1">
        <v>0.0</v>
      </c>
      <c r="J138" s="9" t="s">
        <v>28</v>
      </c>
      <c r="K138" s="5">
        <v>46152.0</v>
      </c>
      <c r="L138" s="11" t="s">
        <v>207</v>
      </c>
      <c r="M138" s="11"/>
      <c r="N138" s="4" t="str">
        <f t="shared" si="1"/>
        <v>Carolina Tapia Rodríguez</v>
      </c>
      <c r="O138" s="6" t="str">
        <f t="shared" si="2"/>
        <v>16.790.585-1</v>
      </c>
      <c r="P138" s="6" t="str">
        <f t="shared" si="3"/>
        <v>Maipú - Santiago - Región Metropolitana</v>
      </c>
      <c r="Q138" s="4" t="str">
        <f t="shared" si="4"/>
        <v>Activo</v>
      </c>
      <c r="R138" s="12" t="str">
        <f t="shared" si="5"/>
        <v>Riesgo Bajo</v>
      </c>
    </row>
    <row r="139">
      <c r="A139" s="1" t="s">
        <v>1983</v>
      </c>
      <c r="B139" s="9" t="s">
        <v>1984</v>
      </c>
      <c r="C139" s="9" t="s">
        <v>1986</v>
      </c>
      <c r="D139" s="1" t="s">
        <v>1988</v>
      </c>
      <c r="E139" s="1" t="s">
        <v>26</v>
      </c>
      <c r="F139" s="1" t="s">
        <v>26</v>
      </c>
      <c r="G139" s="1" t="s">
        <v>27</v>
      </c>
      <c r="H139" s="2">
        <v>1.949E7</v>
      </c>
      <c r="I139" s="1">
        <v>120.0</v>
      </c>
      <c r="J139" s="9" t="s">
        <v>28</v>
      </c>
      <c r="K139" s="5">
        <v>46122.0</v>
      </c>
      <c r="L139" s="11" t="s">
        <v>160</v>
      </c>
      <c r="M139" s="11"/>
      <c r="N139" s="4" t="str">
        <f t="shared" si="1"/>
        <v>Carolina Tapia Tapia</v>
      </c>
      <c r="O139" s="6" t="str">
        <f t="shared" si="2"/>
        <v>13.738.369-1</v>
      </c>
      <c r="P139" s="6" t="str">
        <f t="shared" si="3"/>
        <v>Valparaíso - Valparaíso - Región de Valparaíso</v>
      </c>
      <c r="Q139" s="4" t="str">
        <f t="shared" si="4"/>
        <v>Activo</v>
      </c>
      <c r="R139" s="12" t="str">
        <f t="shared" si="5"/>
        <v>Riesgo Alto</v>
      </c>
    </row>
    <row r="140">
      <c r="A140" s="1" t="s">
        <v>64</v>
      </c>
      <c r="B140" s="9" t="s">
        <v>65</v>
      </c>
      <c r="C140" s="9" t="s">
        <v>2004</v>
      </c>
      <c r="D140" s="1" t="s">
        <v>67</v>
      </c>
      <c r="E140" s="1" t="s">
        <v>26</v>
      </c>
      <c r="F140" s="1" t="s">
        <v>26</v>
      </c>
      <c r="G140" s="1" t="s">
        <v>27</v>
      </c>
      <c r="H140" s="2">
        <v>1.878E7</v>
      </c>
      <c r="I140" s="1">
        <v>0.0</v>
      </c>
      <c r="J140" s="9" t="s">
        <v>20</v>
      </c>
      <c r="K140" s="5">
        <v>46120.0</v>
      </c>
      <c r="L140" s="11" t="s">
        <v>207</v>
      </c>
      <c r="M140" s="11"/>
      <c r="N140" s="4" t="str">
        <f t="shared" si="1"/>
        <v>Carolina Vergara Valenzuela</v>
      </c>
      <c r="O140" s="6" t="str">
        <f t="shared" si="2"/>
        <v>13660995-K</v>
      </c>
      <c r="P140" s="6" t="str">
        <f t="shared" si="3"/>
        <v>Valparaíso - Valparaíso - Región de Valparaíso</v>
      </c>
      <c r="Q140" s="4" t="str">
        <f t="shared" si="4"/>
        <v>En Revisión</v>
      </c>
      <c r="R140" s="12" t="str">
        <f t="shared" si="5"/>
        <v>Riesgo Medio</v>
      </c>
    </row>
    <row r="141">
      <c r="A141" s="1" t="s">
        <v>2016</v>
      </c>
      <c r="B141" s="9" t="s">
        <v>2018</v>
      </c>
      <c r="C141" s="9" t="s">
        <v>2019</v>
      </c>
      <c r="D141" s="1" t="s">
        <v>2020</v>
      </c>
      <c r="E141" s="1" t="s">
        <v>61</v>
      </c>
      <c r="F141" s="1" t="s">
        <v>62</v>
      </c>
      <c r="G141" s="1" t="s">
        <v>63</v>
      </c>
      <c r="H141" s="2">
        <v>1.976E7</v>
      </c>
      <c r="I141" s="1">
        <v>120.0</v>
      </c>
      <c r="J141" s="9" t="s">
        <v>20</v>
      </c>
      <c r="K141" s="5">
        <v>46231.0</v>
      </c>
      <c r="L141" s="11" t="s">
        <v>100</v>
      </c>
      <c r="M141" s="11"/>
      <c r="N141" s="4" t="str">
        <f t="shared" si="1"/>
        <v>Catalina Araya Morales</v>
      </c>
      <c r="O141" s="6" t="str">
        <f t="shared" si="2"/>
        <v>16.570.174-3</v>
      </c>
      <c r="P141" s="6" t="str">
        <f t="shared" si="3"/>
        <v>Santiago Centro - Santiago - Región Metropolitana</v>
      </c>
      <c r="Q141" s="4" t="str">
        <f t="shared" si="4"/>
        <v>En Revisión</v>
      </c>
      <c r="R141" s="12" t="str">
        <f t="shared" si="5"/>
        <v>Riesgo Medio</v>
      </c>
    </row>
    <row r="142">
      <c r="A142" s="1" t="s">
        <v>2033</v>
      </c>
      <c r="B142" s="9" t="s">
        <v>2034</v>
      </c>
      <c r="C142" s="9" t="s">
        <v>2035</v>
      </c>
      <c r="D142" s="1" t="s">
        <v>2036</v>
      </c>
      <c r="E142" s="1" t="s">
        <v>45</v>
      </c>
      <c r="F142" s="1" t="s">
        <v>45</v>
      </c>
      <c r="G142" s="1" t="s">
        <v>46</v>
      </c>
      <c r="H142" s="2">
        <v>1430000.0</v>
      </c>
      <c r="I142" s="1">
        <v>60.0</v>
      </c>
      <c r="J142" s="9" t="s">
        <v>28</v>
      </c>
      <c r="K142" s="5">
        <v>46200.0</v>
      </c>
      <c r="L142" s="11" t="s">
        <v>207</v>
      </c>
      <c r="M142" s="11"/>
      <c r="N142" s="4" t="str">
        <f t="shared" si="1"/>
        <v>Catalina Araya Soto</v>
      </c>
      <c r="O142" s="6" t="str">
        <f t="shared" si="2"/>
        <v>19041953-0</v>
      </c>
      <c r="P142" s="6" t="str">
        <f t="shared" si="3"/>
        <v>Temuco - Temuco - Región de la Araucanía</v>
      </c>
      <c r="Q142" s="4" t="str">
        <f t="shared" si="4"/>
        <v>Activo</v>
      </c>
      <c r="R142" s="12" t="str">
        <f t="shared" si="5"/>
        <v>Riesgo Medio</v>
      </c>
    </row>
    <row r="143">
      <c r="A143" s="1" t="s">
        <v>862</v>
      </c>
      <c r="B143" s="9" t="s">
        <v>864</v>
      </c>
      <c r="C143" s="9" t="s">
        <v>865</v>
      </c>
      <c r="D143" s="1" t="s">
        <v>867</v>
      </c>
      <c r="E143" s="1" t="s">
        <v>56</v>
      </c>
      <c r="F143" s="1" t="s">
        <v>39</v>
      </c>
      <c r="G143" s="1" t="s">
        <v>40</v>
      </c>
      <c r="H143" s="2">
        <v>2.062E7</v>
      </c>
      <c r="I143" s="1">
        <v>60.0</v>
      </c>
      <c r="J143" s="9" t="s">
        <v>20</v>
      </c>
      <c r="K143" s="5">
        <v>46205.0</v>
      </c>
      <c r="L143" s="11" t="s">
        <v>207</v>
      </c>
      <c r="M143" s="11"/>
      <c r="N143" s="4" t="str">
        <f t="shared" si="1"/>
        <v>Catalina Contreras Contreras</v>
      </c>
      <c r="O143" s="6" t="str">
        <f t="shared" si="2"/>
        <v>15068863-9</v>
      </c>
      <c r="P143" s="6" t="str">
        <f t="shared" si="3"/>
        <v>Talcahuano - Concepción - Región del Biobío</v>
      </c>
      <c r="Q143" s="4" t="str">
        <f t="shared" si="4"/>
        <v>En Revisión</v>
      </c>
      <c r="R143" s="12" t="str">
        <f t="shared" si="5"/>
        <v>Riesgo Medio</v>
      </c>
    </row>
    <row r="144">
      <c r="A144" s="1" t="s">
        <v>2062</v>
      </c>
      <c r="B144" s="9" t="s">
        <v>2064</v>
      </c>
      <c r="C144" s="9" t="s">
        <v>2066</v>
      </c>
      <c r="D144" s="1" t="s">
        <v>2067</v>
      </c>
      <c r="E144" s="1" t="s">
        <v>158</v>
      </c>
      <c r="F144" s="1" t="s">
        <v>158</v>
      </c>
      <c r="G144" s="1" t="s">
        <v>159</v>
      </c>
      <c r="H144" s="2">
        <v>2.143E7</v>
      </c>
      <c r="I144" s="1">
        <v>15.0</v>
      </c>
      <c r="J144" s="9" t="s">
        <v>28</v>
      </c>
      <c r="K144" s="5">
        <v>46155.0</v>
      </c>
      <c r="L144" s="11" t="s">
        <v>100</v>
      </c>
      <c r="M144" s="11"/>
      <c r="N144" s="4" t="str">
        <f t="shared" si="1"/>
        <v>Catalina Contreras Rojas</v>
      </c>
      <c r="O144" s="6" t="str">
        <f t="shared" si="2"/>
        <v>11.334.295-K</v>
      </c>
      <c r="P144" s="6" t="str">
        <f t="shared" si="3"/>
        <v>Antofagasta - Antofagasta - Región de Antofagasta</v>
      </c>
      <c r="Q144" s="4" t="str">
        <f t="shared" si="4"/>
        <v>Activo</v>
      </c>
      <c r="R144" s="12" t="str">
        <f t="shared" si="5"/>
        <v>Riesgo Bajo</v>
      </c>
    </row>
    <row r="145">
      <c r="A145" s="1" t="s">
        <v>1367</v>
      </c>
      <c r="B145" s="9" t="s">
        <v>1368</v>
      </c>
      <c r="C145" s="9" t="s">
        <v>1370</v>
      </c>
      <c r="D145" s="1" t="s">
        <v>1372</v>
      </c>
      <c r="E145" s="1" t="s">
        <v>25</v>
      </c>
      <c r="F145" s="1" t="s">
        <v>26</v>
      </c>
      <c r="G145" s="1" t="s">
        <v>27</v>
      </c>
      <c r="H145" s="2">
        <v>1.743E7</v>
      </c>
      <c r="I145" s="1">
        <v>15.0</v>
      </c>
      <c r="J145" s="9" t="s">
        <v>20</v>
      </c>
      <c r="K145" s="5">
        <v>46055.0</v>
      </c>
      <c r="L145" s="11" t="s">
        <v>207</v>
      </c>
      <c r="M145" s="11"/>
      <c r="N145" s="4" t="str">
        <f t="shared" si="1"/>
        <v>Catalina Contreras Silva</v>
      </c>
      <c r="O145" s="6" t="str">
        <f t="shared" si="2"/>
        <v>12.128.111-6</v>
      </c>
      <c r="P145" s="6" t="str">
        <f t="shared" si="3"/>
        <v>Viña del Mar - Valparaíso - Región de Valparaíso</v>
      </c>
      <c r="Q145" s="4" t="str">
        <f t="shared" si="4"/>
        <v>En Revisión</v>
      </c>
      <c r="R145" s="12" t="str">
        <f t="shared" si="5"/>
        <v>Riesgo Medio</v>
      </c>
    </row>
    <row r="146">
      <c r="A146" s="1" t="s">
        <v>2093</v>
      </c>
      <c r="B146" s="9" t="s">
        <v>2094</v>
      </c>
      <c r="C146" s="9" t="s">
        <v>2095</v>
      </c>
      <c r="D146" s="1" t="s">
        <v>2096</v>
      </c>
      <c r="E146" s="1" t="s">
        <v>56</v>
      </c>
      <c r="F146" s="1" t="s">
        <v>39</v>
      </c>
      <c r="G146" s="1" t="s">
        <v>40</v>
      </c>
      <c r="H146" s="2">
        <v>7770000.0</v>
      </c>
      <c r="I146" s="1">
        <v>60.0</v>
      </c>
      <c r="J146" s="9" t="s">
        <v>20</v>
      </c>
      <c r="K146" s="5">
        <v>46178.0</v>
      </c>
      <c r="L146" s="11" t="s">
        <v>100</v>
      </c>
      <c r="M146" s="11"/>
      <c r="N146" s="4" t="str">
        <f t="shared" si="1"/>
        <v>Catalina Díaz Araya</v>
      </c>
      <c r="O146" s="6" t="str">
        <f t="shared" si="2"/>
        <v>18.597.293-3</v>
      </c>
      <c r="P146" s="6" t="str">
        <f t="shared" si="3"/>
        <v>Talcahuano - Concepción - Región del Biobío</v>
      </c>
      <c r="Q146" s="4" t="str">
        <f t="shared" si="4"/>
        <v>En Revisión</v>
      </c>
      <c r="R146" s="12" t="str">
        <f t="shared" si="5"/>
        <v>Riesgo Medio</v>
      </c>
    </row>
    <row r="147">
      <c r="A147" s="1" t="s">
        <v>2108</v>
      </c>
      <c r="B147" s="9" t="s">
        <v>2109</v>
      </c>
      <c r="C147" s="9" t="s">
        <v>2111</v>
      </c>
      <c r="D147" s="1" t="s">
        <v>2113</v>
      </c>
      <c r="E147" s="1" t="s">
        <v>18</v>
      </c>
      <c r="F147" s="1" t="s">
        <v>18</v>
      </c>
      <c r="G147" s="1" t="s">
        <v>19</v>
      </c>
      <c r="H147" s="2">
        <v>8420000.0</v>
      </c>
      <c r="I147" s="1">
        <v>120.0</v>
      </c>
      <c r="J147" s="9" t="s">
        <v>20</v>
      </c>
      <c r="K147" s="5">
        <v>46223.0</v>
      </c>
      <c r="L147" s="11" t="s">
        <v>160</v>
      </c>
      <c r="M147" s="11"/>
      <c r="N147" s="4" t="str">
        <f t="shared" si="1"/>
        <v>Catalina Díaz Sepúlveda</v>
      </c>
      <c r="O147" s="6" t="str">
        <f t="shared" si="2"/>
        <v>14.794.638-1</v>
      </c>
      <c r="P147" s="6" t="str">
        <f t="shared" si="3"/>
        <v>La Serena - La Serena - Región de Coquimbo</v>
      </c>
      <c r="Q147" s="4" t="str">
        <f t="shared" si="4"/>
        <v>En Revisión</v>
      </c>
      <c r="R147" s="12" t="str">
        <f t="shared" si="5"/>
        <v>Riesgo Medio</v>
      </c>
    </row>
    <row r="148">
      <c r="A148" s="1" t="s">
        <v>2123</v>
      </c>
      <c r="B148" s="9" t="s">
        <v>2124</v>
      </c>
      <c r="C148" s="9" t="s">
        <v>2125</v>
      </c>
      <c r="D148" s="1" t="s">
        <v>2126</v>
      </c>
      <c r="E148" s="1" t="s">
        <v>72</v>
      </c>
      <c r="F148" s="1" t="s">
        <v>62</v>
      </c>
      <c r="G148" s="1" t="s">
        <v>63</v>
      </c>
      <c r="H148" s="2">
        <v>1.237E7</v>
      </c>
      <c r="I148" s="1">
        <v>30.0</v>
      </c>
      <c r="J148" s="9" t="s">
        <v>20</v>
      </c>
      <c r="K148" s="5">
        <v>46031.0</v>
      </c>
      <c r="L148" s="11" t="s">
        <v>181</v>
      </c>
      <c r="M148" s="11"/>
      <c r="N148" s="4" t="str">
        <f t="shared" si="1"/>
        <v>Catalina Espinoza González</v>
      </c>
      <c r="O148" s="6" t="str">
        <f t="shared" si="2"/>
        <v>20978853-9</v>
      </c>
      <c r="P148" s="6" t="str">
        <f t="shared" si="3"/>
        <v>Providencia - Santiago - Región Metropolitana</v>
      </c>
      <c r="Q148" s="4" t="str">
        <f t="shared" si="4"/>
        <v>En Revisión</v>
      </c>
      <c r="R148" s="12" t="str">
        <f t="shared" si="5"/>
        <v>Riesgo Medio</v>
      </c>
    </row>
    <row r="149">
      <c r="A149" s="1" t="s">
        <v>2133</v>
      </c>
      <c r="B149" s="9" t="s">
        <v>2134</v>
      </c>
      <c r="C149" s="9" t="s">
        <v>2136</v>
      </c>
      <c r="D149" s="1" t="s">
        <v>2138</v>
      </c>
      <c r="E149" s="1" t="s">
        <v>56</v>
      </c>
      <c r="F149" s="1" t="s">
        <v>39</v>
      </c>
      <c r="G149" s="1" t="s">
        <v>40</v>
      </c>
      <c r="H149" s="2">
        <v>2380000.0</v>
      </c>
      <c r="I149" s="1">
        <v>120.0</v>
      </c>
      <c r="J149" s="9" t="s">
        <v>28</v>
      </c>
      <c r="K149" s="5">
        <v>46046.0</v>
      </c>
      <c r="L149" s="11" t="s">
        <v>199</v>
      </c>
      <c r="M149" s="11"/>
      <c r="N149" s="4" t="str">
        <f t="shared" si="1"/>
        <v>Catalina Espinoza Valenzuela</v>
      </c>
      <c r="O149" s="6" t="str">
        <f t="shared" si="2"/>
        <v>15.941.938-2</v>
      </c>
      <c r="P149" s="6" t="str">
        <f t="shared" si="3"/>
        <v>Talcahuano - Concepción - Región del Biobío</v>
      </c>
      <c r="Q149" s="4" t="str">
        <f t="shared" si="4"/>
        <v>Activo</v>
      </c>
      <c r="R149" s="12" t="str">
        <f t="shared" si="5"/>
        <v>Riesgo Alto</v>
      </c>
    </row>
    <row r="150">
      <c r="A150" s="1" t="s">
        <v>244</v>
      </c>
      <c r="B150" s="9" t="s">
        <v>245</v>
      </c>
      <c r="C150" s="9" t="s">
        <v>2153</v>
      </c>
      <c r="D150" s="1" t="s">
        <v>247</v>
      </c>
      <c r="E150" s="1" t="s">
        <v>109</v>
      </c>
      <c r="F150" s="1" t="s">
        <v>62</v>
      </c>
      <c r="G150" s="1" t="s">
        <v>63</v>
      </c>
      <c r="H150" s="2">
        <v>1.165E7</v>
      </c>
      <c r="I150" s="1">
        <v>60.0</v>
      </c>
      <c r="J150" s="9" t="s">
        <v>97</v>
      </c>
      <c r="K150" s="5">
        <v>46197.0</v>
      </c>
      <c r="L150" s="11" t="s">
        <v>207</v>
      </c>
      <c r="M150" s="11"/>
      <c r="N150" s="4" t="str">
        <f t="shared" si="1"/>
        <v>Catalina Fuentes Espinoza</v>
      </c>
      <c r="O150" s="6" t="str">
        <f t="shared" si="2"/>
        <v>15.068.981-8</v>
      </c>
      <c r="P150" s="6" t="str">
        <f t="shared" si="3"/>
        <v>Ñuñoa - Santiago - Región Metropolitana</v>
      </c>
      <c r="Q150" s="4" t="str">
        <f t="shared" si="4"/>
        <v>Inactivo</v>
      </c>
      <c r="R150" s="12" t="str">
        <f t="shared" si="5"/>
        <v>Riesgo Medio</v>
      </c>
    </row>
    <row r="151">
      <c r="A151" s="1" t="s">
        <v>2163</v>
      </c>
      <c r="B151" s="9" t="s">
        <v>2165</v>
      </c>
      <c r="C151" s="9" t="s">
        <v>2167</v>
      </c>
      <c r="D151" s="1" t="s">
        <v>2170</v>
      </c>
      <c r="E151" s="1" t="s">
        <v>56</v>
      </c>
      <c r="F151" s="1" t="s">
        <v>39</v>
      </c>
      <c r="G151" s="1" t="s">
        <v>40</v>
      </c>
      <c r="H151" s="2">
        <v>4930000.0</v>
      </c>
      <c r="I151" s="1">
        <v>60.0</v>
      </c>
      <c r="J151" s="9" t="s">
        <v>20</v>
      </c>
      <c r="K151" s="5">
        <v>46127.0</v>
      </c>
      <c r="L151" s="11" t="s">
        <v>160</v>
      </c>
      <c r="M151" s="11"/>
      <c r="N151" s="4" t="str">
        <f t="shared" si="1"/>
        <v>Catalina González Contreras</v>
      </c>
      <c r="O151" s="6" t="str">
        <f t="shared" si="2"/>
        <v>15154631-6</v>
      </c>
      <c r="P151" s="6" t="str">
        <f t="shared" si="3"/>
        <v>Talcahuano - Concepción - Región del Biobío</v>
      </c>
      <c r="Q151" s="4" t="str">
        <f t="shared" si="4"/>
        <v>En Revisión</v>
      </c>
      <c r="R151" s="12" t="str">
        <f t="shared" si="5"/>
        <v>Riesgo Medio</v>
      </c>
    </row>
    <row r="152">
      <c r="A152" s="1" t="s">
        <v>2183</v>
      </c>
      <c r="B152" s="9" t="s">
        <v>2184</v>
      </c>
      <c r="C152" s="9" t="s">
        <v>2185</v>
      </c>
      <c r="D152" s="1" t="s">
        <v>2186</v>
      </c>
      <c r="E152" s="1" t="s">
        <v>194</v>
      </c>
      <c r="F152" s="1" t="s">
        <v>62</v>
      </c>
      <c r="G152" s="1" t="s">
        <v>63</v>
      </c>
      <c r="H152" s="2">
        <v>2.085E7</v>
      </c>
      <c r="I152" s="1">
        <v>120.0</v>
      </c>
      <c r="J152" s="9" t="s">
        <v>28</v>
      </c>
      <c r="K152" s="5">
        <v>46025.0</v>
      </c>
      <c r="L152" s="11" t="s">
        <v>100</v>
      </c>
      <c r="M152" s="11"/>
      <c r="N152" s="4" t="str">
        <f t="shared" si="1"/>
        <v>Catalina López Fuentes</v>
      </c>
      <c r="O152" s="6" t="str">
        <f t="shared" si="2"/>
        <v>16.198.351-5</v>
      </c>
      <c r="P152" s="6" t="str">
        <f t="shared" si="3"/>
        <v>Las Condes - Santiago - Región Metropolitana</v>
      </c>
      <c r="Q152" s="4" t="str">
        <f t="shared" si="4"/>
        <v>Activo</v>
      </c>
      <c r="R152" s="12" t="str">
        <f t="shared" si="5"/>
        <v>Riesgo Alto</v>
      </c>
    </row>
    <row r="153">
      <c r="A153" s="1" t="s">
        <v>2195</v>
      </c>
      <c r="B153" s="9" t="s">
        <v>2196</v>
      </c>
      <c r="C153" s="9" t="s">
        <v>2197</v>
      </c>
      <c r="D153" s="1" t="s">
        <v>2198</v>
      </c>
      <c r="E153" s="1" t="s">
        <v>194</v>
      </c>
      <c r="F153" s="1" t="s">
        <v>62</v>
      </c>
      <c r="G153" s="1" t="s">
        <v>63</v>
      </c>
      <c r="H153" s="2">
        <v>2.142E7</v>
      </c>
      <c r="I153" s="1">
        <v>15.0</v>
      </c>
      <c r="J153" s="9" t="s">
        <v>28</v>
      </c>
      <c r="K153" s="5">
        <v>46064.0</v>
      </c>
      <c r="L153" s="11" t="s">
        <v>160</v>
      </c>
      <c r="M153" s="11"/>
      <c r="N153" s="4" t="str">
        <f t="shared" si="1"/>
        <v>Catalina Morales Rojas</v>
      </c>
      <c r="O153" s="6" t="str">
        <f t="shared" si="2"/>
        <v>18595218-3</v>
      </c>
      <c r="P153" s="6" t="str">
        <f t="shared" si="3"/>
        <v>Las Condes - Santiago - Región Metropolitana</v>
      </c>
      <c r="Q153" s="4" t="str">
        <f t="shared" si="4"/>
        <v>Activo</v>
      </c>
      <c r="R153" s="12" t="str">
        <f t="shared" si="5"/>
        <v>Riesgo Bajo</v>
      </c>
    </row>
    <row r="154">
      <c r="A154" s="1" t="s">
        <v>2207</v>
      </c>
      <c r="B154" s="9" t="s">
        <v>2208</v>
      </c>
      <c r="C154" s="9" t="s">
        <v>2209</v>
      </c>
      <c r="D154" s="1" t="s">
        <v>2210</v>
      </c>
      <c r="E154" s="1" t="s">
        <v>18</v>
      </c>
      <c r="F154" s="1" t="s">
        <v>18</v>
      </c>
      <c r="G154" s="1" t="s">
        <v>19</v>
      </c>
      <c r="H154" s="2">
        <v>1.983E7</v>
      </c>
      <c r="I154" s="1">
        <v>45.0</v>
      </c>
      <c r="J154" s="9" t="s">
        <v>97</v>
      </c>
      <c r="K154" s="5">
        <v>46159.0</v>
      </c>
      <c r="L154" s="11" t="s">
        <v>160</v>
      </c>
      <c r="M154" s="11"/>
      <c r="N154" s="4" t="str">
        <f t="shared" si="1"/>
        <v>Catalina Morales Sepúlveda</v>
      </c>
      <c r="O154" s="6" t="str">
        <f t="shared" si="2"/>
        <v>11337710-K</v>
      </c>
      <c r="P154" s="6" t="str">
        <f t="shared" si="3"/>
        <v>La Serena - La Serena - Región de Coquimbo</v>
      </c>
      <c r="Q154" s="4" t="str">
        <f t="shared" si="4"/>
        <v>Inactivo</v>
      </c>
      <c r="R154" s="12" t="str">
        <f t="shared" si="5"/>
        <v>Riesgo Medio</v>
      </c>
    </row>
    <row r="155">
      <c r="A155" s="1" t="s">
        <v>2219</v>
      </c>
      <c r="B155" s="9" t="s">
        <v>2220</v>
      </c>
      <c r="C155" s="9" t="s">
        <v>2221</v>
      </c>
      <c r="D155" s="1" t="s">
        <v>2222</v>
      </c>
      <c r="E155" s="1" t="s">
        <v>158</v>
      </c>
      <c r="F155" s="1" t="s">
        <v>158</v>
      </c>
      <c r="G155" s="1" t="s">
        <v>159</v>
      </c>
      <c r="H155" s="2">
        <v>2.149E7</v>
      </c>
      <c r="I155" s="1">
        <v>0.0</v>
      </c>
      <c r="J155" s="9" t="s">
        <v>28</v>
      </c>
      <c r="K155" s="5">
        <v>46027.0</v>
      </c>
      <c r="L155" s="11" t="s">
        <v>181</v>
      </c>
      <c r="M155" s="11"/>
      <c r="N155" s="4" t="str">
        <f t="shared" si="1"/>
        <v>Catalina Muñoz Araya</v>
      </c>
      <c r="O155" s="6" t="str">
        <f t="shared" si="2"/>
        <v>16.853.495-8</v>
      </c>
      <c r="P155" s="6" t="str">
        <f t="shared" si="3"/>
        <v>Antofagasta - Antofagasta - Región de Antofagasta</v>
      </c>
      <c r="Q155" s="4" t="str">
        <f t="shared" si="4"/>
        <v>Activo</v>
      </c>
      <c r="R155" s="12" t="str">
        <f t="shared" si="5"/>
        <v>Riesgo Bajo</v>
      </c>
    </row>
    <row r="156">
      <c r="A156" s="1" t="s">
        <v>2233</v>
      </c>
      <c r="B156" s="9" t="s">
        <v>2234</v>
      </c>
      <c r="C156" s="9" t="s">
        <v>2236</v>
      </c>
      <c r="D156" s="1" t="s">
        <v>2238</v>
      </c>
      <c r="E156" s="1" t="s">
        <v>26</v>
      </c>
      <c r="F156" s="1" t="s">
        <v>26</v>
      </c>
      <c r="G156" s="1" t="s">
        <v>27</v>
      </c>
      <c r="H156" s="2">
        <v>1.356E7</v>
      </c>
      <c r="I156" s="1">
        <v>0.0</v>
      </c>
      <c r="J156" s="9" t="s">
        <v>20</v>
      </c>
      <c r="K156" s="5">
        <v>46227.0</v>
      </c>
      <c r="L156" s="11" t="s">
        <v>160</v>
      </c>
      <c r="M156" s="11"/>
      <c r="N156" s="4" t="str">
        <f t="shared" si="1"/>
        <v>Catalina Muñoz López</v>
      </c>
      <c r="O156" s="6" t="str">
        <f t="shared" si="2"/>
        <v>16.778.830-K</v>
      </c>
      <c r="P156" s="6" t="str">
        <f t="shared" si="3"/>
        <v>Valparaíso - Valparaíso - Región de Valparaíso</v>
      </c>
      <c r="Q156" s="4" t="str">
        <f t="shared" si="4"/>
        <v>En Revisión</v>
      </c>
      <c r="R156" s="12" t="str">
        <f t="shared" si="5"/>
        <v>Riesgo Medio</v>
      </c>
    </row>
    <row r="157">
      <c r="A157" s="1" t="s">
        <v>186</v>
      </c>
      <c r="B157" s="9" t="s">
        <v>187</v>
      </c>
      <c r="C157" s="9" t="s">
        <v>2249</v>
      </c>
      <c r="D157" s="1" t="s">
        <v>189</v>
      </c>
      <c r="E157" s="1" t="s">
        <v>26</v>
      </c>
      <c r="F157" s="1" t="s">
        <v>26</v>
      </c>
      <c r="G157" s="1" t="s">
        <v>27</v>
      </c>
      <c r="H157" s="2">
        <v>2770000.0</v>
      </c>
      <c r="I157" s="1">
        <v>0.0</v>
      </c>
      <c r="J157" s="9" t="s">
        <v>20</v>
      </c>
      <c r="K157" s="5">
        <v>46162.0</v>
      </c>
      <c r="L157" s="11" t="s">
        <v>160</v>
      </c>
      <c r="M157" s="11"/>
      <c r="N157" s="4" t="str">
        <f t="shared" si="1"/>
        <v>Catalina Muñoz Morales</v>
      </c>
      <c r="O157" s="6" t="str">
        <f t="shared" si="2"/>
        <v>13.937.626-4</v>
      </c>
      <c r="P157" s="6" t="str">
        <f t="shared" si="3"/>
        <v>Valparaíso - Valparaíso - Región de Valparaíso</v>
      </c>
      <c r="Q157" s="4" t="str">
        <f t="shared" si="4"/>
        <v>En Revisión</v>
      </c>
      <c r="R157" s="12" t="str">
        <f t="shared" si="5"/>
        <v>Riesgo Medio</v>
      </c>
    </row>
    <row r="158">
      <c r="A158" s="1" t="s">
        <v>2260</v>
      </c>
      <c r="B158" s="9" t="s">
        <v>2261</v>
      </c>
      <c r="C158" s="9" t="s">
        <v>2262</v>
      </c>
      <c r="D158" s="1" t="s">
        <v>2222</v>
      </c>
      <c r="E158" s="1" t="s">
        <v>18</v>
      </c>
      <c r="F158" s="1" t="s">
        <v>18</v>
      </c>
      <c r="G158" s="1" t="s">
        <v>19</v>
      </c>
      <c r="H158" s="2">
        <v>700000.0</v>
      </c>
      <c r="I158" s="1">
        <v>0.0</v>
      </c>
      <c r="J158" s="9" t="s">
        <v>28</v>
      </c>
      <c r="K158" s="5">
        <v>46059.0</v>
      </c>
      <c r="L158" s="11" t="s">
        <v>207</v>
      </c>
      <c r="M158" s="11"/>
      <c r="N158" s="4" t="str">
        <f t="shared" si="1"/>
        <v>Catalina Muñoz Muñoz</v>
      </c>
      <c r="O158" s="6" t="str">
        <f t="shared" si="2"/>
        <v>18.568.719-4</v>
      </c>
      <c r="P158" s="6" t="str">
        <f t="shared" si="3"/>
        <v>La Serena - La Serena - Región de Coquimbo</v>
      </c>
      <c r="Q158" s="4" t="str">
        <f t="shared" si="4"/>
        <v>Activo</v>
      </c>
      <c r="R158" s="12" t="str">
        <f t="shared" si="5"/>
        <v>Riesgo Bajo</v>
      </c>
    </row>
    <row r="159">
      <c r="A159" s="1" t="s">
        <v>2273</v>
      </c>
      <c r="B159" s="9" t="s">
        <v>2274</v>
      </c>
      <c r="C159" s="9" t="s">
        <v>2275</v>
      </c>
      <c r="D159" s="1" t="s">
        <v>2277</v>
      </c>
      <c r="E159" s="1" t="s">
        <v>26</v>
      </c>
      <c r="F159" s="1" t="s">
        <v>26</v>
      </c>
      <c r="G159" s="1" t="s">
        <v>27</v>
      </c>
      <c r="H159" s="2">
        <v>1.878E7</v>
      </c>
      <c r="I159" s="1">
        <v>0.0</v>
      </c>
      <c r="J159" s="9" t="s">
        <v>97</v>
      </c>
      <c r="K159" s="5">
        <v>46098.0</v>
      </c>
      <c r="L159" s="11" t="s">
        <v>160</v>
      </c>
      <c r="M159" s="11"/>
      <c r="N159" s="4" t="str">
        <f t="shared" si="1"/>
        <v>Catalina Pérez Díaz</v>
      </c>
      <c r="O159" s="6" t="str">
        <f t="shared" si="2"/>
        <v>19.780.884-9</v>
      </c>
      <c r="P159" s="6" t="str">
        <f t="shared" si="3"/>
        <v>Valparaíso - Valparaíso - Región de Valparaíso</v>
      </c>
      <c r="Q159" s="4" t="str">
        <f t="shared" si="4"/>
        <v>Inactivo</v>
      </c>
      <c r="R159" s="12" t="str">
        <f t="shared" si="5"/>
        <v>Riesgo Bajo</v>
      </c>
    </row>
    <row r="160">
      <c r="A160" s="1" t="s">
        <v>2292</v>
      </c>
      <c r="B160" s="9" t="s">
        <v>2293</v>
      </c>
      <c r="C160" s="9" t="s">
        <v>2294</v>
      </c>
      <c r="D160" s="1" t="s">
        <v>2295</v>
      </c>
      <c r="E160" s="1" t="s">
        <v>25</v>
      </c>
      <c r="F160" s="1" t="s">
        <v>26</v>
      </c>
      <c r="G160" s="1" t="s">
        <v>27</v>
      </c>
      <c r="H160" s="2">
        <v>1.711E7</v>
      </c>
      <c r="I160" s="1">
        <v>45.0</v>
      </c>
      <c r="J160" s="9" t="s">
        <v>28</v>
      </c>
      <c r="K160" s="5">
        <v>46088.0</v>
      </c>
      <c r="L160" s="11" t="s">
        <v>207</v>
      </c>
      <c r="M160" s="11"/>
      <c r="N160" s="4" t="str">
        <f t="shared" si="1"/>
        <v>Catalina Pérez Sepúlveda</v>
      </c>
      <c r="O160" s="6" t="str">
        <f t="shared" si="2"/>
        <v>18.307.928-2</v>
      </c>
      <c r="P160" s="6" t="str">
        <f t="shared" si="3"/>
        <v>Viña del Mar - Valparaíso - Región de Valparaíso</v>
      </c>
      <c r="Q160" s="4" t="str">
        <f t="shared" si="4"/>
        <v>Activo</v>
      </c>
      <c r="R160" s="12" t="str">
        <f t="shared" si="5"/>
        <v>Riesgo Medio</v>
      </c>
    </row>
    <row r="161">
      <c r="A161" s="1" t="s">
        <v>2306</v>
      </c>
      <c r="B161" s="9" t="s">
        <v>2307</v>
      </c>
      <c r="C161" s="9" t="s">
        <v>2308</v>
      </c>
      <c r="D161" s="1" t="s">
        <v>2309</v>
      </c>
      <c r="E161" s="1" t="s">
        <v>18</v>
      </c>
      <c r="F161" s="1" t="s">
        <v>18</v>
      </c>
      <c r="G161" s="1" t="s">
        <v>19</v>
      </c>
      <c r="H161" s="2">
        <v>9920000.0</v>
      </c>
      <c r="I161" s="1">
        <v>90.0</v>
      </c>
      <c r="J161" s="9" t="s">
        <v>20</v>
      </c>
      <c r="K161" s="5">
        <v>46048.0</v>
      </c>
      <c r="L161" s="11" t="s">
        <v>100</v>
      </c>
      <c r="M161" s="11"/>
      <c r="N161" s="4" t="str">
        <f t="shared" si="1"/>
        <v>Catalina Rodríguez Fuentes</v>
      </c>
      <c r="O161" s="6" t="str">
        <f t="shared" si="2"/>
        <v>13.705.155-9</v>
      </c>
      <c r="P161" s="6" t="str">
        <f t="shared" si="3"/>
        <v>La Serena - La Serena - Región de Coquimbo</v>
      </c>
      <c r="Q161" s="4" t="str">
        <f t="shared" si="4"/>
        <v>En Revisión</v>
      </c>
      <c r="R161" s="12" t="str">
        <f t="shared" si="5"/>
        <v>Riesgo Medio</v>
      </c>
    </row>
    <row r="162">
      <c r="A162" s="1" t="s">
        <v>2318</v>
      </c>
      <c r="B162" s="9" t="s">
        <v>2319</v>
      </c>
      <c r="C162" s="9" t="s">
        <v>2320</v>
      </c>
      <c r="D162" s="1" t="s">
        <v>2322</v>
      </c>
      <c r="E162" s="1" t="s">
        <v>45</v>
      </c>
      <c r="F162" s="1" t="s">
        <v>45</v>
      </c>
      <c r="G162" s="1" t="s">
        <v>46</v>
      </c>
      <c r="H162" s="2">
        <v>1.253E7</v>
      </c>
      <c r="I162" s="1">
        <v>90.0</v>
      </c>
      <c r="J162" s="9" t="s">
        <v>97</v>
      </c>
      <c r="K162" s="5">
        <v>46040.0</v>
      </c>
      <c r="L162" s="11" t="s">
        <v>207</v>
      </c>
      <c r="M162" s="11"/>
      <c r="N162" s="4" t="str">
        <f t="shared" si="1"/>
        <v>Catalina Rodríguez Tapia</v>
      </c>
      <c r="O162" s="6" t="str">
        <f t="shared" si="2"/>
        <v>17267821-3</v>
      </c>
      <c r="P162" s="6" t="str">
        <f t="shared" si="3"/>
        <v>Temuco - Temuco - Región de la Araucanía</v>
      </c>
      <c r="Q162" s="4" t="str">
        <f t="shared" si="4"/>
        <v>Inactivo</v>
      </c>
      <c r="R162" s="12" t="str">
        <f t="shared" si="5"/>
        <v>Riesgo Medio</v>
      </c>
    </row>
    <row r="163">
      <c r="A163" s="1" t="s">
        <v>1329</v>
      </c>
      <c r="B163" s="9" t="s">
        <v>1330</v>
      </c>
      <c r="C163" s="9" t="s">
        <v>2332</v>
      </c>
      <c r="D163" s="1" t="s">
        <v>1333</v>
      </c>
      <c r="E163" s="1" t="s">
        <v>33</v>
      </c>
      <c r="F163" s="1" t="s">
        <v>33</v>
      </c>
      <c r="G163" s="1" t="s">
        <v>34</v>
      </c>
      <c r="H163" s="2">
        <v>1.104E7</v>
      </c>
      <c r="I163" s="1">
        <v>45.0</v>
      </c>
      <c r="J163" s="9" t="s">
        <v>28</v>
      </c>
      <c r="K163" s="5">
        <v>46087.0</v>
      </c>
      <c r="L163" s="11" t="s">
        <v>207</v>
      </c>
      <c r="M163" s="11"/>
      <c r="N163" s="4" t="str">
        <f t="shared" si="1"/>
        <v>Catalina Rojas Araya</v>
      </c>
      <c r="O163" s="6" t="str">
        <f t="shared" si="2"/>
        <v>22.439.068-5</v>
      </c>
      <c r="P163" s="6" t="str">
        <f t="shared" si="3"/>
        <v>Puerto Montt - Puerto Montt - Región de Los Lagos</v>
      </c>
      <c r="Q163" s="4" t="str">
        <f t="shared" si="4"/>
        <v>Activo</v>
      </c>
      <c r="R163" s="12" t="str">
        <f t="shared" si="5"/>
        <v>Riesgo Medio</v>
      </c>
    </row>
    <row r="164">
      <c r="A164" s="1" t="s">
        <v>1618</v>
      </c>
      <c r="B164" s="9" t="s">
        <v>1619</v>
      </c>
      <c r="C164" s="9" t="s">
        <v>1620</v>
      </c>
      <c r="D164" s="1" t="s">
        <v>1621</v>
      </c>
      <c r="E164" s="1" t="s">
        <v>18</v>
      </c>
      <c r="F164" s="1" t="s">
        <v>18</v>
      </c>
      <c r="G164" s="1" t="s">
        <v>19</v>
      </c>
      <c r="H164" s="2">
        <v>4380000.0</v>
      </c>
      <c r="I164" s="1">
        <v>90.0</v>
      </c>
      <c r="J164" s="9" t="s">
        <v>28</v>
      </c>
      <c r="K164" s="5">
        <v>46038.0</v>
      </c>
      <c r="L164" s="11" t="s">
        <v>100</v>
      </c>
      <c r="M164" s="11"/>
      <c r="N164" s="4" t="str">
        <f t="shared" si="1"/>
        <v>Catalina Rojas Rojas</v>
      </c>
      <c r="O164" s="6" t="str">
        <f t="shared" si="2"/>
        <v>11644274-6</v>
      </c>
      <c r="P164" s="6" t="str">
        <f t="shared" si="3"/>
        <v>La Serena - La Serena - Región de Coquimbo</v>
      </c>
      <c r="Q164" s="4" t="str">
        <f t="shared" si="4"/>
        <v>Activo</v>
      </c>
      <c r="R164" s="12" t="str">
        <f t="shared" si="5"/>
        <v>Riesgo Alto</v>
      </c>
    </row>
    <row r="165">
      <c r="A165" s="1" t="s">
        <v>2349</v>
      </c>
      <c r="B165" s="9" t="s">
        <v>2350</v>
      </c>
      <c r="C165" s="9" t="s">
        <v>2351</v>
      </c>
      <c r="D165" s="1" t="s">
        <v>2353</v>
      </c>
      <c r="E165" s="1" t="s">
        <v>26</v>
      </c>
      <c r="F165" s="1" t="s">
        <v>26</v>
      </c>
      <c r="G165" s="1" t="s">
        <v>27</v>
      </c>
      <c r="H165" s="2">
        <v>4530000.0</v>
      </c>
      <c r="I165" s="1">
        <v>0.0</v>
      </c>
      <c r="J165" s="9" t="s">
        <v>20</v>
      </c>
      <c r="K165" s="5">
        <v>46192.0</v>
      </c>
      <c r="L165" s="11" t="s">
        <v>207</v>
      </c>
      <c r="M165" s="11"/>
      <c r="N165" s="4" t="str">
        <f t="shared" si="1"/>
        <v>Catalina Rojas Sepúlveda</v>
      </c>
      <c r="O165" s="6" t="str">
        <f t="shared" si="2"/>
        <v>18.136.797-1</v>
      </c>
      <c r="P165" s="6" t="str">
        <f t="shared" si="3"/>
        <v>Valparaíso - Valparaíso - Región de Valparaíso</v>
      </c>
      <c r="Q165" s="4" t="str">
        <f t="shared" si="4"/>
        <v>En Revisión</v>
      </c>
      <c r="R165" s="12" t="str">
        <f t="shared" si="5"/>
        <v>Riesgo Medio</v>
      </c>
    </row>
    <row r="166">
      <c r="A166" s="1" t="s">
        <v>2365</v>
      </c>
      <c r="B166" s="9" t="s">
        <v>2366</v>
      </c>
      <c r="C166" s="9" t="s">
        <v>2367</v>
      </c>
      <c r="D166" s="1" t="s">
        <v>2368</v>
      </c>
      <c r="E166" s="1" t="s">
        <v>109</v>
      </c>
      <c r="F166" s="1" t="s">
        <v>62</v>
      </c>
      <c r="G166" s="1" t="s">
        <v>63</v>
      </c>
      <c r="H166" s="2">
        <v>7930000.0</v>
      </c>
      <c r="I166" s="1">
        <v>60.0</v>
      </c>
      <c r="J166" s="9" t="s">
        <v>20</v>
      </c>
      <c r="K166" s="5">
        <v>46099.0</v>
      </c>
      <c r="L166" s="11" t="s">
        <v>100</v>
      </c>
      <c r="M166" s="11"/>
      <c r="N166" s="4" t="str">
        <f t="shared" si="1"/>
        <v>Catalina Sepúlveda Sepúlveda</v>
      </c>
      <c r="O166" s="6" t="str">
        <f t="shared" si="2"/>
        <v>11.711.201-3</v>
      </c>
      <c r="P166" s="6" t="str">
        <f t="shared" si="3"/>
        <v>Ñuñoa - Santiago - Región Metropolitana</v>
      </c>
      <c r="Q166" s="4" t="str">
        <f t="shared" si="4"/>
        <v>En Revisión</v>
      </c>
      <c r="R166" s="12" t="str">
        <f t="shared" si="5"/>
        <v>Riesgo Medio</v>
      </c>
    </row>
    <row r="167">
      <c r="A167" s="1" t="s">
        <v>2380</v>
      </c>
      <c r="B167" s="9" t="s">
        <v>2382</v>
      </c>
      <c r="C167" s="9" t="s">
        <v>2384</v>
      </c>
      <c r="D167" s="1" t="s">
        <v>2385</v>
      </c>
      <c r="E167" s="1" t="s">
        <v>56</v>
      </c>
      <c r="F167" s="1" t="s">
        <v>39</v>
      </c>
      <c r="G167" s="1" t="s">
        <v>40</v>
      </c>
      <c r="H167" s="2">
        <v>1670000.0</v>
      </c>
      <c r="I167" s="1">
        <v>30.0</v>
      </c>
      <c r="J167" s="9" t="s">
        <v>20</v>
      </c>
      <c r="K167" s="5">
        <v>46126.0</v>
      </c>
      <c r="L167" s="11" t="s">
        <v>160</v>
      </c>
      <c r="M167" s="11"/>
      <c r="N167" s="4" t="str">
        <f t="shared" si="1"/>
        <v>Catalina Silva Araya</v>
      </c>
      <c r="O167" s="6" t="str">
        <f t="shared" si="2"/>
        <v>11.371.492-K</v>
      </c>
      <c r="P167" s="6" t="str">
        <f t="shared" si="3"/>
        <v>Talcahuano - Concepción - Región del Biobío</v>
      </c>
      <c r="Q167" s="4" t="str">
        <f t="shared" si="4"/>
        <v>En Revisión</v>
      </c>
      <c r="R167" s="12" t="str">
        <f t="shared" si="5"/>
        <v>Riesgo Medio</v>
      </c>
    </row>
    <row r="168">
      <c r="A168" s="1" t="s">
        <v>2396</v>
      </c>
      <c r="B168" s="9" t="s">
        <v>2397</v>
      </c>
      <c r="C168" s="9" t="s">
        <v>2398</v>
      </c>
      <c r="D168" s="1" t="s">
        <v>2400</v>
      </c>
      <c r="E168" s="1" t="s">
        <v>158</v>
      </c>
      <c r="F168" s="1" t="s">
        <v>158</v>
      </c>
      <c r="G168" s="1" t="s">
        <v>159</v>
      </c>
      <c r="H168" s="2">
        <v>1.867E7</v>
      </c>
      <c r="I168" s="1">
        <v>0.0</v>
      </c>
      <c r="J168" s="9" t="s">
        <v>20</v>
      </c>
      <c r="K168" s="5">
        <v>46197.0</v>
      </c>
      <c r="L168" s="11" t="s">
        <v>181</v>
      </c>
      <c r="M168" s="11"/>
      <c r="N168" s="4" t="str">
        <f t="shared" si="1"/>
        <v>Catalina Silva Díaz</v>
      </c>
      <c r="O168" s="6" t="str">
        <f t="shared" si="2"/>
        <v>21725442-1</v>
      </c>
      <c r="P168" s="6" t="str">
        <f t="shared" si="3"/>
        <v>Antofagasta - Antofagasta - Región de Antofagasta</v>
      </c>
      <c r="Q168" s="4" t="str">
        <f t="shared" si="4"/>
        <v>En Revisión</v>
      </c>
      <c r="R168" s="12" t="str">
        <f t="shared" si="5"/>
        <v>Riesgo Medio</v>
      </c>
    </row>
    <row r="169">
      <c r="A169" s="1" t="s">
        <v>2406</v>
      </c>
      <c r="B169" s="9" t="s">
        <v>2408</v>
      </c>
      <c r="C169" s="9" t="s">
        <v>2410</v>
      </c>
      <c r="D169" s="1" t="s">
        <v>2411</v>
      </c>
      <c r="E169" s="1" t="s">
        <v>61</v>
      </c>
      <c r="F169" s="1" t="s">
        <v>62</v>
      </c>
      <c r="G169" s="1" t="s">
        <v>63</v>
      </c>
      <c r="H169" s="2">
        <v>1.247E7</v>
      </c>
      <c r="I169" s="1">
        <v>30.0</v>
      </c>
      <c r="J169" s="9" t="s">
        <v>28</v>
      </c>
      <c r="K169" s="5">
        <v>46041.0</v>
      </c>
      <c r="L169" s="11" t="s">
        <v>199</v>
      </c>
      <c r="M169" s="11"/>
      <c r="N169" s="4" t="str">
        <f t="shared" si="1"/>
        <v>Catalina Silva Rodríguez</v>
      </c>
      <c r="O169" s="6" t="str">
        <f t="shared" si="2"/>
        <v>16674344-9</v>
      </c>
      <c r="P169" s="6" t="str">
        <f t="shared" si="3"/>
        <v>Santiago Centro - Santiago - Región Metropolitana</v>
      </c>
      <c r="Q169" s="4" t="str">
        <f t="shared" si="4"/>
        <v>Activo</v>
      </c>
      <c r="R169" s="12" t="str">
        <f t="shared" si="5"/>
        <v>Riesgo Bajo</v>
      </c>
    </row>
    <row r="170">
      <c r="A170" s="1" t="s">
        <v>2416</v>
      </c>
      <c r="B170" s="9" t="s">
        <v>2417</v>
      </c>
      <c r="C170" s="9" t="s">
        <v>2418</v>
      </c>
      <c r="D170" s="1" t="s">
        <v>2419</v>
      </c>
      <c r="E170" s="1" t="s">
        <v>72</v>
      </c>
      <c r="F170" s="1" t="s">
        <v>62</v>
      </c>
      <c r="G170" s="1" t="s">
        <v>63</v>
      </c>
      <c r="H170" s="2">
        <v>1.052E7</v>
      </c>
      <c r="I170" s="1">
        <v>0.0</v>
      </c>
      <c r="J170" s="9" t="s">
        <v>28</v>
      </c>
      <c r="K170" s="5">
        <v>46207.0</v>
      </c>
      <c r="L170" s="11" t="s">
        <v>207</v>
      </c>
      <c r="M170" s="11"/>
      <c r="N170" s="4" t="str">
        <f t="shared" si="1"/>
        <v>Catalina Soto Espinoza</v>
      </c>
      <c r="O170" s="6" t="str">
        <f t="shared" si="2"/>
        <v>18435178-1</v>
      </c>
      <c r="P170" s="6" t="str">
        <f t="shared" si="3"/>
        <v>Providencia - Santiago - Región Metropolitana</v>
      </c>
      <c r="Q170" s="4" t="str">
        <f t="shared" si="4"/>
        <v>Activo</v>
      </c>
      <c r="R170" s="12" t="str">
        <f t="shared" si="5"/>
        <v>Riesgo Bajo</v>
      </c>
    </row>
    <row r="171">
      <c r="A171" s="1" t="s">
        <v>2264</v>
      </c>
      <c r="B171" s="9" t="s">
        <v>2265</v>
      </c>
      <c r="C171" s="9" t="s">
        <v>2266</v>
      </c>
      <c r="D171" s="1" t="s">
        <v>2267</v>
      </c>
      <c r="E171" s="1" t="s">
        <v>33</v>
      </c>
      <c r="F171" s="1" t="s">
        <v>33</v>
      </c>
      <c r="G171" s="1" t="s">
        <v>34</v>
      </c>
      <c r="H171" s="2">
        <v>8020000.0</v>
      </c>
      <c r="I171" s="1">
        <v>0.0</v>
      </c>
      <c r="J171" s="9" t="s">
        <v>20</v>
      </c>
      <c r="K171" s="5">
        <v>46116.0</v>
      </c>
      <c r="L171" s="11" t="s">
        <v>160</v>
      </c>
      <c r="M171" s="11"/>
      <c r="N171" s="4" t="str">
        <f t="shared" si="1"/>
        <v>Catalina Soto Silva</v>
      </c>
      <c r="O171" s="6" t="str">
        <f t="shared" si="2"/>
        <v>15.803.213-7</v>
      </c>
      <c r="P171" s="6" t="str">
        <f t="shared" si="3"/>
        <v>Puerto Montt - Puerto Montt - Región de Los Lagos</v>
      </c>
      <c r="Q171" s="4" t="str">
        <f t="shared" si="4"/>
        <v>En Revisión</v>
      </c>
      <c r="R171" s="12" t="str">
        <f t="shared" si="5"/>
        <v>Riesgo Medio</v>
      </c>
    </row>
    <row r="172">
      <c r="A172" s="1" t="s">
        <v>2310</v>
      </c>
      <c r="B172" s="9" t="s">
        <v>2311</v>
      </c>
      <c r="C172" s="9" t="s">
        <v>2313</v>
      </c>
      <c r="D172" s="1" t="s">
        <v>2314</v>
      </c>
      <c r="E172" s="1" t="s">
        <v>158</v>
      </c>
      <c r="F172" s="1" t="s">
        <v>158</v>
      </c>
      <c r="G172" s="1" t="s">
        <v>159</v>
      </c>
      <c r="H172" s="2">
        <v>8280000.0</v>
      </c>
      <c r="I172" s="1">
        <v>15.0</v>
      </c>
      <c r="J172" s="9" t="s">
        <v>20</v>
      </c>
      <c r="K172" s="5">
        <v>46208.0</v>
      </c>
      <c r="L172" s="11" t="s">
        <v>100</v>
      </c>
      <c r="M172" s="11"/>
      <c r="N172" s="4" t="str">
        <f t="shared" si="1"/>
        <v>Catalina Tapia Fuentes</v>
      </c>
      <c r="O172" s="6" t="str">
        <f t="shared" si="2"/>
        <v>19.686.743-6</v>
      </c>
      <c r="P172" s="6" t="str">
        <f t="shared" si="3"/>
        <v>Antofagasta - Antofagasta - Región de Antofagasta</v>
      </c>
      <c r="Q172" s="4" t="str">
        <f t="shared" si="4"/>
        <v>En Revisión</v>
      </c>
      <c r="R172" s="12" t="str">
        <f t="shared" si="5"/>
        <v>Riesgo Medio</v>
      </c>
    </row>
    <row r="173">
      <c r="A173" s="1" t="s">
        <v>1164</v>
      </c>
      <c r="B173" s="9" t="s">
        <v>1165</v>
      </c>
      <c r="C173" s="9" t="s">
        <v>2437</v>
      </c>
      <c r="D173" s="1" t="s">
        <v>1167</v>
      </c>
      <c r="E173" s="1" t="s">
        <v>25</v>
      </c>
      <c r="F173" s="1" t="s">
        <v>26</v>
      </c>
      <c r="G173" s="1" t="s">
        <v>27</v>
      </c>
      <c r="H173" s="2">
        <v>9900000.0</v>
      </c>
      <c r="I173" s="1">
        <v>60.0</v>
      </c>
      <c r="J173" s="9" t="s">
        <v>97</v>
      </c>
      <c r="K173" s="5">
        <v>46102.0</v>
      </c>
      <c r="L173" s="11" t="s">
        <v>160</v>
      </c>
      <c r="M173" s="11"/>
      <c r="N173" s="4" t="str">
        <f t="shared" si="1"/>
        <v>Catalina Valenzuela Morales</v>
      </c>
      <c r="O173" s="6" t="str">
        <f t="shared" si="2"/>
        <v>15175033-2</v>
      </c>
      <c r="P173" s="6" t="str">
        <f t="shared" si="3"/>
        <v>Viña del Mar - Valparaíso - Región de Valparaíso</v>
      </c>
      <c r="Q173" s="4" t="str">
        <f t="shared" si="4"/>
        <v>Inactivo</v>
      </c>
      <c r="R173" s="12" t="str">
        <f t="shared" si="5"/>
        <v>Riesgo Medio</v>
      </c>
    </row>
    <row r="174">
      <c r="A174" s="1" t="s">
        <v>2445</v>
      </c>
      <c r="B174" s="9" t="s">
        <v>2446</v>
      </c>
      <c r="C174" s="9" t="s">
        <v>2447</v>
      </c>
      <c r="D174" s="1" t="s">
        <v>2448</v>
      </c>
      <c r="E174" s="1" t="s">
        <v>56</v>
      </c>
      <c r="F174" s="1" t="s">
        <v>39</v>
      </c>
      <c r="G174" s="1" t="s">
        <v>40</v>
      </c>
      <c r="H174" s="2">
        <v>1.734E7</v>
      </c>
      <c r="I174" s="1">
        <v>90.0</v>
      </c>
      <c r="J174" s="9" t="s">
        <v>20</v>
      </c>
      <c r="K174" s="5">
        <v>46158.0</v>
      </c>
      <c r="L174" s="11" t="s">
        <v>160</v>
      </c>
      <c r="M174" s="11"/>
      <c r="N174" s="4" t="str">
        <f t="shared" si="1"/>
        <v>Catalina Valenzuela Valenzuela</v>
      </c>
      <c r="O174" s="6" t="str">
        <f t="shared" si="2"/>
        <v>16.213.253-9</v>
      </c>
      <c r="P174" s="6" t="str">
        <f t="shared" si="3"/>
        <v>Talcahuano - Concepción - Región del Biobío</v>
      </c>
      <c r="Q174" s="4" t="str">
        <f t="shared" si="4"/>
        <v>En Revisión</v>
      </c>
      <c r="R174" s="12" t="str">
        <f t="shared" si="5"/>
        <v>Riesgo Medio</v>
      </c>
    </row>
    <row r="175">
      <c r="A175" s="1" t="s">
        <v>2453</v>
      </c>
      <c r="B175" s="9" t="s">
        <v>2454</v>
      </c>
      <c r="C175" s="9" t="s">
        <v>2456</v>
      </c>
      <c r="D175" s="1" t="s">
        <v>2458</v>
      </c>
      <c r="E175" s="1" t="s">
        <v>39</v>
      </c>
      <c r="F175" s="1" t="s">
        <v>39</v>
      </c>
      <c r="G175" s="1" t="s">
        <v>40</v>
      </c>
      <c r="H175" s="2">
        <v>1.649E7</v>
      </c>
      <c r="I175" s="1">
        <v>45.0</v>
      </c>
      <c r="J175" s="9" t="s">
        <v>20</v>
      </c>
      <c r="K175" s="5">
        <v>46068.0</v>
      </c>
      <c r="L175" s="11" t="s">
        <v>181</v>
      </c>
      <c r="M175" s="11"/>
      <c r="N175" s="4" t="str">
        <f t="shared" si="1"/>
        <v>Claudio Araya Fuentes</v>
      </c>
      <c r="O175" s="6" t="str">
        <f t="shared" si="2"/>
        <v>15.251.345-3</v>
      </c>
      <c r="P175" s="6" t="str">
        <f t="shared" si="3"/>
        <v>Concepción - Concepción - Región del Biobío</v>
      </c>
      <c r="Q175" s="4" t="str">
        <f t="shared" si="4"/>
        <v>En Revisión</v>
      </c>
      <c r="R175" s="12" t="str">
        <f t="shared" si="5"/>
        <v>Riesgo Medio</v>
      </c>
    </row>
    <row r="176">
      <c r="A176" s="1" t="s">
        <v>2465</v>
      </c>
      <c r="B176" s="9" t="s">
        <v>2466</v>
      </c>
      <c r="C176" s="9" t="s">
        <v>2467</v>
      </c>
      <c r="D176" s="1" t="s">
        <v>2468</v>
      </c>
      <c r="E176" s="1" t="s">
        <v>45</v>
      </c>
      <c r="F176" s="1" t="s">
        <v>45</v>
      </c>
      <c r="G176" s="1" t="s">
        <v>46</v>
      </c>
      <c r="H176" s="2">
        <v>2.114E7</v>
      </c>
      <c r="I176" s="1">
        <v>0.0</v>
      </c>
      <c r="J176" s="9" t="s">
        <v>20</v>
      </c>
      <c r="K176" s="5">
        <v>46037.0</v>
      </c>
      <c r="L176" s="11" t="s">
        <v>160</v>
      </c>
      <c r="M176" s="11"/>
      <c r="N176" s="4" t="str">
        <f t="shared" si="1"/>
        <v>Claudio Contreras Díaz</v>
      </c>
      <c r="O176" s="6" t="str">
        <f t="shared" si="2"/>
        <v>12.798.780-K</v>
      </c>
      <c r="P176" s="6" t="str">
        <f t="shared" si="3"/>
        <v>Temuco - Temuco - Región de la Araucanía</v>
      </c>
      <c r="Q176" s="4" t="str">
        <f t="shared" si="4"/>
        <v>En Revisión</v>
      </c>
      <c r="R176" s="12" t="str">
        <f t="shared" si="5"/>
        <v>Riesgo Medio</v>
      </c>
    </row>
    <row r="177">
      <c r="A177" s="1" t="s">
        <v>2473</v>
      </c>
      <c r="B177" s="9" t="s">
        <v>2474</v>
      </c>
      <c r="C177" s="9" t="s">
        <v>2475</v>
      </c>
      <c r="D177" s="1" t="s">
        <v>2476</v>
      </c>
      <c r="E177" s="1" t="s">
        <v>72</v>
      </c>
      <c r="F177" s="1" t="s">
        <v>62</v>
      </c>
      <c r="G177" s="1" t="s">
        <v>63</v>
      </c>
      <c r="H177" s="2">
        <v>1.173E7</v>
      </c>
      <c r="I177" s="1">
        <v>90.0</v>
      </c>
      <c r="J177" s="9" t="s">
        <v>20</v>
      </c>
      <c r="K177" s="5">
        <v>46197.0</v>
      </c>
      <c r="L177" s="11" t="s">
        <v>160</v>
      </c>
      <c r="M177" s="11"/>
      <c r="N177" s="4" t="str">
        <f t="shared" si="1"/>
        <v>Claudio Contreras Rodríguez</v>
      </c>
      <c r="O177" s="6" t="str">
        <f t="shared" si="2"/>
        <v>22.496.173-1</v>
      </c>
      <c r="P177" s="6" t="str">
        <f t="shared" si="3"/>
        <v>Providencia - Santiago - Región Metropolitana</v>
      </c>
      <c r="Q177" s="4" t="str">
        <f t="shared" si="4"/>
        <v>En Revisión</v>
      </c>
      <c r="R177" s="12" t="str">
        <f t="shared" si="5"/>
        <v>Riesgo Medio</v>
      </c>
    </row>
    <row r="178">
      <c r="A178" s="1" t="s">
        <v>2481</v>
      </c>
      <c r="B178" s="9" t="s">
        <v>2482</v>
      </c>
      <c r="C178" s="9" t="s">
        <v>2483</v>
      </c>
      <c r="D178" s="1" t="s">
        <v>2484</v>
      </c>
      <c r="E178" s="1" t="s">
        <v>25</v>
      </c>
      <c r="F178" s="1" t="s">
        <v>26</v>
      </c>
      <c r="G178" s="1" t="s">
        <v>27</v>
      </c>
      <c r="H178" s="2">
        <v>1.484E7</v>
      </c>
      <c r="I178" s="1">
        <v>0.0</v>
      </c>
      <c r="J178" s="9" t="s">
        <v>28</v>
      </c>
      <c r="K178" s="5">
        <v>46155.0</v>
      </c>
      <c r="L178" s="11" t="s">
        <v>207</v>
      </c>
      <c r="M178" s="11"/>
      <c r="N178" s="4" t="str">
        <f t="shared" si="1"/>
        <v>Claudio Díaz Tapia</v>
      </c>
      <c r="O178" s="6" t="str">
        <f t="shared" si="2"/>
        <v>18.401.624-8</v>
      </c>
      <c r="P178" s="6" t="str">
        <f t="shared" si="3"/>
        <v>Viña del Mar - Valparaíso - Región de Valparaíso</v>
      </c>
      <c r="Q178" s="4" t="str">
        <f t="shared" si="4"/>
        <v>Activo</v>
      </c>
      <c r="R178" s="12" t="str">
        <f t="shared" si="5"/>
        <v>Riesgo Bajo</v>
      </c>
    </row>
    <row r="179">
      <c r="A179" s="1" t="s">
        <v>2486</v>
      </c>
      <c r="B179" s="9" t="s">
        <v>2487</v>
      </c>
      <c r="C179" s="9" t="s">
        <v>2488</v>
      </c>
      <c r="D179" s="1" t="s">
        <v>2490</v>
      </c>
      <c r="E179" s="1" t="s">
        <v>158</v>
      </c>
      <c r="F179" s="1" t="s">
        <v>158</v>
      </c>
      <c r="G179" s="1" t="s">
        <v>159</v>
      </c>
      <c r="H179" s="2">
        <v>7320000.0</v>
      </c>
      <c r="I179" s="1">
        <v>15.0</v>
      </c>
      <c r="J179" s="9" t="s">
        <v>28</v>
      </c>
      <c r="K179" s="5">
        <v>46144.0</v>
      </c>
      <c r="L179" s="11" t="s">
        <v>160</v>
      </c>
      <c r="M179" s="11"/>
      <c r="N179" s="4" t="str">
        <f t="shared" si="1"/>
        <v>Claudio Espinoza Valenzuela</v>
      </c>
      <c r="O179" s="6" t="str">
        <f t="shared" si="2"/>
        <v>16568024-6</v>
      </c>
      <c r="P179" s="6" t="str">
        <f t="shared" si="3"/>
        <v>Antofagasta - Antofagasta - Región de Antofagasta</v>
      </c>
      <c r="Q179" s="4" t="str">
        <f t="shared" si="4"/>
        <v>Activo</v>
      </c>
      <c r="R179" s="12" t="str">
        <f t="shared" si="5"/>
        <v>Riesgo Bajo</v>
      </c>
    </row>
    <row r="180">
      <c r="A180" s="1" t="s">
        <v>2469</v>
      </c>
      <c r="B180" s="9" t="s">
        <v>2470</v>
      </c>
      <c r="C180" s="9" t="s">
        <v>2471</v>
      </c>
      <c r="D180" s="1" t="s">
        <v>2472</v>
      </c>
      <c r="E180" s="1" t="s">
        <v>39</v>
      </c>
      <c r="F180" s="1" t="s">
        <v>39</v>
      </c>
      <c r="G180" s="1" t="s">
        <v>40</v>
      </c>
      <c r="H180" s="2">
        <v>1.908E7</v>
      </c>
      <c r="I180" s="1">
        <v>90.0</v>
      </c>
      <c r="J180" s="9" t="s">
        <v>20</v>
      </c>
      <c r="K180" s="5">
        <v>46034.0</v>
      </c>
      <c r="L180" s="11" t="s">
        <v>207</v>
      </c>
      <c r="M180" s="11"/>
      <c r="N180" s="4" t="str">
        <f t="shared" si="1"/>
        <v>Claudio Espinoza Vergara</v>
      </c>
      <c r="O180" s="6" t="str">
        <f t="shared" si="2"/>
        <v>14744482-7</v>
      </c>
      <c r="P180" s="6" t="str">
        <f t="shared" si="3"/>
        <v>Concepción - Concepción - Región del Biobío</v>
      </c>
      <c r="Q180" s="4" t="str">
        <f t="shared" si="4"/>
        <v>En Revisión</v>
      </c>
      <c r="R180" s="12" t="str">
        <f t="shared" si="5"/>
        <v>Riesgo Medio</v>
      </c>
    </row>
    <row r="181">
      <c r="A181" s="1" t="s">
        <v>2502</v>
      </c>
      <c r="B181" s="9" t="s">
        <v>2503</v>
      </c>
      <c r="C181" s="9" t="s">
        <v>2504</v>
      </c>
      <c r="D181" s="1" t="s">
        <v>2505</v>
      </c>
      <c r="E181" s="1" t="s">
        <v>25</v>
      </c>
      <c r="F181" s="1" t="s">
        <v>26</v>
      </c>
      <c r="G181" s="1" t="s">
        <v>27</v>
      </c>
      <c r="H181" s="2">
        <v>1.559E7</v>
      </c>
      <c r="I181" s="1">
        <v>60.0</v>
      </c>
      <c r="J181" s="9" t="s">
        <v>20</v>
      </c>
      <c r="K181" s="5">
        <v>46163.0</v>
      </c>
      <c r="L181" s="11" t="s">
        <v>100</v>
      </c>
      <c r="M181" s="11"/>
      <c r="N181" s="4" t="str">
        <f t="shared" si="1"/>
        <v>Claudio Fuentes López</v>
      </c>
      <c r="O181" s="6" t="str">
        <f t="shared" si="2"/>
        <v>14875190-K</v>
      </c>
      <c r="P181" s="6" t="str">
        <f t="shared" si="3"/>
        <v>Viña del Mar - Valparaíso - Región de Valparaíso</v>
      </c>
      <c r="Q181" s="4" t="str">
        <f t="shared" si="4"/>
        <v>En Revisión</v>
      </c>
      <c r="R181" s="12" t="str">
        <f t="shared" si="5"/>
        <v>Riesgo Medio</v>
      </c>
    </row>
    <row r="182">
      <c r="A182" s="1" t="s">
        <v>1098</v>
      </c>
      <c r="B182" s="9" t="s">
        <v>1099</v>
      </c>
      <c r="C182" s="9" t="s">
        <v>1100</v>
      </c>
      <c r="D182" s="1" t="s">
        <v>1101</v>
      </c>
      <c r="E182" s="1" t="s">
        <v>194</v>
      </c>
      <c r="F182" s="1" t="s">
        <v>62</v>
      </c>
      <c r="G182" s="1" t="s">
        <v>63</v>
      </c>
      <c r="H182" s="2">
        <v>8780000.0</v>
      </c>
      <c r="I182" s="1">
        <v>0.0</v>
      </c>
      <c r="J182" s="9" t="s">
        <v>20</v>
      </c>
      <c r="K182" s="5">
        <v>46177.0</v>
      </c>
      <c r="L182" s="11" t="s">
        <v>207</v>
      </c>
      <c r="M182" s="11"/>
      <c r="N182" s="4" t="str">
        <f t="shared" si="1"/>
        <v>Claudio Fuentes Pérez</v>
      </c>
      <c r="O182" s="6" t="str">
        <f t="shared" si="2"/>
        <v>11492005-4</v>
      </c>
      <c r="P182" s="6" t="str">
        <f t="shared" si="3"/>
        <v>Las Condes - Santiago - Región Metropolitana</v>
      </c>
      <c r="Q182" s="4" t="str">
        <f t="shared" si="4"/>
        <v>En Revisión</v>
      </c>
      <c r="R182" s="12" t="str">
        <f t="shared" si="5"/>
        <v>Riesgo Medio</v>
      </c>
    </row>
    <row r="183">
      <c r="A183" s="1" t="s">
        <v>2513</v>
      </c>
      <c r="B183" s="9" t="s">
        <v>2514</v>
      </c>
      <c r="C183" s="9" t="s">
        <v>2515</v>
      </c>
      <c r="D183" s="1" t="s">
        <v>2516</v>
      </c>
      <c r="E183" s="1" t="s">
        <v>118</v>
      </c>
      <c r="F183" s="1" t="s">
        <v>62</v>
      </c>
      <c r="G183" s="1" t="s">
        <v>63</v>
      </c>
      <c r="H183" s="2">
        <v>1.425E7</v>
      </c>
      <c r="I183" s="1">
        <v>0.0</v>
      </c>
      <c r="J183" s="9" t="s">
        <v>20</v>
      </c>
      <c r="K183" s="5">
        <v>46134.0</v>
      </c>
      <c r="L183" s="11" t="s">
        <v>207</v>
      </c>
      <c r="M183" s="11"/>
      <c r="N183" s="4" t="str">
        <f t="shared" si="1"/>
        <v>Claudio González Morales</v>
      </c>
      <c r="O183" s="6" t="str">
        <f t="shared" si="2"/>
        <v>17.746.452-8</v>
      </c>
      <c r="P183" s="6" t="str">
        <f t="shared" si="3"/>
        <v>Maipú - Santiago - Región Metropolitana</v>
      </c>
      <c r="Q183" s="4" t="str">
        <f t="shared" si="4"/>
        <v>En Revisión</v>
      </c>
      <c r="R183" s="12" t="str">
        <f t="shared" si="5"/>
        <v>Riesgo Medio</v>
      </c>
    </row>
    <row r="184">
      <c r="A184" s="1" t="s">
        <v>2521</v>
      </c>
      <c r="B184" s="9" t="s">
        <v>2522</v>
      </c>
      <c r="C184" s="9" t="s">
        <v>2523</v>
      </c>
      <c r="D184" s="1" t="s">
        <v>2524</v>
      </c>
      <c r="E184" s="1" t="s">
        <v>194</v>
      </c>
      <c r="F184" s="1" t="s">
        <v>62</v>
      </c>
      <c r="G184" s="1" t="s">
        <v>63</v>
      </c>
      <c r="H184" s="2">
        <v>1.738E7</v>
      </c>
      <c r="I184" s="1">
        <v>15.0</v>
      </c>
      <c r="J184" s="9" t="s">
        <v>20</v>
      </c>
      <c r="K184" s="5">
        <v>46099.0</v>
      </c>
      <c r="L184" s="11" t="s">
        <v>100</v>
      </c>
      <c r="M184" s="11"/>
      <c r="N184" s="4" t="str">
        <f t="shared" si="1"/>
        <v>Claudio González Pérez</v>
      </c>
      <c r="O184" s="6" t="str">
        <f t="shared" si="2"/>
        <v>22.452.644-K</v>
      </c>
      <c r="P184" s="6" t="str">
        <f t="shared" si="3"/>
        <v>Las Condes - Santiago - Región Metropolitana</v>
      </c>
      <c r="Q184" s="4" t="str">
        <f t="shared" si="4"/>
        <v>En Revisión</v>
      </c>
      <c r="R184" s="12" t="str">
        <f t="shared" si="5"/>
        <v>Riesgo Medio</v>
      </c>
    </row>
    <row r="185">
      <c r="A185" s="1" t="s">
        <v>2529</v>
      </c>
      <c r="B185" s="9" t="s">
        <v>2530</v>
      </c>
      <c r="C185" s="9" t="s">
        <v>2531</v>
      </c>
      <c r="D185" s="1" t="s">
        <v>2532</v>
      </c>
      <c r="E185" s="1" t="s">
        <v>194</v>
      </c>
      <c r="F185" s="1" t="s">
        <v>62</v>
      </c>
      <c r="G185" s="1" t="s">
        <v>63</v>
      </c>
      <c r="H185" s="2">
        <v>1.784E7</v>
      </c>
      <c r="I185" s="1">
        <v>45.0</v>
      </c>
      <c r="J185" s="9" t="s">
        <v>28</v>
      </c>
      <c r="K185" s="5">
        <v>46214.0</v>
      </c>
      <c r="L185" s="11" t="s">
        <v>181</v>
      </c>
      <c r="M185" s="11"/>
      <c r="N185" s="4" t="str">
        <f t="shared" si="1"/>
        <v>Claudio González Silva</v>
      </c>
      <c r="O185" s="6" t="str">
        <f t="shared" si="2"/>
        <v>18.725.853-K</v>
      </c>
      <c r="P185" s="6" t="str">
        <f t="shared" si="3"/>
        <v>Las Condes - Santiago - Región Metropolitana</v>
      </c>
      <c r="Q185" s="4" t="str">
        <f t="shared" si="4"/>
        <v>Activo</v>
      </c>
      <c r="R185" s="12" t="str">
        <f t="shared" si="5"/>
        <v>Riesgo Medio</v>
      </c>
    </row>
    <row r="186">
      <c r="A186" s="1" t="s">
        <v>2536</v>
      </c>
      <c r="B186" s="9" t="s">
        <v>2537</v>
      </c>
      <c r="C186" s="9" t="s">
        <v>2538</v>
      </c>
      <c r="D186" s="1" t="s">
        <v>2539</v>
      </c>
      <c r="E186" s="1" t="s">
        <v>45</v>
      </c>
      <c r="F186" s="1" t="s">
        <v>45</v>
      </c>
      <c r="G186" s="1" t="s">
        <v>46</v>
      </c>
      <c r="H186" s="2">
        <v>4920000.0</v>
      </c>
      <c r="I186" s="1">
        <v>0.0</v>
      </c>
      <c r="J186" s="9" t="s">
        <v>28</v>
      </c>
      <c r="K186" s="5">
        <v>46126.0</v>
      </c>
      <c r="L186" s="11" t="s">
        <v>100</v>
      </c>
      <c r="M186" s="11"/>
      <c r="N186" s="4" t="str">
        <f t="shared" si="1"/>
        <v>Claudio López Rodríguez</v>
      </c>
      <c r="O186" s="6" t="str">
        <f t="shared" si="2"/>
        <v>11.006.460-0</v>
      </c>
      <c r="P186" s="6" t="str">
        <f t="shared" si="3"/>
        <v>Temuco - Temuco - Región de la Araucanía</v>
      </c>
      <c r="Q186" s="4" t="str">
        <f t="shared" si="4"/>
        <v>Activo</v>
      </c>
      <c r="R186" s="12" t="str">
        <f t="shared" si="5"/>
        <v>Riesgo Bajo</v>
      </c>
    </row>
    <row r="187">
      <c r="A187" s="1" t="s">
        <v>1423</v>
      </c>
      <c r="B187" s="9" t="s">
        <v>1424</v>
      </c>
      <c r="C187" s="9" t="s">
        <v>1426</v>
      </c>
      <c r="D187" s="1" t="s">
        <v>1427</v>
      </c>
      <c r="E187" s="1" t="s">
        <v>39</v>
      </c>
      <c r="F187" s="1" t="s">
        <v>39</v>
      </c>
      <c r="G187" s="1" t="s">
        <v>40</v>
      </c>
      <c r="H187" s="2">
        <v>1.148E7</v>
      </c>
      <c r="I187" s="1">
        <v>0.0</v>
      </c>
      <c r="J187" s="9" t="s">
        <v>28</v>
      </c>
      <c r="K187" s="5">
        <v>46077.0</v>
      </c>
      <c r="L187" s="11" t="s">
        <v>207</v>
      </c>
      <c r="M187" s="11"/>
      <c r="N187" s="4" t="str">
        <f t="shared" si="1"/>
        <v>Claudio Muñoz López</v>
      </c>
      <c r="O187" s="6" t="str">
        <f t="shared" si="2"/>
        <v>20.240.014-6</v>
      </c>
      <c r="P187" s="6" t="str">
        <f t="shared" si="3"/>
        <v>Concepción - Concepción - Región del Biobío</v>
      </c>
      <c r="Q187" s="4" t="str">
        <f t="shared" si="4"/>
        <v>Activo</v>
      </c>
      <c r="R187" s="12" t="str">
        <f t="shared" si="5"/>
        <v>Riesgo Bajo</v>
      </c>
    </row>
    <row r="188">
      <c r="A188" s="1" t="s">
        <v>2551</v>
      </c>
      <c r="B188" s="9" t="s">
        <v>2552</v>
      </c>
      <c r="C188" s="9" t="s">
        <v>2553</v>
      </c>
      <c r="D188" s="1" t="s">
        <v>2554</v>
      </c>
      <c r="E188" s="1" t="s">
        <v>194</v>
      </c>
      <c r="F188" s="1" t="s">
        <v>62</v>
      </c>
      <c r="G188" s="1" t="s">
        <v>63</v>
      </c>
      <c r="H188" s="2">
        <v>610000.0</v>
      </c>
      <c r="I188" s="1">
        <v>60.0</v>
      </c>
      <c r="J188" s="9" t="s">
        <v>28</v>
      </c>
      <c r="K188" s="5">
        <v>46131.0</v>
      </c>
      <c r="L188" s="11" t="s">
        <v>160</v>
      </c>
      <c r="M188" s="11"/>
      <c r="N188" s="4" t="str">
        <f t="shared" si="1"/>
        <v>Claudio Muñoz Rodríguez</v>
      </c>
      <c r="O188" s="6" t="str">
        <f t="shared" si="2"/>
        <v>15135391-8</v>
      </c>
      <c r="P188" s="6" t="str">
        <f t="shared" si="3"/>
        <v>Las Condes - Santiago - Región Metropolitana</v>
      </c>
      <c r="Q188" s="4" t="str">
        <f t="shared" si="4"/>
        <v>Activo</v>
      </c>
      <c r="R188" s="12" t="str">
        <f t="shared" si="5"/>
        <v>Riesgo Medio</v>
      </c>
    </row>
    <row r="189">
      <c r="A189" s="1" t="s">
        <v>2564</v>
      </c>
      <c r="B189" s="9" t="s">
        <v>2567</v>
      </c>
      <c r="C189" s="9" t="s">
        <v>2569</v>
      </c>
      <c r="D189" s="1" t="s">
        <v>2571</v>
      </c>
      <c r="E189" s="1" t="s">
        <v>18</v>
      </c>
      <c r="F189" s="1" t="s">
        <v>18</v>
      </c>
      <c r="G189" s="1" t="s">
        <v>19</v>
      </c>
      <c r="H189" s="2">
        <v>790000.0</v>
      </c>
      <c r="I189" s="1">
        <v>0.0</v>
      </c>
      <c r="J189" s="9" t="s">
        <v>20</v>
      </c>
      <c r="K189" s="5">
        <v>46097.0</v>
      </c>
      <c r="L189" s="11" t="s">
        <v>160</v>
      </c>
      <c r="M189" s="11"/>
      <c r="N189" s="4" t="str">
        <f t="shared" si="1"/>
        <v>Claudio Muñoz Sepúlveda</v>
      </c>
      <c r="O189" s="6" t="str">
        <f t="shared" si="2"/>
        <v>19.874.701-7</v>
      </c>
      <c r="P189" s="6" t="str">
        <f t="shared" si="3"/>
        <v>La Serena - La Serena - Región de Coquimbo</v>
      </c>
      <c r="Q189" s="4" t="str">
        <f t="shared" si="4"/>
        <v>En Revisión</v>
      </c>
      <c r="R189" s="12" t="str">
        <f t="shared" si="5"/>
        <v>Riesgo Medio</v>
      </c>
    </row>
    <row r="190">
      <c r="A190" s="1" t="s">
        <v>2585</v>
      </c>
      <c r="B190" s="9" t="s">
        <v>2586</v>
      </c>
      <c r="C190" s="9" t="s">
        <v>2587</v>
      </c>
      <c r="D190" s="1" t="s">
        <v>2571</v>
      </c>
      <c r="E190" s="1" t="s">
        <v>158</v>
      </c>
      <c r="F190" s="1" t="s">
        <v>158</v>
      </c>
      <c r="G190" s="1" t="s">
        <v>159</v>
      </c>
      <c r="H190" s="2">
        <v>560000.0</v>
      </c>
      <c r="I190" s="1">
        <v>0.0</v>
      </c>
      <c r="J190" s="9" t="s">
        <v>97</v>
      </c>
      <c r="K190" s="5">
        <v>46208.0</v>
      </c>
      <c r="L190" s="11" t="s">
        <v>181</v>
      </c>
      <c r="M190" s="11"/>
      <c r="N190" s="4" t="str">
        <f t="shared" si="1"/>
        <v>Claudio Muñoz Tapia</v>
      </c>
      <c r="O190" s="6" t="str">
        <f t="shared" si="2"/>
        <v>14.379.132-7</v>
      </c>
      <c r="P190" s="6" t="str">
        <f t="shared" si="3"/>
        <v>Antofagasta - Antofagasta - Región de Antofagasta</v>
      </c>
      <c r="Q190" s="4" t="str">
        <f t="shared" si="4"/>
        <v>Inactivo</v>
      </c>
      <c r="R190" s="12" t="str">
        <f t="shared" si="5"/>
        <v>Riesgo Bajo</v>
      </c>
    </row>
    <row r="191">
      <c r="A191" s="1" t="s">
        <v>2598</v>
      </c>
      <c r="B191" s="9" t="s">
        <v>2599</v>
      </c>
      <c r="C191" s="9" t="s">
        <v>2601</v>
      </c>
      <c r="D191" s="1" t="s">
        <v>2603</v>
      </c>
      <c r="E191" s="1" t="s">
        <v>56</v>
      </c>
      <c r="F191" s="1" t="s">
        <v>39</v>
      </c>
      <c r="G191" s="1" t="s">
        <v>40</v>
      </c>
      <c r="H191" s="2">
        <v>1940000.0</v>
      </c>
      <c r="I191" s="1">
        <v>120.0</v>
      </c>
      <c r="J191" s="9" t="s">
        <v>28</v>
      </c>
      <c r="K191" s="5">
        <v>46105.0</v>
      </c>
      <c r="L191" s="11" t="s">
        <v>160</v>
      </c>
      <c r="M191" s="11"/>
      <c r="N191" s="4" t="str">
        <f t="shared" si="1"/>
        <v>Claudio Pérez López</v>
      </c>
      <c r="O191" s="6" t="str">
        <f t="shared" si="2"/>
        <v>20.005.286-7</v>
      </c>
      <c r="P191" s="6" t="str">
        <f t="shared" si="3"/>
        <v>Talcahuano - Concepción - Región del Biobío</v>
      </c>
      <c r="Q191" s="4" t="str">
        <f t="shared" si="4"/>
        <v>Activo</v>
      </c>
      <c r="R191" s="12" t="str">
        <f t="shared" si="5"/>
        <v>Riesgo Alto</v>
      </c>
    </row>
    <row r="192">
      <c r="A192" s="1" t="s">
        <v>2614</v>
      </c>
      <c r="B192" s="9" t="s">
        <v>2615</v>
      </c>
      <c r="C192" s="9" t="s">
        <v>2130</v>
      </c>
      <c r="D192" s="1" t="s">
        <v>2616</v>
      </c>
      <c r="E192" s="1" t="s">
        <v>56</v>
      </c>
      <c r="F192" s="1" t="s">
        <v>39</v>
      </c>
      <c r="G192" s="1" t="s">
        <v>40</v>
      </c>
      <c r="H192" s="2">
        <v>1.36E7</v>
      </c>
      <c r="I192" s="1">
        <v>0.0</v>
      </c>
      <c r="J192" s="9" t="s">
        <v>28</v>
      </c>
      <c r="K192" s="5">
        <v>46090.0</v>
      </c>
      <c r="L192" s="11" t="s">
        <v>160</v>
      </c>
      <c r="M192" s="11"/>
      <c r="N192" s="4" t="str">
        <f t="shared" si="1"/>
        <v>Claudio Rodríguez Vergara</v>
      </c>
      <c r="O192" s="6" t="str">
        <f t="shared" si="2"/>
        <v>14.442.129-8</v>
      </c>
      <c r="P192" s="6" t="str">
        <f t="shared" si="3"/>
        <v>Talcahuano - Concepción - Región del Biobío</v>
      </c>
      <c r="Q192" s="4" t="str">
        <f t="shared" si="4"/>
        <v>Activo</v>
      </c>
      <c r="R192" s="12" t="str">
        <f t="shared" si="5"/>
        <v>Riesgo Bajo</v>
      </c>
    </row>
    <row r="193">
      <c r="A193" s="1" t="s">
        <v>1454</v>
      </c>
      <c r="B193" s="9" t="s">
        <v>1455</v>
      </c>
      <c r="C193" s="9" t="s">
        <v>2625</v>
      </c>
      <c r="D193" s="1" t="s">
        <v>1458</v>
      </c>
      <c r="E193" s="1" t="s">
        <v>118</v>
      </c>
      <c r="F193" s="1" t="s">
        <v>62</v>
      </c>
      <c r="G193" s="1" t="s">
        <v>63</v>
      </c>
      <c r="H193" s="2">
        <v>8090000.0</v>
      </c>
      <c r="I193" s="1">
        <v>90.0</v>
      </c>
      <c r="J193" s="9" t="s">
        <v>20</v>
      </c>
      <c r="K193" s="5">
        <v>46066.0</v>
      </c>
      <c r="L193" s="11" t="s">
        <v>207</v>
      </c>
      <c r="M193" s="11"/>
      <c r="N193" s="4" t="str">
        <f t="shared" si="1"/>
        <v>Claudio Rojas Araya</v>
      </c>
      <c r="O193" s="6" t="str">
        <f t="shared" si="2"/>
        <v>18.733.998-0</v>
      </c>
      <c r="P193" s="6" t="str">
        <f t="shared" si="3"/>
        <v>Maipú - Santiago - Región Metropolitana</v>
      </c>
      <c r="Q193" s="4" t="str">
        <f t="shared" si="4"/>
        <v>En Revisión</v>
      </c>
      <c r="R193" s="12" t="str">
        <f t="shared" si="5"/>
        <v>Riesgo Medio</v>
      </c>
    </row>
    <row r="194">
      <c r="A194" s="1" t="s">
        <v>2636</v>
      </c>
      <c r="B194" s="9" t="s">
        <v>2638</v>
      </c>
      <c r="C194" s="9" t="s">
        <v>2640</v>
      </c>
      <c r="D194" s="1" t="s">
        <v>2641</v>
      </c>
      <c r="E194" s="1" t="s">
        <v>158</v>
      </c>
      <c r="F194" s="1" t="s">
        <v>158</v>
      </c>
      <c r="G194" s="1" t="s">
        <v>159</v>
      </c>
      <c r="H194" s="2">
        <v>5880000.0</v>
      </c>
      <c r="I194" s="1">
        <v>0.0</v>
      </c>
      <c r="J194" s="9" t="s">
        <v>28</v>
      </c>
      <c r="K194" s="5">
        <v>46048.0</v>
      </c>
      <c r="L194" s="11" t="s">
        <v>160</v>
      </c>
      <c r="M194" s="11"/>
      <c r="N194" s="4" t="str">
        <f t="shared" si="1"/>
        <v>Claudio Rojas Pérez</v>
      </c>
      <c r="O194" s="6" t="str">
        <f t="shared" si="2"/>
        <v>12340018-9</v>
      </c>
      <c r="P194" s="6" t="str">
        <f t="shared" si="3"/>
        <v>Antofagasta - Antofagasta - Región de Antofagasta</v>
      </c>
      <c r="Q194" s="4" t="str">
        <f t="shared" si="4"/>
        <v>Activo</v>
      </c>
      <c r="R194" s="12" t="str">
        <f t="shared" si="5"/>
        <v>Riesgo Bajo</v>
      </c>
    </row>
    <row r="195">
      <c r="A195" s="1" t="s">
        <v>1748</v>
      </c>
      <c r="B195" s="9" t="s">
        <v>1749</v>
      </c>
      <c r="C195" s="9" t="s">
        <v>1750</v>
      </c>
      <c r="D195" s="1" t="s">
        <v>1751</v>
      </c>
      <c r="E195" s="1" t="s">
        <v>118</v>
      </c>
      <c r="F195" s="1" t="s">
        <v>62</v>
      </c>
      <c r="G195" s="1" t="s">
        <v>63</v>
      </c>
      <c r="H195" s="2">
        <v>1.873E7</v>
      </c>
      <c r="I195" s="1">
        <v>30.0</v>
      </c>
      <c r="J195" s="9" t="s">
        <v>20</v>
      </c>
      <c r="K195" s="5">
        <v>46219.0</v>
      </c>
      <c r="L195" s="11" t="s">
        <v>207</v>
      </c>
      <c r="M195" s="11"/>
      <c r="N195" s="4" t="str">
        <f t="shared" si="1"/>
        <v>Claudio Rojas Valenzuela</v>
      </c>
      <c r="O195" s="6" t="str">
        <f t="shared" si="2"/>
        <v>18.622.686-3</v>
      </c>
      <c r="P195" s="6" t="str">
        <f t="shared" si="3"/>
        <v>Maipú - Santiago - Región Metropolitana</v>
      </c>
      <c r="Q195" s="4" t="str">
        <f t="shared" si="4"/>
        <v>En Revisión</v>
      </c>
      <c r="R195" s="12" t="str">
        <f t="shared" si="5"/>
        <v>Riesgo Medio</v>
      </c>
    </row>
    <row r="196">
      <c r="A196" s="1" t="s">
        <v>2650</v>
      </c>
      <c r="B196" s="9" t="s">
        <v>2651</v>
      </c>
      <c r="C196" s="9" t="s">
        <v>2652</v>
      </c>
      <c r="D196" s="1" t="s">
        <v>2653</v>
      </c>
      <c r="E196" s="1" t="s">
        <v>61</v>
      </c>
      <c r="F196" s="1" t="s">
        <v>62</v>
      </c>
      <c r="G196" s="1" t="s">
        <v>63</v>
      </c>
      <c r="H196" s="2">
        <v>3170000.0</v>
      </c>
      <c r="I196" s="1">
        <v>0.0</v>
      </c>
      <c r="J196" s="9" t="s">
        <v>20</v>
      </c>
      <c r="K196" s="5">
        <v>46186.0</v>
      </c>
      <c r="L196" s="11" t="s">
        <v>100</v>
      </c>
      <c r="M196" s="11"/>
      <c r="N196" s="4" t="str">
        <f t="shared" si="1"/>
        <v>Claudio Sepúlveda Tapia</v>
      </c>
      <c r="O196" s="6" t="str">
        <f t="shared" si="2"/>
        <v>21.146.164-1</v>
      </c>
      <c r="P196" s="6" t="str">
        <f t="shared" si="3"/>
        <v>Santiago Centro - Santiago - Región Metropolitana</v>
      </c>
      <c r="Q196" s="4" t="str">
        <f t="shared" si="4"/>
        <v>En Revisión</v>
      </c>
      <c r="R196" s="12" t="str">
        <f t="shared" si="5"/>
        <v>Riesgo Medio</v>
      </c>
    </row>
    <row r="197">
      <c r="A197" s="1" t="s">
        <v>2659</v>
      </c>
      <c r="B197" s="9" t="s">
        <v>2660</v>
      </c>
      <c r="C197" s="9" t="s">
        <v>2661</v>
      </c>
      <c r="D197" s="1" t="s">
        <v>2662</v>
      </c>
      <c r="E197" s="1" t="s">
        <v>194</v>
      </c>
      <c r="F197" s="1" t="s">
        <v>62</v>
      </c>
      <c r="G197" s="1" t="s">
        <v>63</v>
      </c>
      <c r="H197" s="2">
        <v>1090000.0</v>
      </c>
      <c r="I197" s="1">
        <v>0.0</v>
      </c>
      <c r="J197" s="9" t="s">
        <v>20</v>
      </c>
      <c r="K197" s="5">
        <v>46147.0</v>
      </c>
      <c r="L197" s="11" t="s">
        <v>207</v>
      </c>
      <c r="M197" s="11"/>
      <c r="N197" s="4" t="str">
        <f t="shared" si="1"/>
        <v>Claudio Silva González</v>
      </c>
      <c r="O197" s="6" t="str">
        <f t="shared" si="2"/>
        <v>17.564.282-1</v>
      </c>
      <c r="P197" s="6" t="str">
        <f t="shared" si="3"/>
        <v>Las Condes - Santiago - Región Metropolitana</v>
      </c>
      <c r="Q197" s="4" t="str">
        <f t="shared" si="4"/>
        <v>En Revisión</v>
      </c>
      <c r="R197" s="12" t="str">
        <f t="shared" si="5"/>
        <v>Riesgo Medio</v>
      </c>
    </row>
    <row r="198">
      <c r="A198" s="1" t="s">
        <v>2675</v>
      </c>
      <c r="B198" s="9" t="s">
        <v>2678</v>
      </c>
      <c r="C198" s="9" t="s">
        <v>2680</v>
      </c>
      <c r="D198" s="1" t="s">
        <v>2681</v>
      </c>
      <c r="E198" s="1" t="s">
        <v>18</v>
      </c>
      <c r="F198" s="1" t="s">
        <v>18</v>
      </c>
      <c r="G198" s="1" t="s">
        <v>19</v>
      </c>
      <c r="H198" s="2">
        <v>5420000.0</v>
      </c>
      <c r="I198" s="1">
        <v>0.0</v>
      </c>
      <c r="J198" s="9" t="s">
        <v>28</v>
      </c>
      <c r="K198" s="5">
        <v>46130.0</v>
      </c>
      <c r="L198" s="11" t="s">
        <v>160</v>
      </c>
      <c r="M198" s="11"/>
      <c r="N198" s="4" t="str">
        <f t="shared" si="1"/>
        <v>Claudio Silva Silva</v>
      </c>
      <c r="O198" s="6" t="str">
        <f t="shared" si="2"/>
        <v>16.433.272-3</v>
      </c>
      <c r="P198" s="6" t="str">
        <f t="shared" si="3"/>
        <v>La Serena - La Serena - Región de Coquimbo</v>
      </c>
      <c r="Q198" s="4" t="str">
        <f t="shared" si="4"/>
        <v>Activo</v>
      </c>
      <c r="R198" s="12" t="str">
        <f t="shared" si="5"/>
        <v>Riesgo Bajo</v>
      </c>
    </row>
    <row r="199">
      <c r="A199" s="1" t="s">
        <v>2691</v>
      </c>
      <c r="B199" s="9" t="s">
        <v>2693</v>
      </c>
      <c r="C199" s="9" t="s">
        <v>2694</v>
      </c>
      <c r="D199" s="1" t="s">
        <v>2695</v>
      </c>
      <c r="E199" s="1" t="s">
        <v>194</v>
      </c>
      <c r="F199" s="1" t="s">
        <v>62</v>
      </c>
      <c r="G199" s="1" t="s">
        <v>63</v>
      </c>
      <c r="H199" s="2">
        <v>1.992E7</v>
      </c>
      <c r="I199" s="1">
        <v>15.0</v>
      </c>
      <c r="J199" s="9" t="s">
        <v>28</v>
      </c>
      <c r="K199" s="5">
        <v>46228.0</v>
      </c>
      <c r="L199" s="11" t="s">
        <v>207</v>
      </c>
      <c r="M199" s="11"/>
      <c r="N199" s="4" t="str">
        <f t="shared" si="1"/>
        <v>Claudio Soto González</v>
      </c>
      <c r="O199" s="6" t="str">
        <f t="shared" si="2"/>
        <v>19.801.145-6</v>
      </c>
      <c r="P199" s="6" t="str">
        <f t="shared" si="3"/>
        <v>Las Condes - Santiago - Región Metropolitana</v>
      </c>
      <c r="Q199" s="4" t="str">
        <f t="shared" si="4"/>
        <v>Activo</v>
      </c>
      <c r="R199" s="12" t="str">
        <f t="shared" si="5"/>
        <v>Riesgo Bajo</v>
      </c>
    </row>
    <row r="200">
      <c r="A200" s="1" t="s">
        <v>2703</v>
      </c>
      <c r="B200" s="9" t="s">
        <v>2704</v>
      </c>
      <c r="C200" s="9" t="s">
        <v>2706</v>
      </c>
      <c r="D200" s="1" t="s">
        <v>2707</v>
      </c>
      <c r="E200" s="1" t="s">
        <v>61</v>
      </c>
      <c r="F200" s="1" t="s">
        <v>62</v>
      </c>
      <c r="G200" s="1" t="s">
        <v>63</v>
      </c>
      <c r="H200" s="2">
        <v>1.838E7</v>
      </c>
      <c r="I200" s="1">
        <v>30.0</v>
      </c>
      <c r="J200" s="9" t="s">
        <v>97</v>
      </c>
      <c r="K200" s="5">
        <v>46064.0</v>
      </c>
      <c r="L200" s="11" t="s">
        <v>100</v>
      </c>
      <c r="M200" s="11"/>
      <c r="N200" s="4" t="str">
        <f t="shared" si="1"/>
        <v>Claudio Tapia Morales</v>
      </c>
      <c r="O200" s="6" t="str">
        <f t="shared" si="2"/>
        <v>12.785.688-8</v>
      </c>
      <c r="P200" s="6" t="str">
        <f t="shared" si="3"/>
        <v>Santiago Centro - Santiago - Región Metropolitana</v>
      </c>
      <c r="Q200" s="4" t="str">
        <f t="shared" si="4"/>
        <v>Inactivo</v>
      </c>
      <c r="R200" s="12" t="str">
        <f t="shared" si="5"/>
        <v>Riesgo Bajo</v>
      </c>
    </row>
    <row r="201">
      <c r="A201" s="1" t="s">
        <v>2712</v>
      </c>
      <c r="B201" s="9" t="s">
        <v>2714</v>
      </c>
      <c r="C201" s="9" t="s">
        <v>2717</v>
      </c>
      <c r="D201" s="1" t="s">
        <v>2720</v>
      </c>
      <c r="E201" s="1" t="s">
        <v>118</v>
      </c>
      <c r="F201" s="1" t="s">
        <v>62</v>
      </c>
      <c r="G201" s="1" t="s">
        <v>63</v>
      </c>
      <c r="H201" s="2">
        <v>1.706E7</v>
      </c>
      <c r="I201" s="1">
        <v>0.0</v>
      </c>
      <c r="J201" s="9" t="s">
        <v>20</v>
      </c>
      <c r="K201" s="5">
        <v>46196.0</v>
      </c>
      <c r="L201" s="11" t="s">
        <v>207</v>
      </c>
      <c r="M201" s="11"/>
      <c r="N201" s="4" t="str">
        <f t="shared" si="1"/>
        <v>Claudio Valenzuela López</v>
      </c>
      <c r="O201" s="6" t="str">
        <f t="shared" si="2"/>
        <v>16989738-2</v>
      </c>
      <c r="P201" s="6" t="str">
        <f t="shared" si="3"/>
        <v>Maipú - Santiago - Región Metropolitana</v>
      </c>
      <c r="Q201" s="4" t="str">
        <f t="shared" si="4"/>
        <v>En Revisión</v>
      </c>
      <c r="R201" s="12" t="str">
        <f t="shared" si="5"/>
        <v>Riesgo Medio</v>
      </c>
    </row>
    <row r="202">
      <c r="A202" s="1" t="s">
        <v>2713</v>
      </c>
      <c r="B202" s="9" t="s">
        <v>2715</v>
      </c>
      <c r="C202" s="9" t="s">
        <v>2726</v>
      </c>
      <c r="D202" s="1" t="s">
        <v>2721</v>
      </c>
      <c r="E202" s="1" t="s">
        <v>26</v>
      </c>
      <c r="F202" s="1" t="s">
        <v>26</v>
      </c>
      <c r="G202" s="1" t="s">
        <v>27</v>
      </c>
      <c r="H202" s="2">
        <v>2.049E7</v>
      </c>
      <c r="I202" s="1">
        <v>0.0</v>
      </c>
      <c r="J202" s="9" t="s">
        <v>20</v>
      </c>
      <c r="K202" s="5">
        <v>46108.0</v>
      </c>
      <c r="L202" s="11" t="s">
        <v>207</v>
      </c>
      <c r="M202" s="11"/>
      <c r="N202" s="4" t="str">
        <f t="shared" si="1"/>
        <v>Claudio Valenzuela Muñoz</v>
      </c>
      <c r="O202" s="6" t="str">
        <f t="shared" si="2"/>
        <v>14.777.630-2</v>
      </c>
      <c r="P202" s="6" t="str">
        <f t="shared" si="3"/>
        <v>Valparaíso - Valparaíso - Región de Valparaíso</v>
      </c>
      <c r="Q202" s="4" t="str">
        <f t="shared" si="4"/>
        <v>En Revisión</v>
      </c>
      <c r="R202" s="12" t="str">
        <f t="shared" si="5"/>
        <v>Riesgo Medio</v>
      </c>
    </row>
    <row r="203">
      <c r="A203" s="1" t="s">
        <v>2727</v>
      </c>
      <c r="B203" s="9" t="s">
        <v>2728</v>
      </c>
      <c r="C203" s="9" t="s">
        <v>2729</v>
      </c>
      <c r="D203" s="1" t="s">
        <v>2730</v>
      </c>
      <c r="E203" s="1" t="s">
        <v>61</v>
      </c>
      <c r="F203" s="1" t="s">
        <v>62</v>
      </c>
      <c r="G203" s="1" t="s">
        <v>63</v>
      </c>
      <c r="H203" s="2">
        <v>1.281E7</v>
      </c>
      <c r="I203" s="1">
        <v>60.0</v>
      </c>
      <c r="J203" s="9" t="s">
        <v>28</v>
      </c>
      <c r="K203" s="5">
        <v>46182.0</v>
      </c>
      <c r="L203" s="11" t="s">
        <v>100</v>
      </c>
      <c r="M203" s="11"/>
      <c r="N203" s="4" t="str">
        <f t="shared" si="1"/>
        <v>Claudio Vergara Espinoza</v>
      </c>
      <c r="O203" s="6" t="str">
        <f t="shared" si="2"/>
        <v>19.008.702-7</v>
      </c>
      <c r="P203" s="6" t="str">
        <f t="shared" si="3"/>
        <v>Santiago Centro - Santiago - Región Metropolitana</v>
      </c>
      <c r="Q203" s="4" t="str">
        <f t="shared" si="4"/>
        <v>Activo</v>
      </c>
      <c r="R203" s="12" t="str">
        <f t="shared" si="5"/>
        <v>Riesgo Medio</v>
      </c>
    </row>
    <row r="204">
      <c r="A204" s="1" t="s">
        <v>2732</v>
      </c>
      <c r="B204" s="9" t="s">
        <v>2733</v>
      </c>
      <c r="C204" s="9" t="s">
        <v>2734</v>
      </c>
      <c r="D204" s="1" t="s">
        <v>2735</v>
      </c>
      <c r="E204" s="1" t="s">
        <v>118</v>
      </c>
      <c r="F204" s="1" t="s">
        <v>62</v>
      </c>
      <c r="G204" s="1" t="s">
        <v>63</v>
      </c>
      <c r="H204" s="2">
        <v>1.063E7</v>
      </c>
      <c r="I204" s="1">
        <v>30.0</v>
      </c>
      <c r="J204" s="9" t="s">
        <v>28</v>
      </c>
      <c r="K204" s="5">
        <v>46167.0</v>
      </c>
      <c r="L204" s="11" t="s">
        <v>207</v>
      </c>
      <c r="M204" s="11"/>
      <c r="N204" s="4" t="str">
        <f t="shared" si="1"/>
        <v>Claudio Vergara González</v>
      </c>
      <c r="O204" s="6" t="str">
        <f t="shared" si="2"/>
        <v>16.780.298-1</v>
      </c>
      <c r="P204" s="6" t="str">
        <f t="shared" si="3"/>
        <v>Maipú - Santiago - Región Metropolitana</v>
      </c>
      <c r="Q204" s="4" t="str">
        <f t="shared" si="4"/>
        <v>Activo</v>
      </c>
      <c r="R204" s="12" t="str">
        <f t="shared" si="5"/>
        <v>Riesgo Bajo</v>
      </c>
    </row>
    <row r="205">
      <c r="A205" s="1" t="s">
        <v>2388</v>
      </c>
      <c r="B205" s="9" t="s">
        <v>2389</v>
      </c>
      <c r="C205" s="9" t="s">
        <v>2390</v>
      </c>
      <c r="D205" s="1" t="s">
        <v>2391</v>
      </c>
      <c r="E205" s="1" t="s">
        <v>18</v>
      </c>
      <c r="F205" s="1" t="s">
        <v>18</v>
      </c>
      <c r="G205" s="1" t="s">
        <v>19</v>
      </c>
      <c r="H205" s="2">
        <v>2.047E7</v>
      </c>
      <c r="I205" s="1">
        <v>15.0</v>
      </c>
      <c r="J205" s="9" t="s">
        <v>28</v>
      </c>
      <c r="K205" s="5">
        <v>46205.0</v>
      </c>
      <c r="L205" s="11" t="s">
        <v>100</v>
      </c>
      <c r="M205" s="11"/>
      <c r="N205" s="4" t="str">
        <f t="shared" si="1"/>
        <v>Constanza Araya Fuentes</v>
      </c>
      <c r="O205" s="6" t="str">
        <f t="shared" si="2"/>
        <v>13.869.290-4</v>
      </c>
      <c r="P205" s="6" t="str">
        <f t="shared" si="3"/>
        <v>La Serena - La Serena - Región de Coquimbo</v>
      </c>
      <c r="Q205" s="4" t="str">
        <f t="shared" si="4"/>
        <v>Activo</v>
      </c>
      <c r="R205" s="12" t="str">
        <f t="shared" si="5"/>
        <v>Riesgo Bajo</v>
      </c>
    </row>
    <row r="206">
      <c r="A206" s="1" t="s">
        <v>2744</v>
      </c>
      <c r="B206" s="9" t="s">
        <v>2745</v>
      </c>
      <c r="C206" s="9" t="s">
        <v>2746</v>
      </c>
      <c r="D206" s="1" t="s">
        <v>2747</v>
      </c>
      <c r="E206" s="1" t="s">
        <v>56</v>
      </c>
      <c r="F206" s="1" t="s">
        <v>39</v>
      </c>
      <c r="G206" s="1" t="s">
        <v>40</v>
      </c>
      <c r="H206" s="2">
        <v>1.484E7</v>
      </c>
      <c r="I206" s="1">
        <v>15.0</v>
      </c>
      <c r="J206" s="9" t="s">
        <v>28</v>
      </c>
      <c r="K206" s="5">
        <v>46130.0</v>
      </c>
      <c r="L206" s="11" t="s">
        <v>160</v>
      </c>
      <c r="M206" s="11"/>
      <c r="N206" s="4" t="str">
        <f t="shared" si="1"/>
        <v>Constanza Araya Silva</v>
      </c>
      <c r="O206" s="6" t="str">
        <f t="shared" si="2"/>
        <v>11.109.485-6</v>
      </c>
      <c r="P206" s="6" t="str">
        <f t="shared" si="3"/>
        <v>Talcahuano - Concepción - Región del Biobío</v>
      </c>
      <c r="Q206" s="4" t="str">
        <f t="shared" si="4"/>
        <v>Activo</v>
      </c>
      <c r="R206" s="12" t="str">
        <f t="shared" si="5"/>
        <v>Riesgo Bajo</v>
      </c>
    </row>
    <row r="207">
      <c r="A207" s="1" t="s">
        <v>2752</v>
      </c>
      <c r="B207" s="9" t="s">
        <v>2753</v>
      </c>
      <c r="C207" s="9" t="s">
        <v>2754</v>
      </c>
      <c r="D207" s="1" t="s">
        <v>2755</v>
      </c>
      <c r="E207" s="1" t="s">
        <v>18</v>
      </c>
      <c r="F207" s="1" t="s">
        <v>18</v>
      </c>
      <c r="G207" s="1" t="s">
        <v>19</v>
      </c>
      <c r="H207" s="2">
        <v>1.715E7</v>
      </c>
      <c r="I207" s="1">
        <v>0.0</v>
      </c>
      <c r="J207" s="9" t="s">
        <v>20</v>
      </c>
      <c r="K207" s="5">
        <v>46210.0</v>
      </c>
      <c r="L207" s="11" t="s">
        <v>181</v>
      </c>
      <c r="M207" s="11"/>
      <c r="N207" s="4" t="str">
        <f t="shared" si="1"/>
        <v>Constanza Contreras Fuentes</v>
      </c>
      <c r="O207" s="6" t="str">
        <f t="shared" si="2"/>
        <v>17294373-7</v>
      </c>
      <c r="P207" s="6" t="str">
        <f t="shared" si="3"/>
        <v>La Serena - La Serena - Región de Coquimbo</v>
      </c>
      <c r="Q207" s="4" t="str">
        <f t="shared" si="4"/>
        <v>En Revisión</v>
      </c>
      <c r="R207" s="12" t="str">
        <f t="shared" si="5"/>
        <v>Riesgo Medio</v>
      </c>
    </row>
    <row r="208">
      <c r="A208" s="1" t="s">
        <v>2461</v>
      </c>
      <c r="B208" s="9" t="s">
        <v>2462</v>
      </c>
      <c r="C208" s="9" t="s">
        <v>2463</v>
      </c>
      <c r="D208" s="1" t="s">
        <v>2464</v>
      </c>
      <c r="E208" s="1" t="s">
        <v>118</v>
      </c>
      <c r="F208" s="1" t="s">
        <v>62</v>
      </c>
      <c r="G208" s="1" t="s">
        <v>63</v>
      </c>
      <c r="H208" s="2">
        <v>9560000.0</v>
      </c>
      <c r="I208" s="1">
        <v>45.0</v>
      </c>
      <c r="J208" s="9" t="s">
        <v>97</v>
      </c>
      <c r="K208" s="5">
        <v>46182.0</v>
      </c>
      <c r="L208" s="11" t="s">
        <v>199</v>
      </c>
      <c r="M208" s="11"/>
      <c r="N208" s="4" t="str">
        <f t="shared" si="1"/>
        <v>Constanza Contreras González</v>
      </c>
      <c r="O208" s="6" t="str">
        <f t="shared" si="2"/>
        <v>18658986-5</v>
      </c>
      <c r="P208" s="6" t="str">
        <f t="shared" si="3"/>
        <v>Maipú - Santiago - Región Metropolitana</v>
      </c>
      <c r="Q208" s="4" t="str">
        <f t="shared" si="4"/>
        <v>Inactivo</v>
      </c>
      <c r="R208" s="12" t="str">
        <f t="shared" si="5"/>
        <v>Riesgo Medio</v>
      </c>
    </row>
    <row r="209">
      <c r="A209" s="1" t="s">
        <v>2760</v>
      </c>
      <c r="B209" s="9" t="s">
        <v>2761</v>
      </c>
      <c r="C209" s="9" t="s">
        <v>2762</v>
      </c>
      <c r="D209" s="1" t="s">
        <v>2763</v>
      </c>
      <c r="E209" s="1" t="s">
        <v>61</v>
      </c>
      <c r="F209" s="1" t="s">
        <v>62</v>
      </c>
      <c r="G209" s="1" t="s">
        <v>63</v>
      </c>
      <c r="H209" s="2">
        <v>1.434E7</v>
      </c>
      <c r="I209" s="1">
        <v>15.0</v>
      </c>
      <c r="J209" s="9" t="s">
        <v>97</v>
      </c>
      <c r="K209" s="5">
        <v>46037.0</v>
      </c>
      <c r="L209" s="11" t="s">
        <v>207</v>
      </c>
      <c r="M209" s="11"/>
      <c r="N209" s="4" t="str">
        <f t="shared" si="1"/>
        <v>Constanza Fuentes Contreras</v>
      </c>
      <c r="O209" s="6" t="str">
        <f t="shared" si="2"/>
        <v>19000979-6</v>
      </c>
      <c r="P209" s="6" t="str">
        <f t="shared" si="3"/>
        <v>Santiago Centro - Santiago - Región Metropolitana</v>
      </c>
      <c r="Q209" s="4" t="str">
        <f t="shared" si="4"/>
        <v>Inactivo</v>
      </c>
      <c r="R209" s="12" t="str">
        <f t="shared" si="5"/>
        <v>Riesgo Bajo</v>
      </c>
    </row>
    <row r="210">
      <c r="A210" s="1" t="s">
        <v>576</v>
      </c>
      <c r="B210" s="9" t="s">
        <v>577</v>
      </c>
      <c r="C210" s="9" t="s">
        <v>578</v>
      </c>
      <c r="D210" s="1" t="s">
        <v>579</v>
      </c>
      <c r="E210" s="1" t="s">
        <v>26</v>
      </c>
      <c r="F210" s="1" t="s">
        <v>26</v>
      </c>
      <c r="G210" s="1" t="s">
        <v>27</v>
      </c>
      <c r="H210" s="2">
        <v>1.014E7</v>
      </c>
      <c r="I210" s="1">
        <v>120.0</v>
      </c>
      <c r="J210" s="9" t="s">
        <v>97</v>
      </c>
      <c r="K210" s="5">
        <v>46119.0</v>
      </c>
      <c r="L210" s="11" t="s">
        <v>160</v>
      </c>
      <c r="M210" s="11"/>
      <c r="N210" s="4" t="str">
        <f t="shared" si="1"/>
        <v>Constanza Fuentes Rodríguez</v>
      </c>
      <c r="O210" s="6" t="str">
        <f t="shared" si="2"/>
        <v>16.529.760-7</v>
      </c>
      <c r="P210" s="6" t="str">
        <f t="shared" si="3"/>
        <v>Valparaíso - Valparaíso - Región de Valparaíso</v>
      </c>
      <c r="Q210" s="4" t="str">
        <f t="shared" si="4"/>
        <v>Inactivo</v>
      </c>
      <c r="R210" s="12" t="str">
        <f t="shared" si="5"/>
        <v>Riesgo Medio</v>
      </c>
    </row>
    <row r="211">
      <c r="A211" s="1" t="s">
        <v>2772</v>
      </c>
      <c r="B211" s="9" t="s">
        <v>2773</v>
      </c>
      <c r="C211" s="9" t="s">
        <v>2774</v>
      </c>
      <c r="D211" s="1" t="s">
        <v>2775</v>
      </c>
      <c r="E211" s="1" t="s">
        <v>194</v>
      </c>
      <c r="F211" s="1" t="s">
        <v>62</v>
      </c>
      <c r="G211" s="1" t="s">
        <v>63</v>
      </c>
      <c r="H211" s="2">
        <v>1.663E7</v>
      </c>
      <c r="I211" s="1">
        <v>30.0</v>
      </c>
      <c r="J211" s="9" t="s">
        <v>97</v>
      </c>
      <c r="K211" s="5">
        <v>46121.0</v>
      </c>
      <c r="L211" s="11" t="s">
        <v>100</v>
      </c>
      <c r="M211" s="11"/>
      <c r="N211" s="4" t="str">
        <f t="shared" si="1"/>
        <v>Constanza López Díaz</v>
      </c>
      <c r="O211" s="6" t="str">
        <f t="shared" si="2"/>
        <v>15196514-5</v>
      </c>
      <c r="P211" s="6" t="str">
        <f t="shared" si="3"/>
        <v>Las Condes - Santiago - Región Metropolitana</v>
      </c>
      <c r="Q211" s="4" t="str">
        <f t="shared" si="4"/>
        <v>Inactivo</v>
      </c>
      <c r="R211" s="12" t="str">
        <f t="shared" si="5"/>
        <v>Riesgo Bajo</v>
      </c>
    </row>
    <row r="212">
      <c r="A212" s="1" t="s">
        <v>2634</v>
      </c>
      <c r="B212" s="9" t="s">
        <v>2635</v>
      </c>
      <c r="C212" s="9" t="s">
        <v>2780</v>
      </c>
      <c r="D212" s="1" t="s">
        <v>2639</v>
      </c>
      <c r="E212" s="1" t="s">
        <v>194</v>
      </c>
      <c r="F212" s="1" t="s">
        <v>62</v>
      </c>
      <c r="G212" s="1" t="s">
        <v>63</v>
      </c>
      <c r="H212" s="2">
        <v>3610000.0</v>
      </c>
      <c r="I212" s="1">
        <v>90.0</v>
      </c>
      <c r="J212" s="9" t="s">
        <v>20</v>
      </c>
      <c r="K212" s="5">
        <v>46165.0</v>
      </c>
      <c r="L212" s="11" t="s">
        <v>160</v>
      </c>
      <c r="M212" s="11"/>
      <c r="N212" s="4" t="str">
        <f t="shared" si="1"/>
        <v>Constanza López López</v>
      </c>
      <c r="O212" s="6" t="str">
        <f t="shared" si="2"/>
        <v>12.812.552-0</v>
      </c>
      <c r="P212" s="6" t="str">
        <f t="shared" si="3"/>
        <v>Las Condes - Santiago - Región Metropolitana</v>
      </c>
      <c r="Q212" s="4" t="str">
        <f t="shared" si="4"/>
        <v>En Revisión</v>
      </c>
      <c r="R212" s="12" t="str">
        <f t="shared" si="5"/>
        <v>Riesgo Medio</v>
      </c>
    </row>
    <row r="213">
      <c r="A213" s="1" t="s">
        <v>2784</v>
      </c>
      <c r="B213" s="9" t="s">
        <v>2786</v>
      </c>
      <c r="C213" s="9" t="s">
        <v>2787</v>
      </c>
      <c r="D213" s="1" t="s">
        <v>2775</v>
      </c>
      <c r="E213" s="1" t="s">
        <v>109</v>
      </c>
      <c r="F213" s="1" t="s">
        <v>62</v>
      </c>
      <c r="G213" s="1" t="s">
        <v>63</v>
      </c>
      <c r="H213" s="2">
        <v>6360000.0</v>
      </c>
      <c r="I213" s="1">
        <v>120.0</v>
      </c>
      <c r="J213" s="9" t="s">
        <v>97</v>
      </c>
      <c r="K213" s="5">
        <v>46204.0</v>
      </c>
      <c r="L213" s="11" t="s">
        <v>160</v>
      </c>
      <c r="M213" s="11"/>
      <c r="N213" s="4" t="str">
        <f t="shared" si="1"/>
        <v>Constanza López Morales</v>
      </c>
      <c r="O213" s="6" t="str">
        <f t="shared" si="2"/>
        <v>14.527.558-5</v>
      </c>
      <c r="P213" s="6" t="str">
        <f t="shared" si="3"/>
        <v>Ñuñoa - Santiago - Región Metropolitana</v>
      </c>
      <c r="Q213" s="4" t="str">
        <f t="shared" si="4"/>
        <v>Inactivo</v>
      </c>
      <c r="R213" s="12" t="str">
        <f t="shared" si="5"/>
        <v>Riesgo Medio</v>
      </c>
    </row>
    <row r="214">
      <c r="A214" s="1" t="s">
        <v>1555</v>
      </c>
      <c r="B214" s="9" t="s">
        <v>1556</v>
      </c>
      <c r="C214" s="9" t="s">
        <v>2790</v>
      </c>
      <c r="D214" s="1" t="s">
        <v>1558</v>
      </c>
      <c r="E214" s="1" t="s">
        <v>72</v>
      </c>
      <c r="F214" s="1" t="s">
        <v>62</v>
      </c>
      <c r="G214" s="1" t="s">
        <v>63</v>
      </c>
      <c r="H214" s="2">
        <v>760000.0</v>
      </c>
      <c r="I214" s="1">
        <v>90.0</v>
      </c>
      <c r="J214" s="9" t="s">
        <v>28</v>
      </c>
      <c r="K214" s="5">
        <v>46221.0</v>
      </c>
      <c r="L214" s="11" t="s">
        <v>181</v>
      </c>
      <c r="M214" s="11"/>
      <c r="N214" s="4" t="str">
        <f t="shared" si="1"/>
        <v>Constanza López Muñoz</v>
      </c>
      <c r="O214" s="6" t="str">
        <f t="shared" si="2"/>
        <v>11.144.885-4</v>
      </c>
      <c r="P214" s="6" t="str">
        <f t="shared" si="3"/>
        <v>Providencia - Santiago - Región Metropolitana</v>
      </c>
      <c r="Q214" s="4" t="str">
        <f t="shared" si="4"/>
        <v>Activo</v>
      </c>
      <c r="R214" s="12" t="str">
        <f t="shared" si="5"/>
        <v>Riesgo Alto</v>
      </c>
    </row>
    <row r="215">
      <c r="A215" s="1" t="s">
        <v>2791</v>
      </c>
      <c r="B215" s="9" t="s">
        <v>2793</v>
      </c>
      <c r="C215" s="9" t="s">
        <v>2795</v>
      </c>
      <c r="D215" s="1" t="s">
        <v>2796</v>
      </c>
      <c r="E215" s="1" t="s">
        <v>158</v>
      </c>
      <c r="F215" s="1" t="s">
        <v>158</v>
      </c>
      <c r="G215" s="1" t="s">
        <v>159</v>
      </c>
      <c r="H215" s="2">
        <v>1.407E7</v>
      </c>
      <c r="I215" s="1">
        <v>120.0</v>
      </c>
      <c r="J215" s="9" t="s">
        <v>28</v>
      </c>
      <c r="K215" s="5">
        <v>46068.0</v>
      </c>
      <c r="L215" s="11" t="s">
        <v>160</v>
      </c>
      <c r="M215" s="11"/>
      <c r="N215" s="4" t="str">
        <f t="shared" si="1"/>
        <v>Constanza Morales López</v>
      </c>
      <c r="O215" s="6" t="str">
        <f t="shared" si="2"/>
        <v>15089448-8</v>
      </c>
      <c r="P215" s="6" t="str">
        <f t="shared" si="3"/>
        <v>Antofagasta - Antofagasta - Región de Antofagasta</v>
      </c>
      <c r="Q215" s="4" t="str">
        <f t="shared" si="4"/>
        <v>Activo</v>
      </c>
      <c r="R215" s="12" t="str">
        <f t="shared" si="5"/>
        <v>Riesgo Alto</v>
      </c>
    </row>
    <row r="216">
      <c r="A216" s="1" t="s">
        <v>2799</v>
      </c>
      <c r="B216" s="9" t="s">
        <v>2800</v>
      </c>
      <c r="C216" s="9" t="s">
        <v>2801</v>
      </c>
      <c r="D216" s="1" t="s">
        <v>2802</v>
      </c>
      <c r="E216" s="1" t="s">
        <v>118</v>
      </c>
      <c r="F216" s="1" t="s">
        <v>62</v>
      </c>
      <c r="G216" s="1" t="s">
        <v>63</v>
      </c>
      <c r="H216" s="2">
        <v>2.173E7</v>
      </c>
      <c r="I216" s="1">
        <v>0.0</v>
      </c>
      <c r="J216" s="9" t="s">
        <v>28</v>
      </c>
      <c r="K216" s="5">
        <v>46196.0</v>
      </c>
      <c r="L216" s="11" t="s">
        <v>160</v>
      </c>
      <c r="M216" s="11"/>
      <c r="N216" s="4" t="str">
        <f t="shared" si="1"/>
        <v>Constanza Muñoz López</v>
      </c>
      <c r="O216" s="6" t="str">
        <f t="shared" si="2"/>
        <v>12.842.943-K</v>
      </c>
      <c r="P216" s="6" t="str">
        <f t="shared" si="3"/>
        <v>Maipú - Santiago - Región Metropolitana</v>
      </c>
      <c r="Q216" s="4" t="str">
        <f t="shared" si="4"/>
        <v>Activo</v>
      </c>
      <c r="R216" s="12" t="str">
        <f t="shared" si="5"/>
        <v>Riesgo Bajo</v>
      </c>
    </row>
    <row r="217">
      <c r="A217" s="1" t="s">
        <v>611</v>
      </c>
      <c r="B217" s="9" t="s">
        <v>612</v>
      </c>
      <c r="C217" s="9" t="s">
        <v>614</v>
      </c>
      <c r="D217" s="1" t="s">
        <v>615</v>
      </c>
      <c r="E217" s="1" t="s">
        <v>18</v>
      </c>
      <c r="F217" s="1" t="s">
        <v>18</v>
      </c>
      <c r="G217" s="1" t="s">
        <v>19</v>
      </c>
      <c r="H217" s="2">
        <v>660000.0</v>
      </c>
      <c r="I217" s="1">
        <v>120.0</v>
      </c>
      <c r="J217" s="9" t="s">
        <v>20</v>
      </c>
      <c r="K217" s="5">
        <v>46135.0</v>
      </c>
      <c r="L217" s="11" t="s">
        <v>207</v>
      </c>
      <c r="M217" s="11"/>
      <c r="N217" s="4" t="str">
        <f t="shared" si="1"/>
        <v>Constanza Rodríguez Fuentes</v>
      </c>
      <c r="O217" s="6" t="str">
        <f t="shared" si="2"/>
        <v>14950656-4</v>
      </c>
      <c r="P217" s="6" t="str">
        <f t="shared" si="3"/>
        <v>La Serena - La Serena - Región de Coquimbo</v>
      </c>
      <c r="Q217" s="4" t="str">
        <f t="shared" si="4"/>
        <v>En Revisión</v>
      </c>
      <c r="R217" s="12" t="str">
        <f t="shared" si="5"/>
        <v>Riesgo Medio</v>
      </c>
    </row>
    <row r="218">
      <c r="A218" s="1" t="s">
        <v>2809</v>
      </c>
      <c r="B218" s="9" t="s">
        <v>2811</v>
      </c>
      <c r="C218" s="9" t="s">
        <v>2813</v>
      </c>
      <c r="D218" s="1" t="s">
        <v>2814</v>
      </c>
      <c r="E218" s="1" t="s">
        <v>33</v>
      </c>
      <c r="F218" s="1" t="s">
        <v>33</v>
      </c>
      <c r="G218" s="1" t="s">
        <v>34</v>
      </c>
      <c r="H218" s="2">
        <v>2.071E7</v>
      </c>
      <c r="I218" s="1">
        <v>0.0</v>
      </c>
      <c r="J218" s="9" t="s">
        <v>20</v>
      </c>
      <c r="K218" s="5">
        <v>46193.0</v>
      </c>
      <c r="L218" s="11" t="s">
        <v>160</v>
      </c>
      <c r="M218" s="11"/>
      <c r="N218" s="4" t="str">
        <f t="shared" si="1"/>
        <v>Constanza Rodríguez Morales</v>
      </c>
      <c r="O218" s="6" t="str">
        <f t="shared" si="2"/>
        <v>11.789.099-K</v>
      </c>
      <c r="P218" s="6" t="str">
        <f t="shared" si="3"/>
        <v>Puerto Montt - Puerto Montt - Región de Los Lagos</v>
      </c>
      <c r="Q218" s="4" t="str">
        <f t="shared" si="4"/>
        <v>En Revisión</v>
      </c>
      <c r="R218" s="12" t="str">
        <f t="shared" si="5"/>
        <v>Riesgo Medio</v>
      </c>
    </row>
    <row r="219">
      <c r="A219" s="1" t="s">
        <v>1631</v>
      </c>
      <c r="B219" s="9" t="s">
        <v>1632</v>
      </c>
      <c r="C219" s="9" t="s">
        <v>1633</v>
      </c>
      <c r="D219" s="1" t="s">
        <v>1634</v>
      </c>
      <c r="E219" s="1" t="s">
        <v>26</v>
      </c>
      <c r="F219" s="1" t="s">
        <v>26</v>
      </c>
      <c r="G219" s="1" t="s">
        <v>27</v>
      </c>
      <c r="H219" s="2">
        <v>1.902E7</v>
      </c>
      <c r="I219" s="1">
        <v>45.0</v>
      </c>
      <c r="J219" s="9" t="s">
        <v>28</v>
      </c>
      <c r="K219" s="5">
        <v>46098.0</v>
      </c>
      <c r="L219" s="11" t="s">
        <v>207</v>
      </c>
      <c r="M219" s="11"/>
      <c r="N219" s="4" t="str">
        <f t="shared" si="1"/>
        <v>Constanza Rodríguez Vergara</v>
      </c>
      <c r="O219" s="6" t="str">
        <f t="shared" si="2"/>
        <v>17.036.648-1</v>
      </c>
      <c r="P219" s="6" t="str">
        <f t="shared" si="3"/>
        <v>Valparaíso - Valparaíso - Región de Valparaíso</v>
      </c>
      <c r="Q219" s="4" t="str">
        <f t="shared" si="4"/>
        <v>Activo</v>
      </c>
      <c r="R219" s="12" t="str">
        <f t="shared" si="5"/>
        <v>Riesgo Medio</v>
      </c>
    </row>
    <row r="220">
      <c r="A220" s="1" t="s">
        <v>2820</v>
      </c>
      <c r="B220" s="9" t="s">
        <v>2821</v>
      </c>
      <c r="C220" s="9" t="s">
        <v>2822</v>
      </c>
      <c r="D220" s="1" t="s">
        <v>2823</v>
      </c>
      <c r="E220" s="1" t="s">
        <v>109</v>
      </c>
      <c r="F220" s="1" t="s">
        <v>62</v>
      </c>
      <c r="G220" s="1" t="s">
        <v>63</v>
      </c>
      <c r="H220" s="2">
        <v>1.099E7</v>
      </c>
      <c r="I220" s="1">
        <v>0.0</v>
      </c>
      <c r="J220" s="9" t="s">
        <v>28</v>
      </c>
      <c r="K220" s="5">
        <v>46194.0</v>
      </c>
      <c r="L220" s="11" t="s">
        <v>100</v>
      </c>
      <c r="M220" s="11"/>
      <c r="N220" s="4" t="str">
        <f t="shared" si="1"/>
        <v>Constanza Rojas Vergara</v>
      </c>
      <c r="O220" s="6" t="str">
        <f t="shared" si="2"/>
        <v>20087213-1</v>
      </c>
      <c r="P220" s="6" t="str">
        <f t="shared" si="3"/>
        <v>Ñuñoa - Santiago - Región Metropolitana</v>
      </c>
      <c r="Q220" s="4" t="str">
        <f t="shared" si="4"/>
        <v>Activo</v>
      </c>
      <c r="R220" s="12" t="str">
        <f t="shared" si="5"/>
        <v>Riesgo Bajo</v>
      </c>
    </row>
    <row r="221">
      <c r="A221" s="1" t="s">
        <v>2509</v>
      </c>
      <c r="B221" s="9" t="s">
        <v>2510</v>
      </c>
      <c r="C221" s="9" t="s">
        <v>2828</v>
      </c>
      <c r="D221" s="1" t="s">
        <v>2512</v>
      </c>
      <c r="E221" s="1" t="s">
        <v>61</v>
      </c>
      <c r="F221" s="1" t="s">
        <v>62</v>
      </c>
      <c r="G221" s="1" t="s">
        <v>63</v>
      </c>
      <c r="H221" s="2">
        <v>1.428E7</v>
      </c>
      <c r="I221" s="1">
        <v>120.0</v>
      </c>
      <c r="J221" s="9" t="s">
        <v>20</v>
      </c>
      <c r="K221" s="5">
        <v>46154.0</v>
      </c>
      <c r="L221" s="11" t="s">
        <v>207</v>
      </c>
      <c r="M221" s="11"/>
      <c r="N221" s="4" t="str">
        <f t="shared" si="1"/>
        <v>Constanza Sepúlveda Fuentes</v>
      </c>
      <c r="O221" s="6" t="str">
        <f t="shared" si="2"/>
        <v>19.561.465-8</v>
      </c>
      <c r="P221" s="6" t="str">
        <f t="shared" si="3"/>
        <v>Santiago Centro - Santiago - Región Metropolitana</v>
      </c>
      <c r="Q221" s="4" t="str">
        <f t="shared" si="4"/>
        <v>En Revisión</v>
      </c>
      <c r="R221" s="12" t="str">
        <f t="shared" si="5"/>
        <v>Riesgo Medio</v>
      </c>
    </row>
    <row r="222">
      <c r="A222" s="1" t="s">
        <v>2836</v>
      </c>
      <c r="B222" s="9" t="s">
        <v>2837</v>
      </c>
      <c r="C222" s="9" t="s">
        <v>2838</v>
      </c>
      <c r="D222" s="1" t="s">
        <v>2839</v>
      </c>
      <c r="E222" s="1" t="s">
        <v>39</v>
      </c>
      <c r="F222" s="1" t="s">
        <v>39</v>
      </c>
      <c r="G222" s="1" t="s">
        <v>40</v>
      </c>
      <c r="H222" s="2">
        <v>1.68E7</v>
      </c>
      <c r="I222" s="1">
        <v>45.0</v>
      </c>
      <c r="J222" s="9" t="s">
        <v>20</v>
      </c>
      <c r="K222" s="5">
        <v>46184.0</v>
      </c>
      <c r="L222" s="11" t="s">
        <v>207</v>
      </c>
      <c r="M222" s="11"/>
      <c r="N222" s="4" t="str">
        <f t="shared" si="1"/>
        <v>Constanza Silva González</v>
      </c>
      <c r="O222" s="6" t="str">
        <f t="shared" si="2"/>
        <v>19.533.094-4</v>
      </c>
      <c r="P222" s="6" t="str">
        <f t="shared" si="3"/>
        <v>Concepción - Concepción - Región del Biobío</v>
      </c>
      <c r="Q222" s="4" t="str">
        <f t="shared" si="4"/>
        <v>En Revisión</v>
      </c>
      <c r="R222" s="12" t="str">
        <f t="shared" si="5"/>
        <v>Riesgo Medio</v>
      </c>
    </row>
    <row r="223">
      <c r="A223" s="1" t="s">
        <v>2840</v>
      </c>
      <c r="B223" s="9" t="s">
        <v>2841</v>
      </c>
      <c r="C223" s="9" t="s">
        <v>2842</v>
      </c>
      <c r="D223" s="1" t="s">
        <v>2843</v>
      </c>
      <c r="E223" s="1" t="s">
        <v>18</v>
      </c>
      <c r="F223" s="1" t="s">
        <v>18</v>
      </c>
      <c r="G223" s="1" t="s">
        <v>19</v>
      </c>
      <c r="H223" s="2">
        <v>3440000.0</v>
      </c>
      <c r="I223" s="1">
        <v>0.0</v>
      </c>
      <c r="J223" s="9" t="s">
        <v>97</v>
      </c>
      <c r="K223" s="5">
        <v>46078.0</v>
      </c>
      <c r="L223" s="11" t="s">
        <v>100</v>
      </c>
      <c r="M223" s="11"/>
      <c r="N223" s="4" t="str">
        <f t="shared" si="1"/>
        <v>Constanza Silva Muñoz</v>
      </c>
      <c r="O223" s="6" t="str">
        <f t="shared" si="2"/>
        <v>19.227.000-9</v>
      </c>
      <c r="P223" s="6" t="str">
        <f t="shared" si="3"/>
        <v>La Serena - La Serena - Región de Coquimbo</v>
      </c>
      <c r="Q223" s="4" t="str">
        <f t="shared" si="4"/>
        <v>Inactivo</v>
      </c>
      <c r="R223" s="12" t="str">
        <f t="shared" si="5"/>
        <v>Riesgo Bajo</v>
      </c>
    </row>
    <row r="224">
      <c r="A224" s="1" t="s">
        <v>2849</v>
      </c>
      <c r="B224" s="9" t="s">
        <v>2851</v>
      </c>
      <c r="C224" s="9" t="s">
        <v>2853</v>
      </c>
      <c r="D224" s="1" t="s">
        <v>2855</v>
      </c>
      <c r="E224" s="1" t="s">
        <v>72</v>
      </c>
      <c r="F224" s="1" t="s">
        <v>62</v>
      </c>
      <c r="G224" s="1" t="s">
        <v>63</v>
      </c>
      <c r="H224" s="2">
        <v>1.388E7</v>
      </c>
      <c r="I224" s="1">
        <v>60.0</v>
      </c>
      <c r="J224" s="9" t="s">
        <v>20</v>
      </c>
      <c r="K224" s="5">
        <v>46179.0</v>
      </c>
      <c r="L224" s="11" t="s">
        <v>207</v>
      </c>
      <c r="M224" s="11"/>
      <c r="N224" s="4" t="str">
        <f t="shared" si="1"/>
        <v>Constanza Tapia Sepúlveda</v>
      </c>
      <c r="O224" s="6" t="str">
        <f t="shared" si="2"/>
        <v>21.710.466-4</v>
      </c>
      <c r="P224" s="6" t="str">
        <f t="shared" si="3"/>
        <v>Providencia - Santiago - Región Metropolitana</v>
      </c>
      <c r="Q224" s="4" t="str">
        <f t="shared" si="4"/>
        <v>En Revisión</v>
      </c>
      <c r="R224" s="12" t="str">
        <f t="shared" si="5"/>
        <v>Riesgo Medio</v>
      </c>
    </row>
    <row r="225">
      <c r="A225" s="1" t="s">
        <v>1501</v>
      </c>
      <c r="B225" s="9" t="s">
        <v>1502</v>
      </c>
      <c r="C225" s="9" t="s">
        <v>1503</v>
      </c>
      <c r="D225" s="1" t="s">
        <v>1504</v>
      </c>
      <c r="E225" s="1" t="s">
        <v>56</v>
      </c>
      <c r="F225" s="1" t="s">
        <v>39</v>
      </c>
      <c r="G225" s="1" t="s">
        <v>40</v>
      </c>
      <c r="H225" s="2">
        <v>1.447E7</v>
      </c>
      <c r="I225" s="1">
        <v>0.0</v>
      </c>
      <c r="J225" s="9" t="s">
        <v>20</v>
      </c>
      <c r="K225" s="5">
        <v>46132.0</v>
      </c>
      <c r="L225" s="11" t="s">
        <v>100</v>
      </c>
      <c r="M225" s="11"/>
      <c r="N225" s="4" t="str">
        <f t="shared" si="1"/>
        <v>Constanza Vergara Muñoz</v>
      </c>
      <c r="O225" s="6" t="str">
        <f t="shared" si="2"/>
        <v>12.496.774-0</v>
      </c>
      <c r="P225" s="6" t="str">
        <f t="shared" si="3"/>
        <v>Talcahuano - Concepción - Región del Biobío</v>
      </c>
      <c r="Q225" s="4" t="str">
        <f t="shared" si="4"/>
        <v>En Revisión</v>
      </c>
      <c r="R225" s="12" t="str">
        <f t="shared" si="5"/>
        <v>Riesgo Medio</v>
      </c>
    </row>
    <row r="226">
      <c r="A226" s="1" t="s">
        <v>87</v>
      </c>
      <c r="B226" s="9" t="s">
        <v>88</v>
      </c>
      <c r="C226" s="9" t="s">
        <v>89</v>
      </c>
      <c r="D226" s="1" t="s">
        <v>91</v>
      </c>
      <c r="E226" s="1" t="s">
        <v>61</v>
      </c>
      <c r="F226" s="1" t="s">
        <v>62</v>
      </c>
      <c r="G226" s="1" t="s">
        <v>63</v>
      </c>
      <c r="H226" s="2">
        <v>2160000.0</v>
      </c>
      <c r="I226" s="1">
        <v>120.0</v>
      </c>
      <c r="J226" s="9" t="s">
        <v>20</v>
      </c>
      <c r="K226" s="5">
        <v>46182.0</v>
      </c>
      <c r="L226" s="11" t="s">
        <v>160</v>
      </c>
      <c r="M226" s="11"/>
      <c r="N226" s="4" t="str">
        <f t="shared" si="1"/>
        <v>Constanza Vergara Sepúlveda</v>
      </c>
      <c r="O226" s="6" t="str">
        <f t="shared" si="2"/>
        <v>20.660.647-1</v>
      </c>
      <c r="P226" s="6" t="str">
        <f t="shared" si="3"/>
        <v>Santiago Centro - Santiago - Región Metropolitana</v>
      </c>
      <c r="Q226" s="4" t="str">
        <f t="shared" si="4"/>
        <v>En Revisión</v>
      </c>
      <c r="R226" s="12" t="str">
        <f t="shared" si="5"/>
        <v>Riesgo Medio</v>
      </c>
    </row>
    <row r="227">
      <c r="A227" s="1" t="s">
        <v>2088</v>
      </c>
      <c r="B227" s="9" t="s">
        <v>2089</v>
      </c>
      <c r="C227" s="9" t="s">
        <v>2090</v>
      </c>
      <c r="D227" s="1" t="s">
        <v>1504</v>
      </c>
      <c r="E227" s="1" t="s">
        <v>109</v>
      </c>
      <c r="F227" s="1" t="s">
        <v>62</v>
      </c>
      <c r="G227" s="1" t="s">
        <v>63</v>
      </c>
      <c r="H227" s="2">
        <v>9520000.0</v>
      </c>
      <c r="I227" s="1">
        <v>0.0</v>
      </c>
      <c r="J227" s="9" t="s">
        <v>20</v>
      </c>
      <c r="K227" s="5">
        <v>46100.0</v>
      </c>
      <c r="L227" s="11" t="s">
        <v>181</v>
      </c>
      <c r="M227" s="11"/>
      <c r="N227" s="4" t="str">
        <f t="shared" si="1"/>
        <v>Constanza Vergara Valenzuela</v>
      </c>
      <c r="O227" s="6" t="str">
        <f t="shared" si="2"/>
        <v>19.148.073-2</v>
      </c>
      <c r="P227" s="6" t="str">
        <f t="shared" si="3"/>
        <v>Ñuñoa - Santiago - Región Metropolitana</v>
      </c>
      <c r="Q227" s="4" t="str">
        <f t="shared" si="4"/>
        <v>En Revisión</v>
      </c>
      <c r="R227" s="12" t="str">
        <f t="shared" si="5"/>
        <v>Riesgo Medio</v>
      </c>
    </row>
    <row r="228">
      <c r="A228" s="1" t="s">
        <v>2880</v>
      </c>
      <c r="B228" s="9" t="s">
        <v>2881</v>
      </c>
      <c r="C228" s="9" t="s">
        <v>2882</v>
      </c>
      <c r="D228" s="1" t="s">
        <v>2883</v>
      </c>
      <c r="E228" s="1" t="s">
        <v>18</v>
      </c>
      <c r="F228" s="1" t="s">
        <v>18</v>
      </c>
      <c r="G228" s="1" t="s">
        <v>19</v>
      </c>
      <c r="H228" s="2">
        <v>7700000.0</v>
      </c>
      <c r="I228" s="1">
        <v>0.0</v>
      </c>
      <c r="J228" s="9" t="s">
        <v>20</v>
      </c>
      <c r="K228" s="5">
        <v>46195.0</v>
      </c>
      <c r="L228" s="11" t="s">
        <v>199</v>
      </c>
      <c r="M228" s="11"/>
      <c r="N228" s="4" t="str">
        <f t="shared" si="1"/>
        <v>Cristián Araya Espinoza</v>
      </c>
      <c r="O228" s="6" t="str">
        <f t="shared" si="2"/>
        <v>13.172.553-6</v>
      </c>
      <c r="P228" s="6" t="str">
        <f t="shared" si="3"/>
        <v>La Serena - La Serena - Región de Coquimbo</v>
      </c>
      <c r="Q228" s="4" t="str">
        <f t="shared" si="4"/>
        <v>En Revisión</v>
      </c>
      <c r="R228" s="12" t="str">
        <f t="shared" si="5"/>
        <v>Riesgo Medio</v>
      </c>
    </row>
    <row r="229">
      <c r="A229" s="1" t="s">
        <v>273</v>
      </c>
      <c r="B229" s="9" t="s">
        <v>274</v>
      </c>
      <c r="C229" s="9" t="s">
        <v>275</v>
      </c>
      <c r="D229" s="1" t="s">
        <v>277</v>
      </c>
      <c r="E229" s="1" t="s">
        <v>18</v>
      </c>
      <c r="F229" s="1" t="s">
        <v>18</v>
      </c>
      <c r="G229" s="1" t="s">
        <v>19</v>
      </c>
      <c r="H229" s="2">
        <v>2.054E7</v>
      </c>
      <c r="I229" s="1">
        <v>0.0</v>
      </c>
      <c r="J229" s="9" t="s">
        <v>20</v>
      </c>
      <c r="K229" s="5">
        <v>46084.0</v>
      </c>
      <c r="L229" s="11" t="s">
        <v>207</v>
      </c>
      <c r="M229" s="11"/>
      <c r="N229" s="4" t="str">
        <f t="shared" si="1"/>
        <v>Cristián Díaz Morales</v>
      </c>
      <c r="O229" s="6" t="str">
        <f t="shared" si="2"/>
        <v>12.133.167-1</v>
      </c>
      <c r="P229" s="6" t="str">
        <f t="shared" si="3"/>
        <v>La Serena - La Serena - Región de Coquimbo</v>
      </c>
      <c r="Q229" s="4" t="str">
        <f t="shared" si="4"/>
        <v>En Revisión</v>
      </c>
      <c r="R229" s="12" t="str">
        <f t="shared" si="5"/>
        <v>Riesgo Medio</v>
      </c>
    </row>
    <row r="230">
      <c r="A230" s="1" t="s">
        <v>2892</v>
      </c>
      <c r="B230" s="9" t="s">
        <v>2893</v>
      </c>
      <c r="C230" s="9" t="s">
        <v>2894</v>
      </c>
      <c r="D230" s="1" t="s">
        <v>2895</v>
      </c>
      <c r="E230" s="1" t="s">
        <v>72</v>
      </c>
      <c r="F230" s="1" t="s">
        <v>62</v>
      </c>
      <c r="G230" s="1" t="s">
        <v>63</v>
      </c>
      <c r="H230" s="2">
        <v>6200000.0</v>
      </c>
      <c r="I230" s="1">
        <v>30.0</v>
      </c>
      <c r="J230" s="9" t="s">
        <v>97</v>
      </c>
      <c r="K230" s="5">
        <v>46033.0</v>
      </c>
      <c r="L230" s="11" t="s">
        <v>160</v>
      </c>
      <c r="M230" s="11"/>
      <c r="N230" s="4" t="str">
        <f t="shared" si="1"/>
        <v>Cristián Díaz Muñoz</v>
      </c>
      <c r="O230" s="6" t="str">
        <f t="shared" si="2"/>
        <v>16.321.210-4</v>
      </c>
      <c r="P230" s="6" t="str">
        <f t="shared" si="3"/>
        <v>Providencia - Santiago - Región Metropolitana</v>
      </c>
      <c r="Q230" s="4" t="str">
        <f t="shared" si="4"/>
        <v>Inactivo</v>
      </c>
      <c r="R230" s="12" t="str">
        <f t="shared" si="5"/>
        <v>Riesgo Bajo</v>
      </c>
    </row>
    <row r="231">
      <c r="A231" s="1" t="s">
        <v>2902</v>
      </c>
      <c r="B231" s="9" t="s">
        <v>2904</v>
      </c>
      <c r="C231" s="9" t="s">
        <v>2905</v>
      </c>
      <c r="D231" s="1" t="s">
        <v>2906</v>
      </c>
      <c r="E231" s="1" t="s">
        <v>194</v>
      </c>
      <c r="F231" s="1" t="s">
        <v>62</v>
      </c>
      <c r="G231" s="1" t="s">
        <v>63</v>
      </c>
      <c r="H231" s="2">
        <v>9990000.0</v>
      </c>
      <c r="I231" s="1">
        <v>0.0</v>
      </c>
      <c r="J231" s="9" t="s">
        <v>28</v>
      </c>
      <c r="K231" s="5">
        <v>46131.0</v>
      </c>
      <c r="L231" s="11" t="s">
        <v>100</v>
      </c>
      <c r="M231" s="11"/>
      <c r="N231" s="4" t="str">
        <f t="shared" si="1"/>
        <v>Cristián Espinoza Muñoz</v>
      </c>
      <c r="O231" s="6" t="str">
        <f t="shared" si="2"/>
        <v>11748830-1</v>
      </c>
      <c r="P231" s="6" t="str">
        <f t="shared" si="3"/>
        <v>Las Condes - Santiago - Región Metropolitana</v>
      </c>
      <c r="Q231" s="4" t="str">
        <f t="shared" si="4"/>
        <v>Activo</v>
      </c>
      <c r="R231" s="12" t="str">
        <f t="shared" si="5"/>
        <v>Riesgo Bajo</v>
      </c>
    </row>
    <row r="232">
      <c r="A232" s="1" t="s">
        <v>2187</v>
      </c>
      <c r="B232" s="9" t="s">
        <v>2188</v>
      </c>
      <c r="C232" s="9" t="s">
        <v>2189</v>
      </c>
      <c r="D232" s="1" t="s">
        <v>2191</v>
      </c>
      <c r="E232" s="1" t="s">
        <v>33</v>
      </c>
      <c r="F232" s="1" t="s">
        <v>33</v>
      </c>
      <c r="G232" s="1" t="s">
        <v>34</v>
      </c>
      <c r="H232" s="2">
        <v>5030000.0</v>
      </c>
      <c r="I232" s="1">
        <v>60.0</v>
      </c>
      <c r="J232" s="9" t="s">
        <v>20</v>
      </c>
      <c r="K232" s="5">
        <v>46217.0</v>
      </c>
      <c r="L232" s="11" t="s">
        <v>160</v>
      </c>
      <c r="M232" s="11"/>
      <c r="N232" s="4" t="str">
        <f t="shared" si="1"/>
        <v>Cristián Espinoza Vergara</v>
      </c>
      <c r="O232" s="6" t="str">
        <f t="shared" si="2"/>
        <v>11.314.663-7</v>
      </c>
      <c r="P232" s="6" t="str">
        <f t="shared" si="3"/>
        <v>Puerto Montt - Puerto Montt - Región de Los Lagos</v>
      </c>
      <c r="Q232" s="4" t="str">
        <f t="shared" si="4"/>
        <v>En Revisión</v>
      </c>
      <c r="R232" s="12" t="str">
        <f t="shared" si="5"/>
        <v>Riesgo Medio</v>
      </c>
    </row>
    <row r="233">
      <c r="A233" s="1" t="s">
        <v>2907</v>
      </c>
      <c r="B233" s="9" t="s">
        <v>2908</v>
      </c>
      <c r="C233" s="9" t="s">
        <v>2189</v>
      </c>
      <c r="D233" s="1" t="s">
        <v>2909</v>
      </c>
      <c r="E233" s="1" t="s">
        <v>118</v>
      </c>
      <c r="F233" s="1" t="s">
        <v>62</v>
      </c>
      <c r="G233" s="1" t="s">
        <v>63</v>
      </c>
      <c r="H233" s="2">
        <v>1.363E7</v>
      </c>
      <c r="I233" s="1">
        <v>120.0</v>
      </c>
      <c r="J233" s="9" t="s">
        <v>28</v>
      </c>
      <c r="K233" s="5">
        <v>46123.0</v>
      </c>
      <c r="L233" s="11" t="s">
        <v>160</v>
      </c>
      <c r="M233" s="11"/>
      <c r="N233" s="4" t="str">
        <f t="shared" si="1"/>
        <v>Cristián Espinoza Vergara</v>
      </c>
      <c r="O233" s="6" t="str">
        <f t="shared" si="2"/>
        <v>22.208.727-4</v>
      </c>
      <c r="P233" s="6" t="str">
        <f t="shared" si="3"/>
        <v>Maipú - Santiago - Región Metropolitana</v>
      </c>
      <c r="Q233" s="4" t="str">
        <f t="shared" si="4"/>
        <v>Activo</v>
      </c>
      <c r="R233" s="12" t="str">
        <f t="shared" si="5"/>
        <v>Riesgo Alto</v>
      </c>
    </row>
    <row r="234">
      <c r="A234" s="1" t="s">
        <v>2913</v>
      </c>
      <c r="B234" s="9" t="s">
        <v>2914</v>
      </c>
      <c r="C234" s="9" t="s">
        <v>2915</v>
      </c>
      <c r="D234" s="1" t="s">
        <v>2916</v>
      </c>
      <c r="E234" s="1" t="s">
        <v>39</v>
      </c>
      <c r="F234" s="1" t="s">
        <v>39</v>
      </c>
      <c r="G234" s="1" t="s">
        <v>40</v>
      </c>
      <c r="H234" s="2">
        <v>8840000.0</v>
      </c>
      <c r="I234" s="1">
        <v>15.0</v>
      </c>
      <c r="J234" s="9" t="s">
        <v>20</v>
      </c>
      <c r="K234" s="5">
        <v>46069.0</v>
      </c>
      <c r="L234" s="11" t="s">
        <v>181</v>
      </c>
      <c r="M234" s="11"/>
      <c r="N234" s="4" t="str">
        <f t="shared" si="1"/>
        <v>Cristián Fuentes Araya</v>
      </c>
      <c r="O234" s="6" t="str">
        <f t="shared" si="2"/>
        <v>12391240-2</v>
      </c>
      <c r="P234" s="6" t="str">
        <f t="shared" si="3"/>
        <v>Concepción - Concepción - Región del Biobío</v>
      </c>
      <c r="Q234" s="4" t="str">
        <f t="shared" si="4"/>
        <v>En Revisión</v>
      </c>
      <c r="R234" s="12" t="str">
        <f t="shared" si="5"/>
        <v>Riesgo Medio</v>
      </c>
    </row>
    <row r="235">
      <c r="A235" s="1" t="s">
        <v>2917</v>
      </c>
      <c r="B235" s="9" t="s">
        <v>2918</v>
      </c>
      <c r="C235" s="9" t="s">
        <v>2919</v>
      </c>
      <c r="D235" s="1" t="s">
        <v>2920</v>
      </c>
      <c r="E235" s="1" t="s">
        <v>158</v>
      </c>
      <c r="F235" s="1" t="s">
        <v>158</v>
      </c>
      <c r="G235" s="1" t="s">
        <v>159</v>
      </c>
      <c r="H235" s="2">
        <v>1.314E7</v>
      </c>
      <c r="I235" s="1">
        <v>45.0</v>
      </c>
      <c r="J235" s="9" t="s">
        <v>20</v>
      </c>
      <c r="K235" s="5">
        <v>46056.0</v>
      </c>
      <c r="L235" s="11" t="s">
        <v>160</v>
      </c>
      <c r="M235" s="11"/>
      <c r="N235" s="4" t="str">
        <f t="shared" si="1"/>
        <v>Cristián Fuentes González</v>
      </c>
      <c r="O235" s="6" t="str">
        <f t="shared" si="2"/>
        <v>20.171.697-K</v>
      </c>
      <c r="P235" s="6" t="str">
        <f t="shared" si="3"/>
        <v>Antofagasta - Antofagasta - Región de Antofagasta</v>
      </c>
      <c r="Q235" s="4" t="str">
        <f t="shared" si="4"/>
        <v>En Revisión</v>
      </c>
      <c r="R235" s="12" t="str">
        <f t="shared" si="5"/>
        <v>Riesgo Medio</v>
      </c>
    </row>
    <row r="236">
      <c r="A236" s="1" t="s">
        <v>1210</v>
      </c>
      <c r="B236" s="9" t="s">
        <v>1211</v>
      </c>
      <c r="C236" s="9" t="s">
        <v>2924</v>
      </c>
      <c r="D236" s="1" t="s">
        <v>1213</v>
      </c>
      <c r="E236" s="1" t="s">
        <v>194</v>
      </c>
      <c r="F236" s="1" t="s">
        <v>62</v>
      </c>
      <c r="G236" s="1" t="s">
        <v>63</v>
      </c>
      <c r="H236" s="2">
        <v>1.078E7</v>
      </c>
      <c r="I236" s="1">
        <v>0.0</v>
      </c>
      <c r="J236" s="9" t="s">
        <v>28</v>
      </c>
      <c r="K236" s="5">
        <v>46137.0</v>
      </c>
      <c r="L236" s="11" t="s">
        <v>160</v>
      </c>
      <c r="M236" s="11"/>
      <c r="N236" s="4" t="str">
        <f t="shared" si="1"/>
        <v>Cristián Fuentes López</v>
      </c>
      <c r="O236" s="6" t="str">
        <f t="shared" si="2"/>
        <v>15.894.833-4</v>
      </c>
      <c r="P236" s="6" t="str">
        <f t="shared" si="3"/>
        <v>Las Condes - Santiago - Región Metropolitana</v>
      </c>
      <c r="Q236" s="4" t="str">
        <f t="shared" si="4"/>
        <v>Activo</v>
      </c>
      <c r="R236" s="12" t="str">
        <f t="shared" si="5"/>
        <v>Riesgo Bajo</v>
      </c>
    </row>
    <row r="237">
      <c r="A237" s="1" t="s">
        <v>2929</v>
      </c>
      <c r="B237" s="9" t="s">
        <v>2930</v>
      </c>
      <c r="C237" s="9" t="s">
        <v>2931</v>
      </c>
      <c r="D237" s="1" t="s">
        <v>2932</v>
      </c>
      <c r="E237" s="1" t="s">
        <v>26</v>
      </c>
      <c r="F237" s="1" t="s">
        <v>26</v>
      </c>
      <c r="G237" s="1" t="s">
        <v>27</v>
      </c>
      <c r="H237" s="2">
        <v>1.474E7</v>
      </c>
      <c r="I237" s="1">
        <v>0.0</v>
      </c>
      <c r="J237" s="9" t="s">
        <v>28</v>
      </c>
      <c r="K237" s="5">
        <v>46075.0</v>
      </c>
      <c r="L237" s="11" t="s">
        <v>207</v>
      </c>
      <c r="M237" s="11"/>
      <c r="N237" s="4" t="str">
        <f t="shared" si="1"/>
        <v>Cristián González Contreras</v>
      </c>
      <c r="O237" s="6" t="str">
        <f t="shared" si="2"/>
        <v>20947764-8</v>
      </c>
      <c r="P237" s="6" t="str">
        <f t="shared" si="3"/>
        <v>Valparaíso - Valparaíso - Región de Valparaíso</v>
      </c>
      <c r="Q237" s="4" t="str">
        <f t="shared" si="4"/>
        <v>Activo</v>
      </c>
      <c r="R237" s="12" t="str">
        <f t="shared" si="5"/>
        <v>Riesgo Bajo</v>
      </c>
    </row>
    <row r="238">
      <c r="A238" s="1" t="s">
        <v>2939</v>
      </c>
      <c r="B238" s="9" t="s">
        <v>2941</v>
      </c>
      <c r="C238" s="9" t="s">
        <v>2943</v>
      </c>
      <c r="D238" s="1" t="s">
        <v>2944</v>
      </c>
      <c r="E238" s="1" t="s">
        <v>61</v>
      </c>
      <c r="F238" s="1" t="s">
        <v>62</v>
      </c>
      <c r="G238" s="1" t="s">
        <v>63</v>
      </c>
      <c r="H238" s="2">
        <v>2160000.0</v>
      </c>
      <c r="I238" s="1">
        <v>0.0</v>
      </c>
      <c r="J238" s="9" t="s">
        <v>97</v>
      </c>
      <c r="K238" s="5">
        <v>46024.0</v>
      </c>
      <c r="L238" s="11" t="s">
        <v>160</v>
      </c>
      <c r="M238" s="11"/>
      <c r="N238" s="4" t="str">
        <f t="shared" si="1"/>
        <v>Cristián González Muñoz</v>
      </c>
      <c r="O238" s="6" t="str">
        <f t="shared" si="2"/>
        <v>13.452.058-2</v>
      </c>
      <c r="P238" s="6" t="str">
        <f t="shared" si="3"/>
        <v>Santiago Centro - Santiago - Región Metropolitana</v>
      </c>
      <c r="Q238" s="4" t="str">
        <f t="shared" si="4"/>
        <v>Inactivo</v>
      </c>
      <c r="R238" s="12" t="str">
        <f t="shared" si="5"/>
        <v>Riesgo Bajo</v>
      </c>
    </row>
    <row r="239">
      <c r="A239" s="1" t="s">
        <v>2948</v>
      </c>
      <c r="B239" s="9" t="s">
        <v>2949</v>
      </c>
      <c r="C239" s="9" t="s">
        <v>2950</v>
      </c>
      <c r="D239" s="1" t="s">
        <v>2932</v>
      </c>
      <c r="E239" s="1" t="s">
        <v>26</v>
      </c>
      <c r="F239" s="1" t="s">
        <v>26</v>
      </c>
      <c r="G239" s="1" t="s">
        <v>27</v>
      </c>
      <c r="H239" s="2">
        <v>2740000.0</v>
      </c>
      <c r="I239" s="1">
        <v>15.0</v>
      </c>
      <c r="J239" s="9" t="s">
        <v>97</v>
      </c>
      <c r="K239" s="5">
        <v>46191.0</v>
      </c>
      <c r="L239" s="11" t="s">
        <v>207</v>
      </c>
      <c r="M239" s="11"/>
      <c r="N239" s="4" t="str">
        <f t="shared" si="1"/>
        <v>Cristián González Pérez</v>
      </c>
      <c r="O239" s="6" t="str">
        <f t="shared" si="2"/>
        <v>11.132.063-6</v>
      </c>
      <c r="P239" s="6" t="str">
        <f t="shared" si="3"/>
        <v>Valparaíso - Valparaíso - Región de Valparaíso</v>
      </c>
      <c r="Q239" s="4" t="str">
        <f t="shared" si="4"/>
        <v>Inactivo</v>
      </c>
      <c r="R239" s="12" t="str">
        <f t="shared" si="5"/>
        <v>Riesgo Bajo</v>
      </c>
    </row>
    <row r="240">
      <c r="A240" s="1" t="s">
        <v>2251</v>
      </c>
      <c r="B240" s="9" t="s">
        <v>2253</v>
      </c>
      <c r="C240" s="9" t="s">
        <v>2254</v>
      </c>
      <c r="D240" s="1" t="s">
        <v>2255</v>
      </c>
      <c r="E240" s="1" t="s">
        <v>109</v>
      </c>
      <c r="F240" s="1" t="s">
        <v>62</v>
      </c>
      <c r="G240" s="1" t="s">
        <v>63</v>
      </c>
      <c r="H240" s="2">
        <v>1.828E7</v>
      </c>
      <c r="I240" s="1">
        <v>0.0</v>
      </c>
      <c r="J240" s="9" t="s">
        <v>20</v>
      </c>
      <c r="K240" s="5">
        <v>46205.0</v>
      </c>
      <c r="L240" s="11" t="s">
        <v>100</v>
      </c>
      <c r="M240" s="11"/>
      <c r="N240" s="4" t="str">
        <f t="shared" si="1"/>
        <v>Cristián González Sepúlveda</v>
      </c>
      <c r="O240" s="6" t="str">
        <f t="shared" si="2"/>
        <v>22.046.704-5</v>
      </c>
      <c r="P240" s="6" t="str">
        <f t="shared" si="3"/>
        <v>Ñuñoa - Santiago - Región Metropolitana</v>
      </c>
      <c r="Q240" s="4" t="str">
        <f t="shared" si="4"/>
        <v>En Revisión</v>
      </c>
      <c r="R240" s="12" t="str">
        <f t="shared" si="5"/>
        <v>Riesgo Medio</v>
      </c>
    </row>
    <row r="241">
      <c r="A241" s="1" t="s">
        <v>2959</v>
      </c>
      <c r="B241" s="9" t="s">
        <v>2960</v>
      </c>
      <c r="C241" s="9" t="s">
        <v>2961</v>
      </c>
      <c r="D241" s="1" t="s">
        <v>2962</v>
      </c>
      <c r="E241" s="1" t="s">
        <v>118</v>
      </c>
      <c r="F241" s="1" t="s">
        <v>62</v>
      </c>
      <c r="G241" s="1" t="s">
        <v>63</v>
      </c>
      <c r="H241" s="2">
        <v>3910000.0</v>
      </c>
      <c r="I241" s="1">
        <v>0.0</v>
      </c>
      <c r="J241" s="9" t="s">
        <v>28</v>
      </c>
      <c r="K241" s="5">
        <v>46175.0</v>
      </c>
      <c r="L241" s="11" t="s">
        <v>207</v>
      </c>
      <c r="M241" s="11"/>
      <c r="N241" s="4" t="str">
        <f t="shared" si="1"/>
        <v>Cristián López Vergara</v>
      </c>
      <c r="O241" s="6" t="str">
        <f t="shared" si="2"/>
        <v>14.592.281-K</v>
      </c>
      <c r="P241" s="6" t="str">
        <f t="shared" si="3"/>
        <v>Maipú - Santiago - Región Metropolitana</v>
      </c>
      <c r="Q241" s="4" t="str">
        <f t="shared" si="4"/>
        <v>Activo</v>
      </c>
      <c r="R241" s="12" t="str">
        <f t="shared" si="5"/>
        <v>Riesgo Bajo</v>
      </c>
    </row>
    <row r="242">
      <c r="A242" s="1" t="s">
        <v>1227</v>
      </c>
      <c r="B242" s="9" t="s">
        <v>1229</v>
      </c>
      <c r="C242" s="9" t="s">
        <v>2967</v>
      </c>
      <c r="D242" s="1" t="s">
        <v>1231</v>
      </c>
      <c r="E242" s="1" t="s">
        <v>109</v>
      </c>
      <c r="F242" s="1" t="s">
        <v>62</v>
      </c>
      <c r="G242" s="1" t="s">
        <v>63</v>
      </c>
      <c r="H242" s="2">
        <v>7800000.0</v>
      </c>
      <c r="I242" s="1">
        <v>45.0</v>
      </c>
      <c r="J242" s="9" t="s">
        <v>28</v>
      </c>
      <c r="K242" s="5">
        <v>46168.0</v>
      </c>
      <c r="L242" s="11" t="s">
        <v>207</v>
      </c>
      <c r="M242" s="11"/>
      <c r="N242" s="4" t="str">
        <f t="shared" si="1"/>
        <v>Cristián Muñoz Tapia</v>
      </c>
      <c r="O242" s="6" t="str">
        <f t="shared" si="2"/>
        <v>14.363.811-1</v>
      </c>
      <c r="P242" s="6" t="str">
        <f t="shared" si="3"/>
        <v>Ñuñoa - Santiago - Región Metropolitana</v>
      </c>
      <c r="Q242" s="4" t="str">
        <f t="shared" si="4"/>
        <v>Activo</v>
      </c>
      <c r="R242" s="12" t="str">
        <f t="shared" si="5"/>
        <v>Riesgo Medio</v>
      </c>
    </row>
    <row r="243">
      <c r="A243" s="1" t="s">
        <v>2276</v>
      </c>
      <c r="B243" s="9" t="s">
        <v>2278</v>
      </c>
      <c r="C243" s="9" t="s">
        <v>2279</v>
      </c>
      <c r="D243" s="1" t="s">
        <v>2281</v>
      </c>
      <c r="E243" s="1" t="s">
        <v>109</v>
      </c>
      <c r="F243" s="1" t="s">
        <v>62</v>
      </c>
      <c r="G243" s="1" t="s">
        <v>63</v>
      </c>
      <c r="H243" s="2">
        <v>4310000.0</v>
      </c>
      <c r="I243" s="1">
        <v>0.0</v>
      </c>
      <c r="J243" s="9" t="s">
        <v>28</v>
      </c>
      <c r="K243" s="5">
        <v>46085.0</v>
      </c>
      <c r="L243" s="11" t="s">
        <v>100</v>
      </c>
      <c r="M243" s="11"/>
      <c r="N243" s="4" t="str">
        <f t="shared" si="1"/>
        <v>Cristián Pérez Araya</v>
      </c>
      <c r="O243" s="6" t="str">
        <f t="shared" si="2"/>
        <v>20522529-8</v>
      </c>
      <c r="P243" s="6" t="str">
        <f t="shared" si="3"/>
        <v>Ñuñoa - Santiago - Región Metropolitana</v>
      </c>
      <c r="Q243" s="4" t="str">
        <f t="shared" si="4"/>
        <v>Activo</v>
      </c>
      <c r="R243" s="12" t="str">
        <f t="shared" si="5"/>
        <v>Riesgo Bajo</v>
      </c>
    </row>
    <row r="244">
      <c r="A244" s="1" t="s">
        <v>2973</v>
      </c>
      <c r="B244" s="9" t="s">
        <v>2974</v>
      </c>
      <c r="C244" s="9" t="s">
        <v>2975</v>
      </c>
      <c r="D244" s="1" t="s">
        <v>2976</v>
      </c>
      <c r="E244" s="1" t="s">
        <v>39</v>
      </c>
      <c r="F244" s="1" t="s">
        <v>39</v>
      </c>
      <c r="G244" s="1" t="s">
        <v>40</v>
      </c>
      <c r="H244" s="2">
        <v>3440000.0</v>
      </c>
      <c r="I244" s="1">
        <v>120.0</v>
      </c>
      <c r="J244" s="9" t="s">
        <v>28</v>
      </c>
      <c r="K244" s="5">
        <v>46124.0</v>
      </c>
      <c r="L244" s="11" t="s">
        <v>181</v>
      </c>
      <c r="M244" s="11"/>
      <c r="N244" s="4" t="str">
        <f t="shared" si="1"/>
        <v>Cristián Pérez Díaz</v>
      </c>
      <c r="O244" s="6" t="str">
        <f t="shared" si="2"/>
        <v>16.653.101-9</v>
      </c>
      <c r="P244" s="6" t="str">
        <f t="shared" si="3"/>
        <v>Concepción - Concepción - Región del Biobío</v>
      </c>
      <c r="Q244" s="4" t="str">
        <f t="shared" si="4"/>
        <v>Activo</v>
      </c>
      <c r="R244" s="12" t="str">
        <f t="shared" si="5"/>
        <v>Riesgo Alto</v>
      </c>
    </row>
    <row r="245">
      <c r="A245" s="1" t="s">
        <v>2978</v>
      </c>
      <c r="B245" s="9" t="s">
        <v>2979</v>
      </c>
      <c r="C245" s="9" t="s">
        <v>2980</v>
      </c>
      <c r="D245" s="1" t="s">
        <v>2981</v>
      </c>
      <c r="E245" s="1" t="s">
        <v>39</v>
      </c>
      <c r="F245" s="1" t="s">
        <v>39</v>
      </c>
      <c r="G245" s="1" t="s">
        <v>40</v>
      </c>
      <c r="H245" s="2">
        <v>7630000.0</v>
      </c>
      <c r="I245" s="1">
        <v>30.0</v>
      </c>
      <c r="J245" s="9" t="s">
        <v>97</v>
      </c>
      <c r="K245" s="5">
        <v>46094.0</v>
      </c>
      <c r="L245" s="11" t="s">
        <v>100</v>
      </c>
      <c r="M245" s="11"/>
      <c r="N245" s="4" t="str">
        <f t="shared" si="1"/>
        <v>Cristián Rojas López</v>
      </c>
      <c r="O245" s="6" t="str">
        <f t="shared" si="2"/>
        <v>17.702.238-6</v>
      </c>
      <c r="P245" s="6" t="str">
        <f t="shared" si="3"/>
        <v>Concepción - Concepción - Región del Biobío</v>
      </c>
      <c r="Q245" s="4" t="str">
        <f t="shared" si="4"/>
        <v>Inactivo</v>
      </c>
      <c r="R245" s="12" t="str">
        <f t="shared" si="5"/>
        <v>Riesgo Bajo</v>
      </c>
    </row>
    <row r="246">
      <c r="A246" s="1" t="s">
        <v>2982</v>
      </c>
      <c r="B246" s="9" t="s">
        <v>2983</v>
      </c>
      <c r="C246" s="9" t="s">
        <v>2984</v>
      </c>
      <c r="D246" s="1" t="s">
        <v>2986</v>
      </c>
      <c r="E246" s="1" t="s">
        <v>45</v>
      </c>
      <c r="F246" s="1" t="s">
        <v>45</v>
      </c>
      <c r="G246" s="1" t="s">
        <v>46</v>
      </c>
      <c r="H246" s="2">
        <v>7230000.0</v>
      </c>
      <c r="I246" s="1">
        <v>15.0</v>
      </c>
      <c r="J246" s="9" t="s">
        <v>28</v>
      </c>
      <c r="K246" s="5">
        <v>46154.0</v>
      </c>
      <c r="L246" s="11" t="s">
        <v>207</v>
      </c>
      <c r="M246" s="11"/>
      <c r="N246" s="4" t="str">
        <f t="shared" si="1"/>
        <v>Cristián Rojas Rodríguez</v>
      </c>
      <c r="O246" s="6" t="str">
        <f t="shared" si="2"/>
        <v>16.782.697-2</v>
      </c>
      <c r="P246" s="6" t="str">
        <f t="shared" si="3"/>
        <v>Temuco - Temuco - Región de la Araucanía</v>
      </c>
      <c r="Q246" s="4" t="str">
        <f t="shared" si="4"/>
        <v>Activo</v>
      </c>
      <c r="R246" s="12" t="str">
        <f t="shared" si="5"/>
        <v>Riesgo Bajo</v>
      </c>
    </row>
    <row r="247">
      <c r="A247" s="1" t="s">
        <v>2455</v>
      </c>
      <c r="B247" s="9" t="s">
        <v>2457</v>
      </c>
      <c r="C247" s="9" t="s">
        <v>2994</v>
      </c>
      <c r="D247" s="1" t="s">
        <v>2460</v>
      </c>
      <c r="E247" s="1" t="s">
        <v>118</v>
      </c>
      <c r="F247" s="1" t="s">
        <v>62</v>
      </c>
      <c r="G247" s="1" t="s">
        <v>63</v>
      </c>
      <c r="H247" s="2">
        <v>1.05E7</v>
      </c>
      <c r="I247" s="1">
        <v>30.0</v>
      </c>
      <c r="J247" s="9" t="s">
        <v>97</v>
      </c>
      <c r="K247" s="5">
        <v>46108.0</v>
      </c>
      <c r="L247" s="11" t="s">
        <v>160</v>
      </c>
      <c r="M247" s="11"/>
      <c r="N247" s="4" t="str">
        <f t="shared" si="1"/>
        <v>Cristián Silva Araya</v>
      </c>
      <c r="O247" s="6" t="str">
        <f t="shared" si="2"/>
        <v>20.890.986-K</v>
      </c>
      <c r="P247" s="6" t="str">
        <f t="shared" si="3"/>
        <v>Maipú - Santiago - Región Metropolitana</v>
      </c>
      <c r="Q247" s="4" t="str">
        <f t="shared" si="4"/>
        <v>Inactivo</v>
      </c>
      <c r="R247" s="12" t="str">
        <f t="shared" si="5"/>
        <v>Riesgo Bajo</v>
      </c>
    </row>
    <row r="248">
      <c r="A248" s="1" t="s">
        <v>3002</v>
      </c>
      <c r="B248" s="9" t="s">
        <v>3003</v>
      </c>
      <c r="C248" s="9" t="s">
        <v>3004</v>
      </c>
      <c r="D248" s="1" t="s">
        <v>3005</v>
      </c>
      <c r="E248" s="1" t="s">
        <v>158</v>
      </c>
      <c r="F248" s="1" t="s">
        <v>158</v>
      </c>
      <c r="G248" s="1" t="s">
        <v>159</v>
      </c>
      <c r="H248" s="2">
        <v>1.176E7</v>
      </c>
      <c r="I248" s="1">
        <v>30.0</v>
      </c>
      <c r="J248" s="9" t="s">
        <v>28</v>
      </c>
      <c r="K248" s="5">
        <v>46133.0</v>
      </c>
      <c r="L248" s="11" t="s">
        <v>160</v>
      </c>
      <c r="M248" s="11"/>
      <c r="N248" s="4" t="str">
        <f t="shared" si="1"/>
        <v>Cristián Silva González</v>
      </c>
      <c r="O248" s="6" t="str">
        <f t="shared" si="2"/>
        <v>18.814.444-8</v>
      </c>
      <c r="P248" s="6" t="str">
        <f t="shared" si="3"/>
        <v>Antofagasta - Antofagasta - Región de Antofagasta</v>
      </c>
      <c r="Q248" s="4" t="str">
        <f t="shared" si="4"/>
        <v>Activo</v>
      </c>
      <c r="R248" s="12" t="str">
        <f t="shared" si="5"/>
        <v>Riesgo Bajo</v>
      </c>
    </row>
    <row r="249">
      <c r="A249" s="1" t="s">
        <v>3006</v>
      </c>
      <c r="B249" s="9" t="s">
        <v>3007</v>
      </c>
      <c r="C249" s="9" t="s">
        <v>3008</v>
      </c>
      <c r="D249" s="1" t="s">
        <v>3009</v>
      </c>
      <c r="E249" s="1" t="s">
        <v>33</v>
      </c>
      <c r="F249" s="1" t="s">
        <v>33</v>
      </c>
      <c r="G249" s="1" t="s">
        <v>34</v>
      </c>
      <c r="H249" s="2">
        <v>1.835E7</v>
      </c>
      <c r="I249" s="1">
        <v>30.0</v>
      </c>
      <c r="J249" s="9" t="s">
        <v>20</v>
      </c>
      <c r="K249" s="5">
        <v>46166.0</v>
      </c>
      <c r="L249" s="11" t="s">
        <v>181</v>
      </c>
      <c r="M249" s="11"/>
      <c r="N249" s="4" t="str">
        <f t="shared" si="1"/>
        <v>Cristián Silva López</v>
      </c>
      <c r="O249" s="6" t="str">
        <f t="shared" si="2"/>
        <v>19.956.154-K</v>
      </c>
      <c r="P249" s="6" t="str">
        <f t="shared" si="3"/>
        <v>Puerto Montt - Puerto Montt - Región de Los Lagos</v>
      </c>
      <c r="Q249" s="4" t="str">
        <f t="shared" si="4"/>
        <v>En Revisión</v>
      </c>
      <c r="R249" s="12" t="str">
        <f t="shared" si="5"/>
        <v>Riesgo Medio</v>
      </c>
    </row>
    <row r="250">
      <c r="A250" s="1" t="s">
        <v>3014</v>
      </c>
      <c r="B250" s="9" t="s">
        <v>3015</v>
      </c>
      <c r="C250" s="9" t="s">
        <v>3016</v>
      </c>
      <c r="D250" s="1" t="s">
        <v>3017</v>
      </c>
      <c r="E250" s="1" t="s">
        <v>194</v>
      </c>
      <c r="F250" s="1" t="s">
        <v>62</v>
      </c>
      <c r="G250" s="1" t="s">
        <v>63</v>
      </c>
      <c r="H250" s="2">
        <v>2.138E7</v>
      </c>
      <c r="I250" s="1">
        <v>30.0</v>
      </c>
      <c r="J250" s="9" t="s">
        <v>28</v>
      </c>
      <c r="K250" s="5">
        <v>46087.0</v>
      </c>
      <c r="L250" s="11" t="s">
        <v>160</v>
      </c>
      <c r="M250" s="11"/>
      <c r="N250" s="4" t="str">
        <f t="shared" si="1"/>
        <v>Cristián Soto Tapia</v>
      </c>
      <c r="O250" s="6" t="str">
        <f t="shared" si="2"/>
        <v>13.709.077-9</v>
      </c>
      <c r="P250" s="6" t="str">
        <f t="shared" si="3"/>
        <v>Las Condes - Santiago - Región Metropolitana</v>
      </c>
      <c r="Q250" s="4" t="str">
        <f t="shared" si="4"/>
        <v>Activo</v>
      </c>
      <c r="R250" s="12" t="str">
        <f t="shared" si="5"/>
        <v>Riesgo Bajo</v>
      </c>
    </row>
    <row r="251">
      <c r="A251" s="1" t="s">
        <v>2078</v>
      </c>
      <c r="B251" s="9" t="s">
        <v>2080</v>
      </c>
      <c r="C251" s="9" t="s">
        <v>2081</v>
      </c>
      <c r="D251" s="1" t="s">
        <v>2082</v>
      </c>
      <c r="E251" s="1" t="s">
        <v>61</v>
      </c>
      <c r="F251" s="1" t="s">
        <v>62</v>
      </c>
      <c r="G251" s="1" t="s">
        <v>63</v>
      </c>
      <c r="H251" s="2">
        <v>8140000.0</v>
      </c>
      <c r="I251" s="1">
        <v>90.0</v>
      </c>
      <c r="J251" s="9" t="s">
        <v>97</v>
      </c>
      <c r="K251" s="5">
        <v>46198.0</v>
      </c>
      <c r="L251" s="11" t="s">
        <v>160</v>
      </c>
      <c r="M251" s="11"/>
      <c r="N251" s="4" t="str">
        <f t="shared" si="1"/>
        <v>Cristián Tapia Vergara</v>
      </c>
      <c r="O251" s="6" t="str">
        <f t="shared" si="2"/>
        <v>13.329.525-0</v>
      </c>
      <c r="P251" s="6" t="str">
        <f t="shared" si="3"/>
        <v>Santiago Centro - Santiago - Región Metropolitana</v>
      </c>
      <c r="Q251" s="4" t="str">
        <f t="shared" si="4"/>
        <v>Inactivo</v>
      </c>
      <c r="R251" s="12" t="str">
        <f t="shared" si="5"/>
        <v>Riesgo Medio</v>
      </c>
    </row>
    <row r="252">
      <c r="A252" s="1" t="s">
        <v>21</v>
      </c>
      <c r="B252" s="9" t="s">
        <v>22</v>
      </c>
      <c r="C252" s="9" t="s">
        <v>23</v>
      </c>
      <c r="D252" s="1" t="s">
        <v>24</v>
      </c>
      <c r="E252" s="1" t="s">
        <v>25</v>
      </c>
      <c r="F252" s="1" t="s">
        <v>26</v>
      </c>
      <c r="G252" s="1" t="s">
        <v>27</v>
      </c>
      <c r="H252" s="2">
        <v>2.108E7</v>
      </c>
      <c r="I252" s="1">
        <v>60.0</v>
      </c>
      <c r="J252" s="9" t="s">
        <v>28</v>
      </c>
      <c r="K252" s="5">
        <v>46034.0</v>
      </c>
      <c r="L252" s="11" t="s">
        <v>207</v>
      </c>
      <c r="M252" s="11"/>
      <c r="N252" s="4" t="str">
        <f t="shared" si="1"/>
        <v>Cristián Valenzuela Araya</v>
      </c>
      <c r="O252" s="6" t="str">
        <f t="shared" si="2"/>
        <v>21773005-0</v>
      </c>
      <c r="P252" s="6" t="str">
        <f t="shared" si="3"/>
        <v>Viña del Mar - Valparaíso - Región de Valparaíso</v>
      </c>
      <c r="Q252" s="4" t="str">
        <f t="shared" si="4"/>
        <v>Activo</v>
      </c>
      <c r="R252" s="12" t="str">
        <f t="shared" si="5"/>
        <v>Riesgo Medio</v>
      </c>
    </row>
    <row r="253">
      <c r="A253" s="1" t="s">
        <v>889</v>
      </c>
      <c r="B253" s="9" t="s">
        <v>891</v>
      </c>
      <c r="C253" s="9" t="s">
        <v>892</v>
      </c>
      <c r="D253" s="1" t="s">
        <v>893</v>
      </c>
      <c r="E253" s="1" t="s">
        <v>39</v>
      </c>
      <c r="F253" s="1" t="s">
        <v>39</v>
      </c>
      <c r="G253" s="1" t="s">
        <v>40</v>
      </c>
      <c r="H253" s="2">
        <v>1310000.0</v>
      </c>
      <c r="I253" s="1">
        <v>0.0</v>
      </c>
      <c r="J253" s="9" t="s">
        <v>28</v>
      </c>
      <c r="K253" s="5">
        <v>46196.0</v>
      </c>
      <c r="L253" s="11" t="s">
        <v>160</v>
      </c>
      <c r="M253" s="11"/>
      <c r="N253" s="4" t="str">
        <f t="shared" si="1"/>
        <v>Cristián Valenzuela González</v>
      </c>
      <c r="O253" s="6" t="str">
        <f t="shared" si="2"/>
        <v>14.182.624-6</v>
      </c>
      <c r="P253" s="6" t="str">
        <f t="shared" si="3"/>
        <v>Concepción - Concepción - Región del Biobío</v>
      </c>
      <c r="Q253" s="4" t="str">
        <f t="shared" si="4"/>
        <v>Activo</v>
      </c>
      <c r="R253" s="12" t="str">
        <f t="shared" si="5"/>
        <v>Riesgo Bajo</v>
      </c>
    </row>
    <row r="254">
      <c r="A254" s="1" t="s">
        <v>3027</v>
      </c>
      <c r="B254" s="9" t="s">
        <v>3028</v>
      </c>
      <c r="C254" s="9" t="s">
        <v>3030</v>
      </c>
      <c r="D254" s="1" t="s">
        <v>3032</v>
      </c>
      <c r="E254" s="1" t="s">
        <v>194</v>
      </c>
      <c r="F254" s="1" t="s">
        <v>62</v>
      </c>
      <c r="G254" s="1" t="s">
        <v>63</v>
      </c>
      <c r="H254" s="2">
        <v>3410000.0</v>
      </c>
      <c r="I254" s="1">
        <v>60.0</v>
      </c>
      <c r="J254" s="9" t="s">
        <v>97</v>
      </c>
      <c r="K254" s="5">
        <v>46037.0</v>
      </c>
      <c r="L254" s="11" t="s">
        <v>207</v>
      </c>
      <c r="M254" s="11"/>
      <c r="N254" s="4" t="str">
        <f t="shared" si="1"/>
        <v>Cristián Valenzuela Sepúlveda</v>
      </c>
      <c r="O254" s="6" t="str">
        <f t="shared" si="2"/>
        <v>19.932.030-4</v>
      </c>
      <c r="P254" s="6" t="str">
        <f t="shared" si="3"/>
        <v>Las Condes - Santiago - Región Metropolitana</v>
      </c>
      <c r="Q254" s="4" t="str">
        <f t="shared" si="4"/>
        <v>Inactivo</v>
      </c>
      <c r="R254" s="12" t="str">
        <f t="shared" si="5"/>
        <v>Riesgo Medio</v>
      </c>
    </row>
    <row r="255">
      <c r="A255" s="1" t="s">
        <v>2910</v>
      </c>
      <c r="B255" s="9" t="s">
        <v>2911</v>
      </c>
      <c r="C255" s="9" t="s">
        <v>3036</v>
      </c>
      <c r="D255" s="1" t="s">
        <v>893</v>
      </c>
      <c r="E255" s="1" t="s">
        <v>25</v>
      </c>
      <c r="F255" s="1" t="s">
        <v>26</v>
      </c>
      <c r="G255" s="1" t="s">
        <v>27</v>
      </c>
      <c r="H255" s="2">
        <v>6270000.0</v>
      </c>
      <c r="I255" s="1">
        <v>0.0</v>
      </c>
      <c r="J255" s="9" t="s">
        <v>28</v>
      </c>
      <c r="K255" s="5">
        <v>46185.0</v>
      </c>
      <c r="L255" s="11" t="s">
        <v>100</v>
      </c>
      <c r="M255" s="11"/>
      <c r="N255" s="4" t="str">
        <f t="shared" si="1"/>
        <v>Cristián Valenzuela Soto</v>
      </c>
      <c r="O255" s="6" t="str">
        <f t="shared" si="2"/>
        <v>20.368.247-9</v>
      </c>
      <c r="P255" s="6" t="str">
        <f t="shared" si="3"/>
        <v>Viña del Mar - Valparaíso - Región de Valparaíso</v>
      </c>
      <c r="Q255" s="4" t="str">
        <f t="shared" si="4"/>
        <v>Activo</v>
      </c>
      <c r="R255" s="12" t="str">
        <f t="shared" si="5"/>
        <v>Riesgo Bajo</v>
      </c>
    </row>
    <row r="256">
      <c r="A256" s="1" t="s">
        <v>2951</v>
      </c>
      <c r="B256" s="9" t="s">
        <v>2952</v>
      </c>
      <c r="C256" s="9" t="s">
        <v>3041</v>
      </c>
      <c r="D256" s="1" t="s">
        <v>2954</v>
      </c>
      <c r="E256" s="1" t="s">
        <v>72</v>
      </c>
      <c r="F256" s="1" t="s">
        <v>62</v>
      </c>
      <c r="G256" s="1" t="s">
        <v>63</v>
      </c>
      <c r="H256" s="2">
        <v>1.923E7</v>
      </c>
      <c r="I256" s="1">
        <v>120.0</v>
      </c>
      <c r="J256" s="9" t="s">
        <v>28</v>
      </c>
      <c r="K256" s="5">
        <v>46154.0</v>
      </c>
      <c r="L256" s="11" t="s">
        <v>207</v>
      </c>
      <c r="M256" s="11"/>
      <c r="N256" s="4" t="str">
        <f t="shared" si="1"/>
        <v>Cristián Valenzuela Valenzuela</v>
      </c>
      <c r="O256" s="6" t="str">
        <f t="shared" si="2"/>
        <v>18.441.773-K</v>
      </c>
      <c r="P256" s="6" t="str">
        <f t="shared" si="3"/>
        <v>Providencia - Santiago - Región Metropolitana</v>
      </c>
      <c r="Q256" s="4" t="str">
        <f t="shared" si="4"/>
        <v>Activo</v>
      </c>
      <c r="R256" s="12" t="str">
        <f t="shared" si="5"/>
        <v>Riesgo Alto</v>
      </c>
    </row>
    <row r="257">
      <c r="A257" s="1" t="s">
        <v>3042</v>
      </c>
      <c r="B257" s="9" t="s">
        <v>3043</v>
      </c>
      <c r="C257" s="9" t="s">
        <v>3044</v>
      </c>
      <c r="D257" s="1" t="s">
        <v>3045</v>
      </c>
      <c r="E257" s="1" t="s">
        <v>26</v>
      </c>
      <c r="F257" s="1" t="s">
        <v>26</v>
      </c>
      <c r="G257" s="1" t="s">
        <v>27</v>
      </c>
      <c r="H257" s="2">
        <v>1.943E7</v>
      </c>
      <c r="I257" s="1">
        <v>30.0</v>
      </c>
      <c r="J257" s="9" t="s">
        <v>28</v>
      </c>
      <c r="K257" s="5">
        <v>46118.0</v>
      </c>
      <c r="L257" s="11" t="s">
        <v>160</v>
      </c>
      <c r="M257" s="11"/>
      <c r="N257" s="4" t="str">
        <f t="shared" si="1"/>
        <v>Cristián Valenzuela Vergara</v>
      </c>
      <c r="O257" s="6" t="str">
        <f t="shared" si="2"/>
        <v>19.354.909-4</v>
      </c>
      <c r="P257" s="6" t="str">
        <f t="shared" si="3"/>
        <v>Valparaíso - Valparaíso - Región de Valparaíso</v>
      </c>
      <c r="Q257" s="4" t="str">
        <f t="shared" si="4"/>
        <v>Activo</v>
      </c>
      <c r="R257" s="12" t="str">
        <f t="shared" si="5"/>
        <v>Riesgo Bajo</v>
      </c>
    </row>
    <row r="258">
      <c r="A258" s="1" t="s">
        <v>260</v>
      </c>
      <c r="B258" s="9" t="s">
        <v>261</v>
      </c>
      <c r="C258" s="9" t="s">
        <v>3050</v>
      </c>
      <c r="D258" s="1" t="s">
        <v>263</v>
      </c>
      <c r="E258" s="1" t="s">
        <v>158</v>
      </c>
      <c r="F258" s="1" t="s">
        <v>158</v>
      </c>
      <c r="G258" s="1" t="s">
        <v>159</v>
      </c>
      <c r="H258" s="2">
        <v>4750000.0</v>
      </c>
      <c r="I258" s="1">
        <v>45.0</v>
      </c>
      <c r="J258" s="9" t="s">
        <v>28</v>
      </c>
      <c r="K258" s="5">
        <v>46229.0</v>
      </c>
      <c r="L258" s="11" t="s">
        <v>207</v>
      </c>
      <c r="M258" s="11"/>
      <c r="N258" s="4" t="str">
        <f t="shared" si="1"/>
        <v>Cristián Vergara Soto</v>
      </c>
      <c r="O258" s="6" t="str">
        <f t="shared" si="2"/>
        <v>12.737.571-K</v>
      </c>
      <c r="P258" s="6" t="str">
        <f t="shared" si="3"/>
        <v>Antofagasta - Antofagasta - Región de Antofagasta</v>
      </c>
      <c r="Q258" s="4" t="str">
        <f t="shared" si="4"/>
        <v>Activo</v>
      </c>
      <c r="R258" s="12" t="str">
        <f t="shared" si="5"/>
        <v>Riesgo Medio</v>
      </c>
    </row>
    <row r="259">
      <c r="A259" s="1" t="s">
        <v>3056</v>
      </c>
      <c r="B259" s="9" t="s">
        <v>3058</v>
      </c>
      <c r="C259" s="9" t="s">
        <v>3060</v>
      </c>
      <c r="D259" s="1" t="s">
        <v>3062</v>
      </c>
      <c r="E259" s="1" t="s">
        <v>72</v>
      </c>
      <c r="F259" s="1" t="s">
        <v>62</v>
      </c>
      <c r="G259" s="1" t="s">
        <v>63</v>
      </c>
      <c r="H259" s="2">
        <v>1.192E7</v>
      </c>
      <c r="I259" s="1">
        <v>0.0</v>
      </c>
      <c r="J259" s="9" t="s">
        <v>20</v>
      </c>
      <c r="K259" s="5">
        <v>46036.0</v>
      </c>
      <c r="L259" s="11" t="s">
        <v>100</v>
      </c>
      <c r="M259" s="11"/>
      <c r="N259" s="4" t="str">
        <f t="shared" si="1"/>
        <v>Daniela Araya Díaz</v>
      </c>
      <c r="O259" s="6" t="str">
        <f t="shared" si="2"/>
        <v>20.055.540-8</v>
      </c>
      <c r="P259" s="6" t="str">
        <f t="shared" si="3"/>
        <v>Providencia - Santiago - Región Metropolitana</v>
      </c>
      <c r="Q259" s="4" t="str">
        <f t="shared" si="4"/>
        <v>En Revisión</v>
      </c>
      <c r="R259" s="12" t="str">
        <f t="shared" si="5"/>
        <v>Riesgo Medio</v>
      </c>
    </row>
    <row r="260">
      <c r="A260" s="1" t="s">
        <v>1767</v>
      </c>
      <c r="B260" s="9" t="s">
        <v>1768</v>
      </c>
      <c r="C260" s="9" t="s">
        <v>1769</v>
      </c>
      <c r="D260" s="1" t="s">
        <v>1770</v>
      </c>
      <c r="E260" s="1" t="s">
        <v>118</v>
      </c>
      <c r="F260" s="1" t="s">
        <v>62</v>
      </c>
      <c r="G260" s="1" t="s">
        <v>63</v>
      </c>
      <c r="H260" s="2">
        <v>9890000.0</v>
      </c>
      <c r="I260" s="1">
        <v>90.0</v>
      </c>
      <c r="J260" s="9" t="s">
        <v>28</v>
      </c>
      <c r="K260" s="5">
        <v>46231.0</v>
      </c>
      <c r="L260" s="11" t="s">
        <v>207</v>
      </c>
      <c r="M260" s="11"/>
      <c r="N260" s="4" t="str">
        <f t="shared" si="1"/>
        <v>Daniela Contreras Díaz</v>
      </c>
      <c r="O260" s="6" t="str">
        <f t="shared" si="2"/>
        <v>16288328-4</v>
      </c>
      <c r="P260" s="6" t="str">
        <f t="shared" si="3"/>
        <v>Maipú - Santiago - Región Metropolitana</v>
      </c>
      <c r="Q260" s="4" t="str">
        <f t="shared" si="4"/>
        <v>Activo</v>
      </c>
      <c r="R260" s="12" t="str">
        <f t="shared" si="5"/>
        <v>Riesgo Alto</v>
      </c>
    </row>
    <row r="261">
      <c r="A261" s="1" t="s">
        <v>3067</v>
      </c>
      <c r="B261" s="9" t="s">
        <v>3069</v>
      </c>
      <c r="C261" s="9" t="s">
        <v>3071</v>
      </c>
      <c r="D261" s="1" t="s">
        <v>3073</v>
      </c>
      <c r="E261" s="1" t="s">
        <v>39</v>
      </c>
      <c r="F261" s="1" t="s">
        <v>39</v>
      </c>
      <c r="G261" s="1" t="s">
        <v>40</v>
      </c>
      <c r="H261" s="2">
        <v>1.227E7</v>
      </c>
      <c r="I261" s="1">
        <v>120.0</v>
      </c>
      <c r="J261" s="9" t="s">
        <v>20</v>
      </c>
      <c r="K261" s="5">
        <v>46145.0</v>
      </c>
      <c r="L261" s="11" t="s">
        <v>207</v>
      </c>
      <c r="M261" s="11"/>
      <c r="N261" s="4" t="str">
        <f t="shared" si="1"/>
        <v>Daniela Contreras Rodríguez</v>
      </c>
      <c r="O261" s="6" t="str">
        <f t="shared" si="2"/>
        <v>18.477.147-3</v>
      </c>
      <c r="P261" s="6" t="str">
        <f t="shared" si="3"/>
        <v>Concepción - Concepción - Región del Biobío</v>
      </c>
      <c r="Q261" s="4" t="str">
        <f t="shared" si="4"/>
        <v>En Revisión</v>
      </c>
      <c r="R261" s="12" t="str">
        <f t="shared" si="5"/>
        <v>Riesgo Medio</v>
      </c>
    </row>
    <row r="262">
      <c r="A262" s="1" t="s">
        <v>1729</v>
      </c>
      <c r="B262" s="9" t="s">
        <v>1730</v>
      </c>
      <c r="C262" s="9" t="s">
        <v>1731</v>
      </c>
      <c r="D262" s="1" t="s">
        <v>1732</v>
      </c>
      <c r="E262" s="1" t="s">
        <v>33</v>
      </c>
      <c r="F262" s="1" t="s">
        <v>33</v>
      </c>
      <c r="G262" s="1" t="s">
        <v>34</v>
      </c>
      <c r="H262" s="2">
        <v>8010000.0</v>
      </c>
      <c r="I262" s="1">
        <v>45.0</v>
      </c>
      <c r="J262" s="9" t="s">
        <v>28</v>
      </c>
      <c r="K262" s="5">
        <v>46108.0</v>
      </c>
      <c r="L262" s="11" t="s">
        <v>100</v>
      </c>
      <c r="M262" s="11"/>
      <c r="N262" s="4" t="str">
        <f t="shared" si="1"/>
        <v>Daniela Díaz Araya</v>
      </c>
      <c r="O262" s="6" t="str">
        <f t="shared" si="2"/>
        <v>14.974.035-2</v>
      </c>
      <c r="P262" s="6" t="str">
        <f t="shared" si="3"/>
        <v>Puerto Montt - Puerto Montt - Región de Los Lagos</v>
      </c>
      <c r="Q262" s="4" t="str">
        <f t="shared" si="4"/>
        <v>Activo</v>
      </c>
      <c r="R262" s="12" t="str">
        <f t="shared" si="5"/>
        <v>Riesgo Medio</v>
      </c>
    </row>
    <row r="263">
      <c r="A263" s="1" t="s">
        <v>1432</v>
      </c>
      <c r="B263" s="9" t="s">
        <v>1433</v>
      </c>
      <c r="C263" s="9" t="s">
        <v>1434</v>
      </c>
      <c r="D263" s="1" t="s">
        <v>1435</v>
      </c>
      <c r="E263" s="1" t="s">
        <v>109</v>
      </c>
      <c r="F263" s="1" t="s">
        <v>62</v>
      </c>
      <c r="G263" s="1" t="s">
        <v>63</v>
      </c>
      <c r="H263" s="2">
        <v>9910000.0</v>
      </c>
      <c r="I263" s="1">
        <v>90.0</v>
      </c>
      <c r="J263" s="9" t="s">
        <v>20</v>
      </c>
      <c r="K263" s="5">
        <v>46103.0</v>
      </c>
      <c r="L263" s="11" t="s">
        <v>207</v>
      </c>
      <c r="M263" s="11"/>
      <c r="N263" s="4" t="str">
        <f t="shared" si="1"/>
        <v>Daniela Espinoza González</v>
      </c>
      <c r="O263" s="6" t="str">
        <f t="shared" si="2"/>
        <v>14.288.735-9</v>
      </c>
      <c r="P263" s="6" t="str">
        <f t="shared" si="3"/>
        <v>Ñuñoa - Santiago - Región Metropolitana</v>
      </c>
      <c r="Q263" s="4" t="str">
        <f t="shared" si="4"/>
        <v>En Revisión</v>
      </c>
      <c r="R263" s="12" t="str">
        <f t="shared" si="5"/>
        <v>Riesgo Medio</v>
      </c>
    </row>
    <row r="264">
      <c r="A264" s="1" t="s">
        <v>3089</v>
      </c>
      <c r="B264" s="9" t="s">
        <v>3090</v>
      </c>
      <c r="C264" s="9" t="s">
        <v>3095</v>
      </c>
      <c r="D264" s="1" t="s">
        <v>3096</v>
      </c>
      <c r="E264" s="1" t="s">
        <v>39</v>
      </c>
      <c r="F264" s="1" t="s">
        <v>39</v>
      </c>
      <c r="G264" s="1" t="s">
        <v>40</v>
      </c>
      <c r="H264" s="2">
        <v>1.359E7</v>
      </c>
      <c r="I264" s="1">
        <v>0.0</v>
      </c>
      <c r="J264" s="9" t="s">
        <v>20</v>
      </c>
      <c r="K264" s="5">
        <v>46210.0</v>
      </c>
      <c r="L264" s="11" t="s">
        <v>100</v>
      </c>
      <c r="M264" s="11"/>
      <c r="N264" s="4" t="str">
        <f t="shared" si="1"/>
        <v>Daniela González Vergara</v>
      </c>
      <c r="O264" s="6" t="str">
        <f t="shared" si="2"/>
        <v>18.012.616-2</v>
      </c>
      <c r="P264" s="6" t="str">
        <f t="shared" si="3"/>
        <v>Concepción - Concepción - Región del Biobío</v>
      </c>
      <c r="Q264" s="4" t="str">
        <f t="shared" si="4"/>
        <v>En Revisión</v>
      </c>
      <c r="R264" s="12" t="str">
        <f t="shared" si="5"/>
        <v>Riesgo Medio</v>
      </c>
    </row>
    <row r="265">
      <c r="A265" s="1" t="s">
        <v>3098</v>
      </c>
      <c r="B265" s="9" t="s">
        <v>3100</v>
      </c>
      <c r="C265" s="9" t="s">
        <v>3102</v>
      </c>
      <c r="D265" s="1" t="s">
        <v>3103</v>
      </c>
      <c r="E265" s="1" t="s">
        <v>61</v>
      </c>
      <c r="F265" s="1" t="s">
        <v>62</v>
      </c>
      <c r="G265" s="1" t="s">
        <v>63</v>
      </c>
      <c r="H265" s="2">
        <v>1130000.0</v>
      </c>
      <c r="I265" s="1">
        <v>45.0</v>
      </c>
      <c r="J265" s="9" t="s">
        <v>28</v>
      </c>
      <c r="K265" s="5">
        <v>46101.0</v>
      </c>
      <c r="L265" s="11" t="s">
        <v>160</v>
      </c>
      <c r="M265" s="11"/>
      <c r="N265" s="4" t="str">
        <f t="shared" si="1"/>
        <v>Daniela López Silva</v>
      </c>
      <c r="O265" s="6" t="str">
        <f t="shared" si="2"/>
        <v>13.265.380-1</v>
      </c>
      <c r="P265" s="6" t="str">
        <f t="shared" si="3"/>
        <v>Santiago Centro - Santiago - Región Metropolitana</v>
      </c>
      <c r="Q265" s="4" t="str">
        <f t="shared" si="4"/>
        <v>Activo</v>
      </c>
      <c r="R265" s="12" t="str">
        <f t="shared" si="5"/>
        <v>Riesgo Medio</v>
      </c>
    </row>
    <row r="266">
      <c r="A266" s="1" t="s">
        <v>3105</v>
      </c>
      <c r="B266" s="9" t="s">
        <v>3106</v>
      </c>
      <c r="C266" s="9" t="s">
        <v>3107</v>
      </c>
      <c r="D266" s="1" t="s">
        <v>3108</v>
      </c>
      <c r="E266" s="1" t="s">
        <v>72</v>
      </c>
      <c r="F266" s="1" t="s">
        <v>62</v>
      </c>
      <c r="G266" s="1" t="s">
        <v>63</v>
      </c>
      <c r="H266" s="2">
        <v>9830000.0</v>
      </c>
      <c r="I266" s="1">
        <v>30.0</v>
      </c>
      <c r="J266" s="9" t="s">
        <v>97</v>
      </c>
      <c r="K266" s="5">
        <v>46086.0</v>
      </c>
      <c r="L266" s="11" t="s">
        <v>181</v>
      </c>
      <c r="M266" s="11"/>
      <c r="N266" s="4" t="str">
        <f t="shared" si="1"/>
        <v>Daniela Morales Valenzuela</v>
      </c>
      <c r="O266" s="6" t="str">
        <f t="shared" si="2"/>
        <v>20.269.552-1</v>
      </c>
      <c r="P266" s="6" t="str">
        <f t="shared" si="3"/>
        <v>Providencia - Santiago - Región Metropolitana</v>
      </c>
      <c r="Q266" s="4" t="str">
        <f t="shared" si="4"/>
        <v>Inactivo</v>
      </c>
      <c r="R266" s="12" t="str">
        <f t="shared" si="5"/>
        <v>Riesgo Bajo</v>
      </c>
    </row>
    <row r="267">
      <c r="A267" s="1" t="s">
        <v>3109</v>
      </c>
      <c r="B267" s="9" t="s">
        <v>3110</v>
      </c>
      <c r="C267" s="9" t="s">
        <v>3107</v>
      </c>
      <c r="D267" s="1" t="s">
        <v>3111</v>
      </c>
      <c r="E267" s="1" t="s">
        <v>194</v>
      </c>
      <c r="F267" s="1" t="s">
        <v>62</v>
      </c>
      <c r="G267" s="1" t="s">
        <v>63</v>
      </c>
      <c r="H267" s="2">
        <v>1.43E7</v>
      </c>
      <c r="I267" s="1">
        <v>0.0</v>
      </c>
      <c r="J267" s="9" t="s">
        <v>97</v>
      </c>
      <c r="K267" s="5">
        <v>46204.0</v>
      </c>
      <c r="L267" s="11" t="s">
        <v>199</v>
      </c>
      <c r="M267" s="11"/>
      <c r="N267" s="4" t="str">
        <f t="shared" si="1"/>
        <v>Daniela Morales Valenzuela</v>
      </c>
      <c r="O267" s="6" t="str">
        <f t="shared" si="2"/>
        <v>17.962.366-9</v>
      </c>
      <c r="P267" s="6" t="str">
        <f t="shared" si="3"/>
        <v>Las Condes - Santiago - Región Metropolitana</v>
      </c>
      <c r="Q267" s="4" t="str">
        <f t="shared" si="4"/>
        <v>Inactivo</v>
      </c>
      <c r="R267" s="12" t="str">
        <f t="shared" si="5"/>
        <v>Riesgo Bajo</v>
      </c>
    </row>
    <row r="268">
      <c r="A268" s="1" t="s">
        <v>3112</v>
      </c>
      <c r="B268" s="9" t="s">
        <v>3113</v>
      </c>
      <c r="C268" s="9" t="s">
        <v>3115</v>
      </c>
      <c r="D268" s="1" t="s">
        <v>3116</v>
      </c>
      <c r="E268" s="1" t="s">
        <v>61</v>
      </c>
      <c r="F268" s="1" t="s">
        <v>62</v>
      </c>
      <c r="G268" s="1" t="s">
        <v>63</v>
      </c>
      <c r="H268" s="2">
        <v>1.154E7</v>
      </c>
      <c r="I268" s="1">
        <v>90.0</v>
      </c>
      <c r="J268" s="9" t="s">
        <v>97</v>
      </c>
      <c r="K268" s="5">
        <v>46185.0</v>
      </c>
      <c r="L268" s="11" t="s">
        <v>207</v>
      </c>
      <c r="M268" s="11"/>
      <c r="N268" s="4" t="str">
        <f t="shared" si="1"/>
        <v>Daniela Muñoz Araya</v>
      </c>
      <c r="O268" s="6" t="str">
        <f t="shared" si="2"/>
        <v>19.819.983-0</v>
      </c>
      <c r="P268" s="6" t="str">
        <f t="shared" si="3"/>
        <v>Santiago Centro - Santiago - Región Metropolitana</v>
      </c>
      <c r="Q268" s="4" t="str">
        <f t="shared" si="4"/>
        <v>Inactivo</v>
      </c>
      <c r="R268" s="12" t="str">
        <f t="shared" si="5"/>
        <v>Riesgo Medio</v>
      </c>
    </row>
    <row r="269">
      <c r="A269" s="1" t="s">
        <v>3120</v>
      </c>
      <c r="B269" s="9" t="s">
        <v>3122</v>
      </c>
      <c r="C269" s="9" t="s">
        <v>3123</v>
      </c>
      <c r="D269" s="1" t="s">
        <v>3124</v>
      </c>
      <c r="E269" s="1" t="s">
        <v>158</v>
      </c>
      <c r="F269" s="1" t="s">
        <v>158</v>
      </c>
      <c r="G269" s="1" t="s">
        <v>159</v>
      </c>
      <c r="H269" s="2">
        <v>1.278E7</v>
      </c>
      <c r="I269" s="1">
        <v>0.0</v>
      </c>
      <c r="J269" s="9" t="s">
        <v>28</v>
      </c>
      <c r="K269" s="5">
        <v>46225.0</v>
      </c>
      <c r="L269" s="11" t="s">
        <v>160</v>
      </c>
      <c r="M269" s="11"/>
      <c r="N269" s="4" t="str">
        <f t="shared" si="1"/>
        <v>Daniela Muñoz González</v>
      </c>
      <c r="O269" s="6" t="str">
        <f t="shared" si="2"/>
        <v>12406274-K</v>
      </c>
      <c r="P269" s="6" t="str">
        <f t="shared" si="3"/>
        <v>Antofagasta - Antofagasta - Región de Antofagasta</v>
      </c>
      <c r="Q269" s="4" t="str">
        <f t="shared" si="4"/>
        <v>Activo</v>
      </c>
      <c r="R269" s="12" t="str">
        <f t="shared" si="5"/>
        <v>Riesgo Bajo</v>
      </c>
    </row>
    <row r="270">
      <c r="A270" s="1" t="s">
        <v>3128</v>
      </c>
      <c r="B270" s="9" t="s">
        <v>3130</v>
      </c>
      <c r="C270" s="9" t="s">
        <v>3131</v>
      </c>
      <c r="D270" s="1" t="s">
        <v>3124</v>
      </c>
      <c r="E270" s="1" t="s">
        <v>109</v>
      </c>
      <c r="F270" s="1" t="s">
        <v>62</v>
      </c>
      <c r="G270" s="1" t="s">
        <v>63</v>
      </c>
      <c r="H270" s="2">
        <v>4850000.0</v>
      </c>
      <c r="I270" s="1">
        <v>90.0</v>
      </c>
      <c r="J270" s="9" t="s">
        <v>28</v>
      </c>
      <c r="K270" s="5">
        <v>46176.0</v>
      </c>
      <c r="L270" s="11" t="s">
        <v>100</v>
      </c>
      <c r="M270" s="11"/>
      <c r="N270" s="4" t="str">
        <f t="shared" si="1"/>
        <v>Daniela Muñoz Pérez</v>
      </c>
      <c r="O270" s="6" t="str">
        <f t="shared" si="2"/>
        <v>22321388-5</v>
      </c>
      <c r="P270" s="6" t="str">
        <f t="shared" si="3"/>
        <v>Ñuñoa - Santiago - Región Metropolitana</v>
      </c>
      <c r="Q270" s="4" t="str">
        <f t="shared" si="4"/>
        <v>Activo</v>
      </c>
      <c r="R270" s="12" t="str">
        <f t="shared" si="5"/>
        <v>Riesgo Alto</v>
      </c>
    </row>
    <row r="271">
      <c r="A271" s="1" t="s">
        <v>3136</v>
      </c>
      <c r="B271" s="9" t="s">
        <v>3137</v>
      </c>
      <c r="C271" s="9" t="s">
        <v>2347</v>
      </c>
      <c r="D271" s="1" t="s">
        <v>3138</v>
      </c>
      <c r="E271" s="1" t="s">
        <v>18</v>
      </c>
      <c r="F271" s="1" t="s">
        <v>18</v>
      </c>
      <c r="G271" s="1" t="s">
        <v>19</v>
      </c>
      <c r="H271" s="2">
        <v>1.872E7</v>
      </c>
      <c r="I271" s="1">
        <v>0.0</v>
      </c>
      <c r="J271" s="9" t="s">
        <v>28</v>
      </c>
      <c r="K271" s="5">
        <v>46076.0</v>
      </c>
      <c r="L271" s="11" t="s">
        <v>160</v>
      </c>
      <c r="M271" s="11"/>
      <c r="N271" s="4" t="str">
        <f t="shared" si="1"/>
        <v>Daniela Muñoz Valenzuela</v>
      </c>
      <c r="O271" s="6" t="str">
        <f t="shared" si="2"/>
        <v>20.120.349-K</v>
      </c>
      <c r="P271" s="6" t="str">
        <f t="shared" si="3"/>
        <v>La Serena - La Serena - Región de Coquimbo</v>
      </c>
      <c r="Q271" s="4" t="str">
        <f t="shared" si="4"/>
        <v>Activo</v>
      </c>
      <c r="R271" s="12" t="str">
        <f t="shared" si="5"/>
        <v>Riesgo Bajo</v>
      </c>
    </row>
    <row r="272">
      <c r="A272" s="1" t="s">
        <v>3139</v>
      </c>
      <c r="B272" s="9" t="s">
        <v>3140</v>
      </c>
      <c r="C272" s="9" t="s">
        <v>3141</v>
      </c>
      <c r="D272" s="1" t="s">
        <v>3142</v>
      </c>
      <c r="E272" s="1" t="s">
        <v>158</v>
      </c>
      <c r="F272" s="1" t="s">
        <v>158</v>
      </c>
      <c r="G272" s="1" t="s">
        <v>159</v>
      </c>
      <c r="H272" s="2">
        <v>6410000.0</v>
      </c>
      <c r="I272" s="1">
        <v>15.0</v>
      </c>
      <c r="J272" s="9" t="s">
        <v>20</v>
      </c>
      <c r="K272" s="5">
        <v>46101.0</v>
      </c>
      <c r="L272" s="11" t="s">
        <v>160</v>
      </c>
      <c r="M272" s="11"/>
      <c r="N272" s="4" t="str">
        <f t="shared" si="1"/>
        <v>Daniela Pérez Espinoza</v>
      </c>
      <c r="O272" s="6" t="str">
        <f t="shared" si="2"/>
        <v>20.630.690-6</v>
      </c>
      <c r="P272" s="6" t="str">
        <f t="shared" si="3"/>
        <v>Antofagasta - Antofagasta - Región de Antofagasta</v>
      </c>
      <c r="Q272" s="4" t="str">
        <f t="shared" si="4"/>
        <v>En Revisión</v>
      </c>
      <c r="R272" s="12" t="str">
        <f t="shared" si="5"/>
        <v>Riesgo Medio</v>
      </c>
    </row>
    <row r="273">
      <c r="A273" s="1" t="s">
        <v>3151</v>
      </c>
      <c r="B273" s="9" t="s">
        <v>3152</v>
      </c>
      <c r="C273" s="9" t="s">
        <v>3153</v>
      </c>
      <c r="D273" s="1" t="s">
        <v>3154</v>
      </c>
      <c r="E273" s="1" t="s">
        <v>18</v>
      </c>
      <c r="F273" s="1" t="s">
        <v>18</v>
      </c>
      <c r="G273" s="1" t="s">
        <v>19</v>
      </c>
      <c r="H273" s="2">
        <v>1.739E7</v>
      </c>
      <c r="I273" s="1">
        <v>45.0</v>
      </c>
      <c r="J273" s="9" t="s">
        <v>28</v>
      </c>
      <c r="K273" s="5">
        <v>46059.0</v>
      </c>
      <c r="L273" s="11" t="s">
        <v>181</v>
      </c>
      <c r="M273" s="11"/>
      <c r="N273" s="4" t="str">
        <f t="shared" si="1"/>
        <v>Daniela Pérez Rodríguez</v>
      </c>
      <c r="O273" s="6" t="str">
        <f t="shared" si="2"/>
        <v>17.616.164-2</v>
      </c>
      <c r="P273" s="6" t="str">
        <f t="shared" si="3"/>
        <v>La Serena - La Serena - Región de Coquimbo</v>
      </c>
      <c r="Q273" s="4" t="str">
        <f t="shared" si="4"/>
        <v>Activo</v>
      </c>
      <c r="R273" s="12" t="str">
        <f t="shared" si="5"/>
        <v>Riesgo Medio</v>
      </c>
    </row>
    <row r="274">
      <c r="A274" s="1" t="s">
        <v>3158</v>
      </c>
      <c r="B274" s="9" t="s">
        <v>3159</v>
      </c>
      <c r="C274" s="9" t="s">
        <v>3160</v>
      </c>
      <c r="D274" s="1" t="s">
        <v>2050</v>
      </c>
      <c r="E274" s="1" t="s">
        <v>109</v>
      </c>
      <c r="F274" s="1" t="s">
        <v>62</v>
      </c>
      <c r="G274" s="1" t="s">
        <v>63</v>
      </c>
      <c r="H274" s="2">
        <v>1.427E7</v>
      </c>
      <c r="I274" s="1">
        <v>15.0</v>
      </c>
      <c r="J274" s="9" t="s">
        <v>28</v>
      </c>
      <c r="K274" s="5">
        <v>46137.0</v>
      </c>
      <c r="L274" s="11" t="s">
        <v>160</v>
      </c>
      <c r="M274" s="11"/>
      <c r="N274" s="4" t="str">
        <f t="shared" si="1"/>
        <v>Daniela Rodríguez Contreras</v>
      </c>
      <c r="O274" s="6" t="str">
        <f t="shared" si="2"/>
        <v>12.657.047-1</v>
      </c>
      <c r="P274" s="6" t="str">
        <f t="shared" si="3"/>
        <v>Ñuñoa - Santiago - Región Metropolitana</v>
      </c>
      <c r="Q274" s="4" t="str">
        <f t="shared" si="4"/>
        <v>Activo</v>
      </c>
      <c r="R274" s="12" t="str">
        <f t="shared" si="5"/>
        <v>Riesgo Bajo</v>
      </c>
    </row>
    <row r="275">
      <c r="A275" s="1" t="s">
        <v>2046</v>
      </c>
      <c r="B275" s="9" t="s">
        <v>2047</v>
      </c>
      <c r="C275" s="9" t="s">
        <v>3165</v>
      </c>
      <c r="D275" s="1" t="s">
        <v>2050</v>
      </c>
      <c r="E275" s="1" t="s">
        <v>72</v>
      </c>
      <c r="F275" s="1" t="s">
        <v>62</v>
      </c>
      <c r="G275" s="1" t="s">
        <v>63</v>
      </c>
      <c r="H275" s="2">
        <v>5220000.0</v>
      </c>
      <c r="I275" s="1">
        <v>120.0</v>
      </c>
      <c r="J275" s="9" t="s">
        <v>20</v>
      </c>
      <c r="K275" s="5">
        <v>46221.0</v>
      </c>
      <c r="L275" s="11" t="s">
        <v>160</v>
      </c>
      <c r="M275" s="11"/>
      <c r="N275" s="4" t="str">
        <f t="shared" si="1"/>
        <v>Daniela Rodríguez Muñoz</v>
      </c>
      <c r="O275" s="6" t="str">
        <f t="shared" si="2"/>
        <v>18.690.873-3</v>
      </c>
      <c r="P275" s="6" t="str">
        <f t="shared" si="3"/>
        <v>Providencia - Santiago - Región Metropolitana</v>
      </c>
      <c r="Q275" s="4" t="str">
        <f t="shared" si="4"/>
        <v>En Revisión</v>
      </c>
      <c r="R275" s="12" t="str">
        <f t="shared" si="5"/>
        <v>Riesgo Medio</v>
      </c>
    </row>
    <row r="276">
      <c r="A276" s="1" t="s">
        <v>3167</v>
      </c>
      <c r="B276" s="9" t="s">
        <v>3169</v>
      </c>
      <c r="C276" s="9" t="s">
        <v>3165</v>
      </c>
      <c r="D276" s="1" t="s">
        <v>3171</v>
      </c>
      <c r="E276" s="1" t="s">
        <v>26</v>
      </c>
      <c r="F276" s="1" t="s">
        <v>26</v>
      </c>
      <c r="G276" s="1" t="s">
        <v>27</v>
      </c>
      <c r="H276" s="2">
        <v>1.318E7</v>
      </c>
      <c r="I276" s="1">
        <v>15.0</v>
      </c>
      <c r="J276" s="9" t="s">
        <v>20</v>
      </c>
      <c r="K276" s="5">
        <v>46167.0</v>
      </c>
      <c r="L276" s="11" t="s">
        <v>207</v>
      </c>
      <c r="M276" s="11"/>
      <c r="N276" s="4" t="str">
        <f t="shared" si="1"/>
        <v>Daniela Rodríguez Muñoz</v>
      </c>
      <c r="O276" s="6" t="str">
        <f t="shared" si="2"/>
        <v>14106242-5</v>
      </c>
      <c r="P276" s="6" t="str">
        <f t="shared" si="3"/>
        <v>Valparaíso - Valparaíso - Región de Valparaíso</v>
      </c>
      <c r="Q276" s="4" t="str">
        <f t="shared" si="4"/>
        <v>En Revisión</v>
      </c>
      <c r="R276" s="12" t="str">
        <f t="shared" si="5"/>
        <v>Riesgo Medio</v>
      </c>
    </row>
    <row r="277">
      <c r="A277" s="1" t="s">
        <v>335</v>
      </c>
      <c r="B277" s="9" t="s">
        <v>336</v>
      </c>
      <c r="C277" s="9" t="s">
        <v>3178</v>
      </c>
      <c r="D277" s="1" t="s">
        <v>338</v>
      </c>
      <c r="E277" s="1" t="s">
        <v>72</v>
      </c>
      <c r="F277" s="1" t="s">
        <v>62</v>
      </c>
      <c r="G277" s="1" t="s">
        <v>63</v>
      </c>
      <c r="H277" s="2">
        <v>1.836E7</v>
      </c>
      <c r="I277" s="1">
        <v>0.0</v>
      </c>
      <c r="J277" s="9" t="s">
        <v>20</v>
      </c>
      <c r="K277" s="5">
        <v>46224.0</v>
      </c>
      <c r="L277" s="11" t="s">
        <v>160</v>
      </c>
      <c r="M277" s="11"/>
      <c r="N277" s="4" t="str">
        <f t="shared" si="1"/>
        <v>Daniela Rodríguez Pérez</v>
      </c>
      <c r="O277" s="6" t="str">
        <f t="shared" si="2"/>
        <v>21.890.262-5</v>
      </c>
      <c r="P277" s="6" t="str">
        <f t="shared" si="3"/>
        <v>Providencia - Santiago - Región Metropolitana</v>
      </c>
      <c r="Q277" s="4" t="str">
        <f t="shared" si="4"/>
        <v>En Revisión</v>
      </c>
      <c r="R277" s="12" t="str">
        <f t="shared" si="5"/>
        <v>Riesgo Medio</v>
      </c>
    </row>
    <row r="278">
      <c r="A278" s="1" t="s">
        <v>3179</v>
      </c>
      <c r="B278" s="9" t="s">
        <v>3180</v>
      </c>
      <c r="C278" s="9" t="s">
        <v>3182</v>
      </c>
      <c r="D278" s="1" t="s">
        <v>3183</v>
      </c>
      <c r="E278" s="1" t="s">
        <v>39</v>
      </c>
      <c r="F278" s="1" t="s">
        <v>39</v>
      </c>
      <c r="G278" s="1" t="s">
        <v>40</v>
      </c>
      <c r="H278" s="2">
        <v>3420000.0</v>
      </c>
      <c r="I278" s="1">
        <v>120.0</v>
      </c>
      <c r="J278" s="9" t="s">
        <v>20</v>
      </c>
      <c r="K278" s="5">
        <v>46073.0</v>
      </c>
      <c r="L278" s="11" t="s">
        <v>207</v>
      </c>
      <c r="M278" s="11"/>
      <c r="N278" s="4" t="str">
        <f t="shared" si="1"/>
        <v>Daniela Rojas Contreras</v>
      </c>
      <c r="O278" s="6" t="str">
        <f t="shared" si="2"/>
        <v>16568734-5</v>
      </c>
      <c r="P278" s="6" t="str">
        <f t="shared" si="3"/>
        <v>Concepción - Concepción - Región del Biobío</v>
      </c>
      <c r="Q278" s="4" t="str">
        <f t="shared" si="4"/>
        <v>En Revisión</v>
      </c>
      <c r="R278" s="12" t="str">
        <f t="shared" si="5"/>
        <v>Riesgo Medio</v>
      </c>
    </row>
    <row r="279">
      <c r="A279" s="1" t="s">
        <v>3184</v>
      </c>
      <c r="B279" s="9" t="s">
        <v>3186</v>
      </c>
      <c r="C279" s="9" t="s">
        <v>3188</v>
      </c>
      <c r="D279" s="1" t="s">
        <v>3189</v>
      </c>
      <c r="E279" s="1" t="s">
        <v>61</v>
      </c>
      <c r="F279" s="1" t="s">
        <v>62</v>
      </c>
      <c r="G279" s="1" t="s">
        <v>63</v>
      </c>
      <c r="H279" s="2">
        <v>1.911E7</v>
      </c>
      <c r="I279" s="1">
        <v>30.0</v>
      </c>
      <c r="J279" s="9" t="s">
        <v>28</v>
      </c>
      <c r="K279" s="5">
        <v>46126.0</v>
      </c>
      <c r="L279" s="11" t="s">
        <v>100</v>
      </c>
      <c r="M279" s="11"/>
      <c r="N279" s="4" t="str">
        <f t="shared" si="1"/>
        <v>Daniela Sepúlveda Morales</v>
      </c>
      <c r="O279" s="6" t="str">
        <f t="shared" si="2"/>
        <v>14.622.252-K</v>
      </c>
      <c r="P279" s="6" t="str">
        <f t="shared" si="3"/>
        <v>Santiago Centro - Santiago - Región Metropolitana</v>
      </c>
      <c r="Q279" s="4" t="str">
        <f t="shared" si="4"/>
        <v>Activo</v>
      </c>
      <c r="R279" s="12" t="str">
        <f t="shared" si="5"/>
        <v>Riesgo Bajo</v>
      </c>
    </row>
    <row r="280">
      <c r="A280" s="1" t="s">
        <v>784</v>
      </c>
      <c r="B280" s="9" t="s">
        <v>785</v>
      </c>
      <c r="C280" s="9" t="s">
        <v>786</v>
      </c>
      <c r="D280" s="1" t="s">
        <v>788</v>
      </c>
      <c r="E280" s="1" t="s">
        <v>25</v>
      </c>
      <c r="F280" s="1" t="s">
        <v>26</v>
      </c>
      <c r="G280" s="1" t="s">
        <v>27</v>
      </c>
      <c r="H280" s="2">
        <v>2.095E7</v>
      </c>
      <c r="I280" s="1">
        <v>30.0</v>
      </c>
      <c r="J280" s="9" t="s">
        <v>97</v>
      </c>
      <c r="K280" s="5">
        <v>46128.0</v>
      </c>
      <c r="L280" s="11" t="s">
        <v>207</v>
      </c>
      <c r="M280" s="11"/>
      <c r="N280" s="4" t="str">
        <f t="shared" si="1"/>
        <v>Daniela Sepúlveda Pérez</v>
      </c>
      <c r="O280" s="6" t="str">
        <f t="shared" si="2"/>
        <v>17.257.650-4</v>
      </c>
      <c r="P280" s="6" t="str">
        <f t="shared" si="3"/>
        <v>Viña del Mar - Valparaíso - Región de Valparaíso</v>
      </c>
      <c r="Q280" s="4" t="str">
        <f t="shared" si="4"/>
        <v>Inactivo</v>
      </c>
      <c r="R280" s="12" t="str">
        <f t="shared" si="5"/>
        <v>Riesgo Bajo</v>
      </c>
    </row>
    <row r="281">
      <c r="A281" s="1" t="s">
        <v>1899</v>
      </c>
      <c r="B281" s="9" t="s">
        <v>1900</v>
      </c>
      <c r="C281" s="9" t="s">
        <v>1901</v>
      </c>
      <c r="D281" s="1" t="s">
        <v>1902</v>
      </c>
      <c r="E281" s="1" t="s">
        <v>33</v>
      </c>
      <c r="F281" s="1" t="s">
        <v>33</v>
      </c>
      <c r="G281" s="1" t="s">
        <v>34</v>
      </c>
      <c r="H281" s="2">
        <v>1.442E7</v>
      </c>
      <c r="I281" s="1">
        <v>120.0</v>
      </c>
      <c r="J281" s="9" t="s">
        <v>20</v>
      </c>
      <c r="K281" s="5">
        <v>46049.0</v>
      </c>
      <c r="L281" s="11" t="s">
        <v>207</v>
      </c>
      <c r="M281" s="11"/>
      <c r="N281" s="4" t="str">
        <f t="shared" si="1"/>
        <v>Daniela Silva Tapia</v>
      </c>
      <c r="O281" s="6" t="str">
        <f t="shared" si="2"/>
        <v>13536070-0</v>
      </c>
      <c r="P281" s="6" t="str">
        <f t="shared" si="3"/>
        <v>Puerto Montt - Puerto Montt - Región de Los Lagos</v>
      </c>
      <c r="Q281" s="4" t="str">
        <f t="shared" si="4"/>
        <v>En Revisión</v>
      </c>
      <c r="R281" s="12" t="str">
        <f t="shared" si="5"/>
        <v>Riesgo Medio</v>
      </c>
    </row>
    <row r="282">
      <c r="A282" s="1" t="s">
        <v>3198</v>
      </c>
      <c r="B282" s="9" t="s">
        <v>3199</v>
      </c>
      <c r="C282" s="9" t="s">
        <v>3200</v>
      </c>
      <c r="D282" s="1" t="s">
        <v>3201</v>
      </c>
      <c r="E282" s="1" t="s">
        <v>109</v>
      </c>
      <c r="F282" s="1" t="s">
        <v>62</v>
      </c>
      <c r="G282" s="1" t="s">
        <v>63</v>
      </c>
      <c r="H282" s="2">
        <v>1.3E7</v>
      </c>
      <c r="I282" s="1">
        <v>15.0</v>
      </c>
      <c r="J282" s="9" t="s">
        <v>20</v>
      </c>
      <c r="K282" s="5">
        <v>46189.0</v>
      </c>
      <c r="L282" s="11" t="s">
        <v>100</v>
      </c>
      <c r="M282" s="11"/>
      <c r="N282" s="4" t="str">
        <f t="shared" si="1"/>
        <v>Daniela Soto Vergara</v>
      </c>
      <c r="O282" s="6" t="str">
        <f t="shared" si="2"/>
        <v>16333000-K</v>
      </c>
      <c r="P282" s="6" t="str">
        <f t="shared" si="3"/>
        <v>Ñuñoa - Santiago - Región Metropolitana</v>
      </c>
      <c r="Q282" s="4" t="str">
        <f t="shared" si="4"/>
        <v>En Revisión</v>
      </c>
      <c r="R282" s="12" t="str">
        <f t="shared" si="5"/>
        <v>Riesgo Medio</v>
      </c>
    </row>
    <row r="283">
      <c r="A283" s="1" t="s">
        <v>3203</v>
      </c>
      <c r="B283" s="9" t="s">
        <v>3204</v>
      </c>
      <c r="C283" s="9" t="s">
        <v>3205</v>
      </c>
      <c r="D283" s="1" t="s">
        <v>3206</v>
      </c>
      <c r="E283" s="1" t="s">
        <v>72</v>
      </c>
      <c r="F283" s="1" t="s">
        <v>62</v>
      </c>
      <c r="G283" s="1" t="s">
        <v>63</v>
      </c>
      <c r="H283" s="2">
        <v>1.652E7</v>
      </c>
      <c r="I283" s="1">
        <v>0.0</v>
      </c>
      <c r="J283" s="9" t="s">
        <v>28</v>
      </c>
      <c r="K283" s="5">
        <v>46200.0</v>
      </c>
      <c r="L283" s="11" t="s">
        <v>207</v>
      </c>
      <c r="M283" s="11"/>
      <c r="N283" s="4" t="str">
        <f t="shared" si="1"/>
        <v>Daniela Tapia Tapia</v>
      </c>
      <c r="O283" s="6" t="str">
        <f t="shared" si="2"/>
        <v>13.089.278-7</v>
      </c>
      <c r="P283" s="6" t="str">
        <f t="shared" si="3"/>
        <v>Providencia - Santiago - Región Metropolitana</v>
      </c>
      <c r="Q283" s="4" t="str">
        <f t="shared" si="4"/>
        <v>Activo</v>
      </c>
      <c r="R283" s="12" t="str">
        <f t="shared" si="5"/>
        <v>Riesgo Bajo</v>
      </c>
    </row>
    <row r="284">
      <c r="A284" s="1" t="s">
        <v>1413</v>
      </c>
      <c r="B284" s="9" t="s">
        <v>1414</v>
      </c>
      <c r="C284" s="9" t="s">
        <v>1416</v>
      </c>
      <c r="D284" s="1" t="s">
        <v>1417</v>
      </c>
      <c r="E284" s="1" t="s">
        <v>39</v>
      </c>
      <c r="F284" s="1" t="s">
        <v>39</v>
      </c>
      <c r="G284" s="1" t="s">
        <v>40</v>
      </c>
      <c r="H284" s="2">
        <v>1.706E7</v>
      </c>
      <c r="I284" s="1">
        <v>0.0</v>
      </c>
      <c r="J284" s="9" t="s">
        <v>28</v>
      </c>
      <c r="K284" s="5">
        <v>46205.0</v>
      </c>
      <c r="L284" s="11" t="s">
        <v>100</v>
      </c>
      <c r="M284" s="11"/>
      <c r="N284" s="4" t="str">
        <f t="shared" si="1"/>
        <v>Daniela Valenzuela Morales</v>
      </c>
      <c r="O284" s="6" t="str">
        <f t="shared" si="2"/>
        <v>18.058.116-0</v>
      </c>
      <c r="P284" s="6" t="str">
        <f t="shared" si="3"/>
        <v>Concepción - Concepción - Región del Biobío</v>
      </c>
      <c r="Q284" s="4" t="str">
        <f t="shared" si="4"/>
        <v>Activo</v>
      </c>
      <c r="R284" s="12" t="str">
        <f t="shared" si="5"/>
        <v>Riesgo Bajo</v>
      </c>
    </row>
    <row r="285">
      <c r="A285" s="1" t="s">
        <v>736</v>
      </c>
      <c r="B285" s="9" t="s">
        <v>738</v>
      </c>
      <c r="C285" s="9" t="s">
        <v>3215</v>
      </c>
      <c r="D285" s="1" t="s">
        <v>740</v>
      </c>
      <c r="E285" s="1" t="s">
        <v>158</v>
      </c>
      <c r="F285" s="1" t="s">
        <v>158</v>
      </c>
      <c r="G285" s="1" t="s">
        <v>159</v>
      </c>
      <c r="H285" s="2">
        <v>2.055E7</v>
      </c>
      <c r="I285" s="1">
        <v>15.0</v>
      </c>
      <c r="J285" s="9" t="s">
        <v>28</v>
      </c>
      <c r="K285" s="5">
        <v>46064.0</v>
      </c>
      <c r="L285" s="11" t="s">
        <v>160</v>
      </c>
      <c r="M285" s="11"/>
      <c r="N285" s="4" t="str">
        <f t="shared" si="1"/>
        <v>Daniela Valenzuela Rodríguez</v>
      </c>
      <c r="O285" s="6" t="str">
        <f t="shared" si="2"/>
        <v>20336972-4</v>
      </c>
      <c r="P285" s="6" t="str">
        <f t="shared" si="3"/>
        <v>Antofagasta - Antofagasta - Región de Antofagasta</v>
      </c>
      <c r="Q285" s="4" t="str">
        <f t="shared" si="4"/>
        <v>Activo</v>
      </c>
      <c r="R285" s="12" t="str">
        <f t="shared" si="5"/>
        <v>Riesgo Bajo</v>
      </c>
    </row>
    <row r="286">
      <c r="A286" s="1" t="s">
        <v>3220</v>
      </c>
      <c r="B286" s="9" t="s">
        <v>3221</v>
      </c>
      <c r="C286" s="9" t="s">
        <v>3222</v>
      </c>
      <c r="D286" s="1" t="s">
        <v>3223</v>
      </c>
      <c r="E286" s="1" t="s">
        <v>33</v>
      </c>
      <c r="F286" s="1" t="s">
        <v>33</v>
      </c>
      <c r="G286" s="1" t="s">
        <v>34</v>
      </c>
      <c r="H286" s="2">
        <v>2.127E7</v>
      </c>
      <c r="I286" s="1">
        <v>30.0</v>
      </c>
      <c r="J286" s="9" t="s">
        <v>97</v>
      </c>
      <c r="K286" s="5">
        <v>46067.0</v>
      </c>
      <c r="L286" s="11" t="s">
        <v>181</v>
      </c>
      <c r="M286" s="11"/>
      <c r="N286" s="4" t="str">
        <f t="shared" si="1"/>
        <v>Daniela Vergara Soto</v>
      </c>
      <c r="O286" s="6" t="str">
        <f t="shared" si="2"/>
        <v>22.218.806-5</v>
      </c>
      <c r="P286" s="6" t="str">
        <f t="shared" si="3"/>
        <v>Puerto Montt - Puerto Montt - Región de Los Lagos</v>
      </c>
      <c r="Q286" s="4" t="str">
        <f t="shared" si="4"/>
        <v>Inactivo</v>
      </c>
      <c r="R286" s="12" t="str">
        <f t="shared" si="5"/>
        <v>Riesgo Bajo</v>
      </c>
    </row>
    <row r="287">
      <c r="A287" s="1" t="s">
        <v>3228</v>
      </c>
      <c r="B287" s="9" t="s">
        <v>3229</v>
      </c>
      <c r="C287" s="9" t="s">
        <v>3230</v>
      </c>
      <c r="D287" s="1" t="s">
        <v>1598</v>
      </c>
      <c r="E287" s="1" t="s">
        <v>194</v>
      </c>
      <c r="F287" s="1" t="s">
        <v>62</v>
      </c>
      <c r="G287" s="1" t="s">
        <v>63</v>
      </c>
      <c r="H287" s="2">
        <v>6360000.0</v>
      </c>
      <c r="I287" s="1">
        <v>90.0</v>
      </c>
      <c r="J287" s="9" t="s">
        <v>28</v>
      </c>
      <c r="K287" s="5">
        <v>46072.0</v>
      </c>
      <c r="L287" s="11" t="s">
        <v>199</v>
      </c>
      <c r="M287" s="11"/>
      <c r="N287" s="4" t="str">
        <f t="shared" si="1"/>
        <v>Diego Araya Espinoza</v>
      </c>
      <c r="O287" s="6" t="str">
        <f t="shared" si="2"/>
        <v>11158641-2</v>
      </c>
      <c r="P287" s="6" t="str">
        <f t="shared" si="3"/>
        <v>Las Condes - Santiago - Región Metropolitana</v>
      </c>
      <c r="Q287" s="4" t="str">
        <f t="shared" si="4"/>
        <v>Activo</v>
      </c>
      <c r="R287" s="12" t="str">
        <f t="shared" si="5"/>
        <v>Riesgo Alto</v>
      </c>
    </row>
    <row r="288">
      <c r="A288" s="1" t="s">
        <v>1595</v>
      </c>
      <c r="B288" s="9" t="s">
        <v>1596</v>
      </c>
      <c r="C288" s="9" t="s">
        <v>3235</v>
      </c>
      <c r="D288" s="1" t="s">
        <v>1598</v>
      </c>
      <c r="E288" s="1" t="s">
        <v>194</v>
      </c>
      <c r="F288" s="1" t="s">
        <v>62</v>
      </c>
      <c r="G288" s="1" t="s">
        <v>63</v>
      </c>
      <c r="H288" s="2">
        <v>1.971E7</v>
      </c>
      <c r="I288" s="1">
        <v>90.0</v>
      </c>
      <c r="J288" s="9" t="s">
        <v>20</v>
      </c>
      <c r="K288" s="5">
        <v>46050.0</v>
      </c>
      <c r="L288" s="11" t="s">
        <v>207</v>
      </c>
      <c r="M288" s="11"/>
      <c r="N288" s="4" t="str">
        <f t="shared" si="1"/>
        <v>Diego Araya López</v>
      </c>
      <c r="O288" s="6" t="str">
        <f t="shared" si="2"/>
        <v>15.480.982-0</v>
      </c>
      <c r="P288" s="6" t="str">
        <f t="shared" si="3"/>
        <v>Las Condes - Santiago - Región Metropolitana</v>
      </c>
      <c r="Q288" s="4" t="str">
        <f t="shared" si="4"/>
        <v>En Revisión</v>
      </c>
      <c r="R288" s="12" t="str">
        <f t="shared" si="5"/>
        <v>Riesgo Medio</v>
      </c>
    </row>
    <row r="289">
      <c r="A289" s="1" t="s">
        <v>3237</v>
      </c>
      <c r="B289" s="9" t="s">
        <v>3238</v>
      </c>
      <c r="C289" s="9" t="s">
        <v>3239</v>
      </c>
      <c r="D289" s="1" t="s">
        <v>3240</v>
      </c>
      <c r="E289" s="1" t="s">
        <v>194</v>
      </c>
      <c r="F289" s="1" t="s">
        <v>62</v>
      </c>
      <c r="G289" s="1" t="s">
        <v>63</v>
      </c>
      <c r="H289" s="2">
        <v>2.193E7</v>
      </c>
      <c r="I289" s="1">
        <v>15.0</v>
      </c>
      <c r="J289" s="9" t="s">
        <v>97</v>
      </c>
      <c r="K289" s="5">
        <v>46220.0</v>
      </c>
      <c r="L289" s="11" t="s">
        <v>160</v>
      </c>
      <c r="M289" s="11"/>
      <c r="N289" s="4" t="str">
        <f t="shared" si="1"/>
        <v>Diego Araya Morales</v>
      </c>
      <c r="O289" s="6" t="str">
        <f t="shared" si="2"/>
        <v>15.570.317-9</v>
      </c>
      <c r="P289" s="6" t="str">
        <f t="shared" si="3"/>
        <v>Las Condes - Santiago - Región Metropolitana</v>
      </c>
      <c r="Q289" s="4" t="str">
        <f t="shared" si="4"/>
        <v>Inactivo</v>
      </c>
      <c r="R289" s="12" t="str">
        <f t="shared" si="5"/>
        <v>Riesgo Bajo</v>
      </c>
    </row>
    <row r="290">
      <c r="A290" s="1" t="s">
        <v>1546</v>
      </c>
      <c r="B290" s="9" t="s">
        <v>1547</v>
      </c>
      <c r="C290" s="9" t="s">
        <v>1548</v>
      </c>
      <c r="D290" s="1" t="s">
        <v>1549</v>
      </c>
      <c r="E290" s="1" t="s">
        <v>26</v>
      </c>
      <c r="F290" s="1" t="s">
        <v>26</v>
      </c>
      <c r="G290" s="1" t="s">
        <v>27</v>
      </c>
      <c r="H290" s="2">
        <v>6060000.0</v>
      </c>
      <c r="I290" s="1">
        <v>120.0</v>
      </c>
      <c r="J290" s="9" t="s">
        <v>20</v>
      </c>
      <c r="K290" s="5">
        <v>46107.0</v>
      </c>
      <c r="L290" s="11" t="s">
        <v>100</v>
      </c>
      <c r="M290" s="11"/>
      <c r="N290" s="4" t="str">
        <f t="shared" si="1"/>
        <v>Diego Araya Vergara</v>
      </c>
      <c r="O290" s="6" t="str">
        <f t="shared" si="2"/>
        <v>21.940.732-9</v>
      </c>
      <c r="P290" s="6" t="str">
        <f t="shared" si="3"/>
        <v>Valparaíso - Valparaíso - Región de Valparaíso</v>
      </c>
      <c r="Q290" s="4" t="str">
        <f t="shared" si="4"/>
        <v>En Revisión</v>
      </c>
      <c r="R290" s="12" t="str">
        <f t="shared" si="5"/>
        <v>Riesgo Medio</v>
      </c>
    </row>
    <row r="291">
      <c r="A291" s="1" t="s">
        <v>3055</v>
      </c>
      <c r="B291" s="9" t="s">
        <v>3057</v>
      </c>
      <c r="C291" s="9" t="s">
        <v>3059</v>
      </c>
      <c r="D291" s="1" t="s">
        <v>3061</v>
      </c>
      <c r="E291" s="1" t="s">
        <v>194</v>
      </c>
      <c r="F291" s="1" t="s">
        <v>62</v>
      </c>
      <c r="G291" s="1" t="s">
        <v>63</v>
      </c>
      <c r="H291" s="2">
        <v>1.636E7</v>
      </c>
      <c r="I291" s="1">
        <v>90.0</v>
      </c>
      <c r="J291" s="9" t="s">
        <v>20</v>
      </c>
      <c r="K291" s="5">
        <v>46223.0</v>
      </c>
      <c r="L291" s="11" t="s">
        <v>160</v>
      </c>
      <c r="M291" s="11"/>
      <c r="N291" s="4" t="str">
        <f t="shared" si="1"/>
        <v>Diego Contreras Araya</v>
      </c>
      <c r="O291" s="6" t="str">
        <f t="shared" si="2"/>
        <v>14084888-K</v>
      </c>
      <c r="P291" s="6" t="str">
        <f t="shared" si="3"/>
        <v>Las Condes - Santiago - Región Metropolitana</v>
      </c>
      <c r="Q291" s="4" t="str">
        <f t="shared" si="4"/>
        <v>En Revisión</v>
      </c>
      <c r="R291" s="12" t="str">
        <f t="shared" si="5"/>
        <v>Riesgo Medio</v>
      </c>
    </row>
    <row r="292">
      <c r="A292" s="1" t="s">
        <v>208</v>
      </c>
      <c r="B292" s="9" t="s">
        <v>209</v>
      </c>
      <c r="C292" s="9" t="s">
        <v>3253</v>
      </c>
      <c r="D292" s="1" t="s">
        <v>211</v>
      </c>
      <c r="E292" s="1" t="s">
        <v>25</v>
      </c>
      <c r="F292" s="1" t="s">
        <v>26</v>
      </c>
      <c r="G292" s="1" t="s">
        <v>27</v>
      </c>
      <c r="H292" s="2">
        <v>1.956E7</v>
      </c>
      <c r="I292" s="1">
        <v>60.0</v>
      </c>
      <c r="J292" s="9" t="s">
        <v>97</v>
      </c>
      <c r="K292" s="5">
        <v>46056.0</v>
      </c>
      <c r="L292" s="11" t="s">
        <v>160</v>
      </c>
      <c r="M292" s="11"/>
      <c r="N292" s="4" t="str">
        <f t="shared" si="1"/>
        <v>Diego Díaz Fuentes</v>
      </c>
      <c r="O292" s="6" t="str">
        <f t="shared" si="2"/>
        <v>15.180.463-K</v>
      </c>
      <c r="P292" s="6" t="str">
        <f t="shared" si="3"/>
        <v>Viña del Mar - Valparaíso - Región de Valparaíso</v>
      </c>
      <c r="Q292" s="4" t="str">
        <f t="shared" si="4"/>
        <v>Inactivo</v>
      </c>
      <c r="R292" s="12" t="str">
        <f t="shared" si="5"/>
        <v>Riesgo Medio</v>
      </c>
    </row>
    <row r="293">
      <c r="A293" s="1" t="s">
        <v>3254</v>
      </c>
      <c r="B293" s="9" t="s">
        <v>3255</v>
      </c>
      <c r="C293" s="9" t="s">
        <v>3256</v>
      </c>
      <c r="D293" s="1" t="s">
        <v>3257</v>
      </c>
      <c r="E293" s="1" t="s">
        <v>26</v>
      </c>
      <c r="F293" s="1" t="s">
        <v>26</v>
      </c>
      <c r="G293" s="1" t="s">
        <v>27</v>
      </c>
      <c r="H293" s="2">
        <v>1.205E7</v>
      </c>
      <c r="I293" s="1">
        <v>30.0</v>
      </c>
      <c r="J293" s="9" t="s">
        <v>20</v>
      </c>
      <c r="K293" s="5">
        <v>46029.0</v>
      </c>
      <c r="L293" s="11" t="s">
        <v>181</v>
      </c>
      <c r="M293" s="11"/>
      <c r="N293" s="4" t="str">
        <f t="shared" si="1"/>
        <v>Diego Espinoza Silva</v>
      </c>
      <c r="O293" s="6" t="str">
        <f t="shared" si="2"/>
        <v>13.745.009-7</v>
      </c>
      <c r="P293" s="6" t="str">
        <f t="shared" si="3"/>
        <v>Valparaíso - Valparaíso - Región de Valparaíso</v>
      </c>
      <c r="Q293" s="4" t="str">
        <f t="shared" si="4"/>
        <v>En Revisión</v>
      </c>
      <c r="R293" s="12" t="str">
        <f t="shared" si="5"/>
        <v>Riesgo Medio</v>
      </c>
    </row>
    <row r="294">
      <c r="A294" s="1" t="s">
        <v>123</v>
      </c>
      <c r="B294" s="9" t="s">
        <v>124</v>
      </c>
      <c r="C294" s="9" t="s">
        <v>125</v>
      </c>
      <c r="D294" s="1" t="s">
        <v>126</v>
      </c>
      <c r="E294" s="1" t="s">
        <v>109</v>
      </c>
      <c r="F294" s="1" t="s">
        <v>62</v>
      </c>
      <c r="G294" s="1" t="s">
        <v>63</v>
      </c>
      <c r="H294" s="2">
        <v>1710000.0</v>
      </c>
      <c r="I294" s="1">
        <v>15.0</v>
      </c>
      <c r="J294" s="9" t="s">
        <v>28</v>
      </c>
      <c r="K294" s="5">
        <v>46159.0</v>
      </c>
      <c r="L294" s="11" t="s">
        <v>160</v>
      </c>
      <c r="M294" s="11"/>
      <c r="N294" s="4" t="str">
        <f t="shared" si="1"/>
        <v>Diego Espinoza Valenzuela</v>
      </c>
      <c r="O294" s="6" t="str">
        <f t="shared" si="2"/>
        <v>22.082.736-1</v>
      </c>
      <c r="P294" s="6" t="str">
        <f t="shared" si="3"/>
        <v>Ñuñoa - Santiago - Región Metropolitana</v>
      </c>
      <c r="Q294" s="4" t="str">
        <f t="shared" si="4"/>
        <v>Activo</v>
      </c>
      <c r="R294" s="12" t="str">
        <f t="shared" si="5"/>
        <v>Riesgo Bajo</v>
      </c>
    </row>
    <row r="295">
      <c r="A295" s="1" t="s">
        <v>3266</v>
      </c>
      <c r="B295" s="9" t="s">
        <v>3267</v>
      </c>
      <c r="C295" s="9" t="s">
        <v>3268</v>
      </c>
      <c r="D295" s="1" t="s">
        <v>126</v>
      </c>
      <c r="E295" s="1" t="s">
        <v>72</v>
      </c>
      <c r="F295" s="1" t="s">
        <v>62</v>
      </c>
      <c r="G295" s="1" t="s">
        <v>63</v>
      </c>
      <c r="H295" s="2">
        <v>1.752E7</v>
      </c>
      <c r="I295" s="1">
        <v>60.0</v>
      </c>
      <c r="J295" s="9" t="s">
        <v>97</v>
      </c>
      <c r="K295" s="5">
        <v>46165.0</v>
      </c>
      <c r="L295" s="11" t="s">
        <v>160</v>
      </c>
      <c r="M295" s="11"/>
      <c r="N295" s="4" t="str">
        <f t="shared" si="1"/>
        <v>Diego Espinoza Vergara</v>
      </c>
      <c r="O295" s="6" t="str">
        <f t="shared" si="2"/>
        <v>15.205.400-3</v>
      </c>
      <c r="P295" s="6" t="str">
        <f t="shared" si="3"/>
        <v>Providencia - Santiago - Región Metropolitana</v>
      </c>
      <c r="Q295" s="4" t="str">
        <f t="shared" si="4"/>
        <v>Inactivo</v>
      </c>
      <c r="R295" s="12" t="str">
        <f t="shared" si="5"/>
        <v>Riesgo Medio</v>
      </c>
    </row>
    <row r="296">
      <c r="A296" s="1" t="s">
        <v>95</v>
      </c>
      <c r="B296" s="9" t="s">
        <v>96</v>
      </c>
      <c r="C296" s="9" t="s">
        <v>98</v>
      </c>
      <c r="D296" s="1" t="s">
        <v>99</v>
      </c>
      <c r="E296" s="1" t="s">
        <v>33</v>
      </c>
      <c r="F296" s="1" t="s">
        <v>33</v>
      </c>
      <c r="G296" s="1" t="s">
        <v>34</v>
      </c>
      <c r="H296" s="2">
        <v>8750000.0</v>
      </c>
      <c r="I296" s="1">
        <v>60.0</v>
      </c>
      <c r="J296" s="9" t="s">
        <v>28</v>
      </c>
      <c r="K296" s="5">
        <v>46043.0</v>
      </c>
      <c r="L296" s="11" t="s">
        <v>207</v>
      </c>
      <c r="M296" s="11"/>
      <c r="N296" s="4" t="str">
        <f t="shared" si="1"/>
        <v>Diego Fuentes Araya</v>
      </c>
      <c r="O296" s="6" t="str">
        <f t="shared" si="2"/>
        <v>14.790.263-0</v>
      </c>
      <c r="P296" s="6" t="str">
        <f t="shared" si="3"/>
        <v>Puerto Montt - Puerto Montt - Región de Los Lagos</v>
      </c>
      <c r="Q296" s="4" t="str">
        <f t="shared" si="4"/>
        <v>Activo</v>
      </c>
      <c r="R296" s="12" t="str">
        <f t="shared" si="5"/>
        <v>Riesgo Medio</v>
      </c>
    </row>
    <row r="297">
      <c r="A297" s="1" t="s">
        <v>3276</v>
      </c>
      <c r="B297" s="9" t="s">
        <v>3278</v>
      </c>
      <c r="C297" s="9" t="s">
        <v>3279</v>
      </c>
      <c r="D297" s="1" t="s">
        <v>3281</v>
      </c>
      <c r="E297" s="1" t="s">
        <v>194</v>
      </c>
      <c r="F297" s="1" t="s">
        <v>62</v>
      </c>
      <c r="G297" s="1" t="s">
        <v>63</v>
      </c>
      <c r="H297" s="2">
        <v>7860000.0</v>
      </c>
      <c r="I297" s="1">
        <v>0.0</v>
      </c>
      <c r="J297" s="9" t="s">
        <v>28</v>
      </c>
      <c r="K297" s="5">
        <v>46130.0</v>
      </c>
      <c r="L297" s="11" t="s">
        <v>160</v>
      </c>
      <c r="M297" s="11"/>
      <c r="N297" s="4" t="str">
        <f t="shared" si="1"/>
        <v>Diego Fuentes Rodríguez</v>
      </c>
      <c r="O297" s="6" t="str">
        <f t="shared" si="2"/>
        <v>18108370-2</v>
      </c>
      <c r="P297" s="6" t="str">
        <f t="shared" si="3"/>
        <v>Las Condes - Santiago - Región Metropolitana</v>
      </c>
      <c r="Q297" s="4" t="str">
        <f t="shared" si="4"/>
        <v>Activo</v>
      </c>
      <c r="R297" s="12" t="str">
        <f t="shared" si="5"/>
        <v>Riesgo Bajo</v>
      </c>
    </row>
    <row r="298">
      <c r="A298" s="1" t="s">
        <v>1080</v>
      </c>
      <c r="B298" s="9" t="s">
        <v>1081</v>
      </c>
      <c r="C298" s="9" t="s">
        <v>1082</v>
      </c>
      <c r="D298" s="1" t="s">
        <v>1083</v>
      </c>
      <c r="E298" s="1" t="s">
        <v>33</v>
      </c>
      <c r="F298" s="1" t="s">
        <v>33</v>
      </c>
      <c r="G298" s="1" t="s">
        <v>34</v>
      </c>
      <c r="H298" s="2">
        <v>1.897E7</v>
      </c>
      <c r="I298" s="1">
        <v>30.0</v>
      </c>
      <c r="J298" s="9" t="s">
        <v>20</v>
      </c>
      <c r="K298" s="5">
        <v>46106.0</v>
      </c>
      <c r="L298" s="11" t="s">
        <v>207</v>
      </c>
      <c r="M298" s="11"/>
      <c r="N298" s="4" t="str">
        <f t="shared" si="1"/>
        <v>Diego Fuentes Silva</v>
      </c>
      <c r="O298" s="6" t="str">
        <f t="shared" si="2"/>
        <v>17.577.741-3</v>
      </c>
      <c r="P298" s="6" t="str">
        <f t="shared" si="3"/>
        <v>Puerto Montt - Puerto Montt - Región de Los Lagos</v>
      </c>
      <c r="Q298" s="4" t="str">
        <f t="shared" si="4"/>
        <v>En Revisión</v>
      </c>
      <c r="R298" s="12" t="str">
        <f t="shared" si="5"/>
        <v>Riesgo Medio</v>
      </c>
    </row>
    <row r="299">
      <c r="A299" s="1" t="s">
        <v>182</v>
      </c>
      <c r="B299" s="9" t="s">
        <v>183</v>
      </c>
      <c r="C299" s="9" t="s">
        <v>3287</v>
      </c>
      <c r="D299" s="1" t="s">
        <v>185</v>
      </c>
      <c r="E299" s="1" t="s">
        <v>56</v>
      </c>
      <c r="F299" s="1" t="s">
        <v>39</v>
      </c>
      <c r="G299" s="1" t="s">
        <v>40</v>
      </c>
      <c r="H299" s="2">
        <v>1.473E7</v>
      </c>
      <c r="I299" s="1">
        <v>120.0</v>
      </c>
      <c r="J299" s="9" t="s">
        <v>20</v>
      </c>
      <c r="K299" s="5">
        <v>46092.0</v>
      </c>
      <c r="L299" s="11" t="s">
        <v>100</v>
      </c>
      <c r="M299" s="11"/>
      <c r="N299" s="4" t="str">
        <f t="shared" si="1"/>
        <v>Diego González Sepúlveda</v>
      </c>
      <c r="O299" s="6" t="str">
        <f t="shared" si="2"/>
        <v>12.940.421-3</v>
      </c>
      <c r="P299" s="6" t="str">
        <f t="shared" si="3"/>
        <v>Talcahuano - Concepción - Región del Biobío</v>
      </c>
      <c r="Q299" s="4" t="str">
        <f t="shared" si="4"/>
        <v>En Revisión</v>
      </c>
      <c r="R299" s="12" t="str">
        <f t="shared" si="5"/>
        <v>Riesgo Medio</v>
      </c>
    </row>
    <row r="300">
      <c r="A300" s="1" t="s">
        <v>3288</v>
      </c>
      <c r="B300" s="9" t="s">
        <v>3290</v>
      </c>
      <c r="C300" s="9" t="s">
        <v>3291</v>
      </c>
      <c r="D300" s="1" t="s">
        <v>3293</v>
      </c>
      <c r="E300" s="1" t="s">
        <v>158</v>
      </c>
      <c r="F300" s="1" t="s">
        <v>158</v>
      </c>
      <c r="G300" s="1" t="s">
        <v>159</v>
      </c>
      <c r="H300" s="2">
        <v>3750000.0</v>
      </c>
      <c r="I300" s="1">
        <v>45.0</v>
      </c>
      <c r="J300" s="9" t="s">
        <v>20</v>
      </c>
      <c r="K300" s="5">
        <v>46033.0</v>
      </c>
      <c r="L300" s="11" t="s">
        <v>207</v>
      </c>
      <c r="M300" s="11"/>
      <c r="N300" s="4" t="str">
        <f t="shared" si="1"/>
        <v>Diego López Araya</v>
      </c>
      <c r="O300" s="6" t="str">
        <f t="shared" si="2"/>
        <v>19.641.338-6</v>
      </c>
      <c r="P300" s="6" t="str">
        <f t="shared" si="3"/>
        <v>Antofagasta - Antofagasta - Región de Antofagasta</v>
      </c>
      <c r="Q300" s="4" t="str">
        <f t="shared" si="4"/>
        <v>En Revisión</v>
      </c>
      <c r="R300" s="12" t="str">
        <f t="shared" si="5"/>
        <v>Riesgo Medio</v>
      </c>
    </row>
    <row r="301">
      <c r="A301" s="1" t="s">
        <v>2654</v>
      </c>
      <c r="B301" s="9" t="s">
        <v>2655</v>
      </c>
      <c r="C301" s="9" t="s">
        <v>2656</v>
      </c>
      <c r="D301" s="1" t="s">
        <v>2657</v>
      </c>
      <c r="E301" s="1" t="s">
        <v>45</v>
      </c>
      <c r="F301" s="1" t="s">
        <v>45</v>
      </c>
      <c r="G301" s="1" t="s">
        <v>46</v>
      </c>
      <c r="H301" s="2">
        <v>1460000.0</v>
      </c>
      <c r="I301" s="1">
        <v>45.0</v>
      </c>
      <c r="J301" s="9" t="s">
        <v>28</v>
      </c>
      <c r="K301" s="5">
        <v>46034.0</v>
      </c>
      <c r="L301" s="11" t="s">
        <v>207</v>
      </c>
      <c r="M301" s="11"/>
      <c r="N301" s="4" t="str">
        <f t="shared" si="1"/>
        <v>Diego Morales Araya</v>
      </c>
      <c r="O301" s="6" t="str">
        <f t="shared" si="2"/>
        <v>19940033-9</v>
      </c>
      <c r="P301" s="6" t="str">
        <f t="shared" si="3"/>
        <v>Temuco - Temuco - Región de la Araucanía</v>
      </c>
      <c r="Q301" s="4" t="str">
        <f t="shared" si="4"/>
        <v>Activo</v>
      </c>
      <c r="R301" s="12" t="str">
        <f t="shared" si="5"/>
        <v>Riesgo Medio</v>
      </c>
    </row>
    <row r="302">
      <c r="A302" s="1" t="s">
        <v>3143</v>
      </c>
      <c r="B302" s="9" t="s">
        <v>3144</v>
      </c>
      <c r="C302" s="9" t="s">
        <v>3145</v>
      </c>
      <c r="D302" s="1" t="s">
        <v>3146</v>
      </c>
      <c r="E302" s="1" t="s">
        <v>158</v>
      </c>
      <c r="F302" s="1" t="s">
        <v>158</v>
      </c>
      <c r="G302" s="1" t="s">
        <v>159</v>
      </c>
      <c r="H302" s="2">
        <v>1.495E7</v>
      </c>
      <c r="I302" s="1">
        <v>60.0</v>
      </c>
      <c r="J302" s="9" t="s">
        <v>97</v>
      </c>
      <c r="K302" s="5">
        <v>46125.0</v>
      </c>
      <c r="L302" s="11" t="s">
        <v>100</v>
      </c>
      <c r="M302" s="11"/>
      <c r="N302" s="4" t="str">
        <f t="shared" si="1"/>
        <v>Diego Morales López</v>
      </c>
      <c r="O302" s="6" t="str">
        <f t="shared" si="2"/>
        <v>13658191-7</v>
      </c>
      <c r="P302" s="6" t="str">
        <f t="shared" si="3"/>
        <v>Antofagasta - Antofagasta - Región de Antofagasta</v>
      </c>
      <c r="Q302" s="4" t="str">
        <f t="shared" si="4"/>
        <v>Inactivo</v>
      </c>
      <c r="R302" s="12" t="str">
        <f t="shared" si="5"/>
        <v>Riesgo Medio</v>
      </c>
    </row>
    <row r="303">
      <c r="A303" s="1" t="s">
        <v>2833</v>
      </c>
      <c r="B303" s="9" t="s">
        <v>2834</v>
      </c>
      <c r="C303" s="9" t="s">
        <v>2835</v>
      </c>
      <c r="D303" s="1" t="s">
        <v>924</v>
      </c>
      <c r="E303" s="1" t="s">
        <v>45</v>
      </c>
      <c r="F303" s="1" t="s">
        <v>45</v>
      </c>
      <c r="G303" s="1" t="s">
        <v>46</v>
      </c>
      <c r="H303" s="2">
        <v>4300000.0</v>
      </c>
      <c r="I303" s="1">
        <v>0.0</v>
      </c>
      <c r="J303" s="9" t="s">
        <v>20</v>
      </c>
      <c r="K303" s="5">
        <v>46140.0</v>
      </c>
      <c r="L303" s="11" t="s">
        <v>181</v>
      </c>
      <c r="M303" s="11"/>
      <c r="N303" s="4" t="str">
        <f t="shared" si="1"/>
        <v>Diego Muñoz Fuentes</v>
      </c>
      <c r="O303" s="6" t="str">
        <f t="shared" si="2"/>
        <v>14962382-4</v>
      </c>
      <c r="P303" s="6" t="str">
        <f t="shared" si="3"/>
        <v>Temuco - Temuco - Región de la Araucanía</v>
      </c>
      <c r="Q303" s="4" t="str">
        <f t="shared" si="4"/>
        <v>En Revisión</v>
      </c>
      <c r="R303" s="12" t="str">
        <f t="shared" si="5"/>
        <v>Riesgo Medio</v>
      </c>
    </row>
    <row r="304">
      <c r="A304" s="1" t="s">
        <v>3303</v>
      </c>
      <c r="B304" s="9" t="s">
        <v>3305</v>
      </c>
      <c r="C304" s="9" t="s">
        <v>3306</v>
      </c>
      <c r="D304" s="1" t="s">
        <v>3308</v>
      </c>
      <c r="E304" s="1" t="s">
        <v>26</v>
      </c>
      <c r="F304" s="1" t="s">
        <v>26</v>
      </c>
      <c r="G304" s="1" t="s">
        <v>27</v>
      </c>
      <c r="H304" s="2">
        <v>1.525E7</v>
      </c>
      <c r="I304" s="1">
        <v>15.0</v>
      </c>
      <c r="J304" s="9" t="s">
        <v>97</v>
      </c>
      <c r="K304" s="5">
        <v>46225.0</v>
      </c>
      <c r="L304" s="11" t="s">
        <v>100</v>
      </c>
      <c r="M304" s="11"/>
      <c r="N304" s="4" t="str">
        <f t="shared" si="1"/>
        <v>Diego Muñoz Muñoz</v>
      </c>
      <c r="O304" s="6" t="str">
        <f t="shared" si="2"/>
        <v>20.618.398-K</v>
      </c>
      <c r="P304" s="6" t="str">
        <f t="shared" si="3"/>
        <v>Valparaíso - Valparaíso - Región de Valparaíso</v>
      </c>
      <c r="Q304" s="4" t="str">
        <f t="shared" si="4"/>
        <v>Inactivo</v>
      </c>
      <c r="R304" s="12" t="str">
        <f t="shared" si="5"/>
        <v>Riesgo Bajo</v>
      </c>
    </row>
    <row r="305">
      <c r="A305" s="1" t="s">
        <v>921</v>
      </c>
      <c r="B305" s="9" t="s">
        <v>922</v>
      </c>
      <c r="C305" s="9" t="s">
        <v>923</v>
      </c>
      <c r="D305" s="1" t="s">
        <v>924</v>
      </c>
      <c r="E305" s="1" t="s">
        <v>61</v>
      </c>
      <c r="F305" s="1" t="s">
        <v>62</v>
      </c>
      <c r="G305" s="1" t="s">
        <v>63</v>
      </c>
      <c r="H305" s="2">
        <v>1070000.0</v>
      </c>
      <c r="I305" s="1">
        <v>120.0</v>
      </c>
      <c r="J305" s="9" t="s">
        <v>28</v>
      </c>
      <c r="K305" s="5">
        <v>46182.0</v>
      </c>
      <c r="L305" s="11" t="s">
        <v>207</v>
      </c>
      <c r="M305" s="11"/>
      <c r="N305" s="4" t="str">
        <f t="shared" si="1"/>
        <v>Diego Muñoz Soto</v>
      </c>
      <c r="O305" s="6" t="str">
        <f t="shared" si="2"/>
        <v>11.267.000-7</v>
      </c>
      <c r="P305" s="6" t="str">
        <f t="shared" si="3"/>
        <v>Santiago Centro - Santiago - Región Metropolitana</v>
      </c>
      <c r="Q305" s="4" t="str">
        <f t="shared" si="4"/>
        <v>Activo</v>
      </c>
      <c r="R305" s="12" t="str">
        <f t="shared" si="5"/>
        <v>Riesgo Alto</v>
      </c>
    </row>
    <row r="306">
      <c r="A306" s="1" t="s">
        <v>1609</v>
      </c>
      <c r="B306" s="9" t="s">
        <v>1610</v>
      </c>
      <c r="C306" s="9" t="s">
        <v>1611</v>
      </c>
      <c r="D306" s="1" t="s">
        <v>1612</v>
      </c>
      <c r="E306" s="1" t="s">
        <v>56</v>
      </c>
      <c r="F306" s="1" t="s">
        <v>39</v>
      </c>
      <c r="G306" s="1" t="s">
        <v>40</v>
      </c>
      <c r="H306" s="2">
        <v>1.55E7</v>
      </c>
      <c r="I306" s="1">
        <v>0.0</v>
      </c>
      <c r="J306" s="9" t="s">
        <v>20</v>
      </c>
      <c r="K306" s="5">
        <v>46077.0</v>
      </c>
      <c r="L306" s="11" t="s">
        <v>160</v>
      </c>
      <c r="M306" s="11"/>
      <c r="N306" s="4" t="str">
        <f t="shared" si="1"/>
        <v>Diego Muñoz Vergara</v>
      </c>
      <c r="O306" s="6" t="str">
        <f t="shared" si="2"/>
        <v>17.728.851-3</v>
      </c>
      <c r="P306" s="6" t="str">
        <f t="shared" si="3"/>
        <v>Talcahuano - Concepción - Región del Biobío</v>
      </c>
      <c r="Q306" s="4" t="str">
        <f t="shared" si="4"/>
        <v>En Revisión</v>
      </c>
      <c r="R306" s="12" t="str">
        <f t="shared" si="5"/>
        <v>Riesgo Medio</v>
      </c>
    </row>
    <row r="307">
      <c r="A307" s="1" t="s">
        <v>3317</v>
      </c>
      <c r="B307" s="9" t="s">
        <v>3318</v>
      </c>
      <c r="C307" s="9" t="s">
        <v>3320</v>
      </c>
      <c r="D307" s="1" t="s">
        <v>3321</v>
      </c>
      <c r="E307" s="1" t="s">
        <v>45</v>
      </c>
      <c r="F307" s="1" t="s">
        <v>45</v>
      </c>
      <c r="G307" s="1" t="s">
        <v>46</v>
      </c>
      <c r="H307" s="2">
        <v>1.36E7</v>
      </c>
      <c r="I307" s="1">
        <v>120.0</v>
      </c>
      <c r="J307" s="9" t="s">
        <v>20</v>
      </c>
      <c r="K307" s="5">
        <v>46147.0</v>
      </c>
      <c r="L307" s="11" t="s">
        <v>160</v>
      </c>
      <c r="M307" s="11"/>
      <c r="N307" s="4" t="str">
        <f t="shared" si="1"/>
        <v>Diego Pérez Espinoza</v>
      </c>
      <c r="O307" s="6" t="str">
        <f t="shared" si="2"/>
        <v>12.087.846-7</v>
      </c>
      <c r="P307" s="6" t="str">
        <f t="shared" si="3"/>
        <v>Temuco - Temuco - Región de la Araucanía</v>
      </c>
      <c r="Q307" s="4" t="str">
        <f t="shared" si="4"/>
        <v>En Revisión</v>
      </c>
      <c r="R307" s="12" t="str">
        <f t="shared" si="5"/>
        <v>Riesgo Medio</v>
      </c>
    </row>
    <row r="308">
      <c r="A308" s="1" t="s">
        <v>3323</v>
      </c>
      <c r="B308" s="9" t="s">
        <v>3325</v>
      </c>
      <c r="C308" s="9" t="s">
        <v>3327</v>
      </c>
      <c r="D308" s="1" t="s">
        <v>3328</v>
      </c>
      <c r="E308" s="1" t="s">
        <v>72</v>
      </c>
      <c r="F308" s="1" t="s">
        <v>62</v>
      </c>
      <c r="G308" s="1" t="s">
        <v>63</v>
      </c>
      <c r="H308" s="2">
        <v>1.893E7</v>
      </c>
      <c r="I308" s="1">
        <v>0.0</v>
      </c>
      <c r="J308" s="9" t="s">
        <v>97</v>
      </c>
      <c r="K308" s="5">
        <v>46192.0</v>
      </c>
      <c r="L308" s="11" t="s">
        <v>181</v>
      </c>
      <c r="M308" s="11"/>
      <c r="N308" s="4" t="str">
        <f t="shared" si="1"/>
        <v>Diego Pérez Rodríguez</v>
      </c>
      <c r="O308" s="6" t="str">
        <f t="shared" si="2"/>
        <v>11.106.386-8</v>
      </c>
      <c r="P308" s="6" t="str">
        <f t="shared" si="3"/>
        <v>Providencia - Santiago - Región Metropolitana</v>
      </c>
      <c r="Q308" s="4" t="str">
        <f t="shared" si="4"/>
        <v>Inactivo</v>
      </c>
      <c r="R308" s="12" t="str">
        <f t="shared" si="5"/>
        <v>Riesgo Bajo</v>
      </c>
    </row>
    <row r="309">
      <c r="A309" s="1" t="s">
        <v>3331</v>
      </c>
      <c r="B309" s="9" t="s">
        <v>3332</v>
      </c>
      <c r="C309" s="9" t="s">
        <v>3333</v>
      </c>
      <c r="D309" s="1" t="s">
        <v>3334</v>
      </c>
      <c r="E309" s="1" t="s">
        <v>25</v>
      </c>
      <c r="F309" s="1" t="s">
        <v>26</v>
      </c>
      <c r="G309" s="1" t="s">
        <v>27</v>
      </c>
      <c r="H309" s="2">
        <v>1.646E7</v>
      </c>
      <c r="I309" s="1">
        <v>60.0</v>
      </c>
      <c r="J309" s="9" t="s">
        <v>20</v>
      </c>
      <c r="K309" s="5">
        <v>46164.0</v>
      </c>
      <c r="L309" s="11" t="s">
        <v>160</v>
      </c>
      <c r="M309" s="11"/>
      <c r="N309" s="4" t="str">
        <f t="shared" si="1"/>
        <v>Diego Pérez Valenzuela</v>
      </c>
      <c r="O309" s="6" t="str">
        <f t="shared" si="2"/>
        <v>21.481.289-9</v>
      </c>
      <c r="P309" s="6" t="str">
        <f t="shared" si="3"/>
        <v>Viña del Mar - Valparaíso - Región de Valparaíso</v>
      </c>
      <c r="Q309" s="4" t="str">
        <f t="shared" si="4"/>
        <v>En Revisión</v>
      </c>
      <c r="R309" s="12" t="str">
        <f t="shared" si="5"/>
        <v>Riesgo Medio</v>
      </c>
    </row>
    <row r="310">
      <c r="A310" s="1" t="s">
        <v>3335</v>
      </c>
      <c r="B310" s="9" t="s">
        <v>3336</v>
      </c>
      <c r="C310" s="9" t="s">
        <v>3337</v>
      </c>
      <c r="D310" s="1" t="s">
        <v>3338</v>
      </c>
      <c r="E310" s="1" t="s">
        <v>109</v>
      </c>
      <c r="F310" s="1" t="s">
        <v>62</v>
      </c>
      <c r="G310" s="1" t="s">
        <v>63</v>
      </c>
      <c r="H310" s="2">
        <v>1.909E7</v>
      </c>
      <c r="I310" s="1">
        <v>0.0</v>
      </c>
      <c r="J310" s="9" t="s">
        <v>97</v>
      </c>
      <c r="K310" s="5">
        <v>46191.0</v>
      </c>
      <c r="L310" s="11" t="s">
        <v>160</v>
      </c>
      <c r="M310" s="11"/>
      <c r="N310" s="4" t="str">
        <f t="shared" si="1"/>
        <v>Diego Rojas Araya</v>
      </c>
      <c r="O310" s="6" t="str">
        <f t="shared" si="2"/>
        <v>19499949-6</v>
      </c>
      <c r="P310" s="6" t="str">
        <f t="shared" si="3"/>
        <v>Ñuñoa - Santiago - Región Metropolitana</v>
      </c>
      <c r="Q310" s="4" t="str">
        <f t="shared" si="4"/>
        <v>Inactivo</v>
      </c>
      <c r="R310" s="12" t="str">
        <f t="shared" si="5"/>
        <v>Riesgo Bajo</v>
      </c>
    </row>
    <row r="311">
      <c r="A311" s="1" t="s">
        <v>3339</v>
      </c>
      <c r="B311" s="9" t="s">
        <v>3340</v>
      </c>
      <c r="C311" s="9" t="s">
        <v>3341</v>
      </c>
      <c r="D311" s="1" t="s">
        <v>3342</v>
      </c>
      <c r="E311" s="1" t="s">
        <v>72</v>
      </c>
      <c r="F311" s="1" t="s">
        <v>62</v>
      </c>
      <c r="G311" s="1" t="s">
        <v>63</v>
      </c>
      <c r="H311" s="2">
        <v>1.799E7</v>
      </c>
      <c r="I311" s="1">
        <v>0.0</v>
      </c>
      <c r="J311" s="9" t="s">
        <v>20</v>
      </c>
      <c r="K311" s="5">
        <v>46104.0</v>
      </c>
      <c r="L311" s="11" t="s">
        <v>207</v>
      </c>
      <c r="M311" s="11"/>
      <c r="N311" s="4" t="str">
        <f t="shared" si="1"/>
        <v>Diego Rojas Vergara</v>
      </c>
      <c r="O311" s="6" t="str">
        <f t="shared" si="2"/>
        <v>12.218.638-K</v>
      </c>
      <c r="P311" s="6" t="str">
        <f t="shared" si="3"/>
        <v>Providencia - Santiago - Región Metropolitana</v>
      </c>
      <c r="Q311" s="4" t="str">
        <f t="shared" si="4"/>
        <v>En Revisión</v>
      </c>
      <c r="R311" s="12" t="str">
        <f t="shared" si="5"/>
        <v>Riesgo Medio</v>
      </c>
    </row>
    <row r="312">
      <c r="A312" s="1" t="s">
        <v>3347</v>
      </c>
      <c r="B312" s="9" t="s">
        <v>3348</v>
      </c>
      <c r="C312" s="9" t="s">
        <v>3349</v>
      </c>
      <c r="D312" s="1" t="s">
        <v>1741</v>
      </c>
      <c r="E312" s="1" t="s">
        <v>118</v>
      </c>
      <c r="F312" s="1" t="s">
        <v>62</v>
      </c>
      <c r="G312" s="1" t="s">
        <v>63</v>
      </c>
      <c r="H312" s="2">
        <v>1.234E7</v>
      </c>
      <c r="I312" s="1">
        <v>60.0</v>
      </c>
      <c r="J312" s="9" t="s">
        <v>20</v>
      </c>
      <c r="K312" s="5">
        <v>46087.0</v>
      </c>
      <c r="L312" s="11" t="s">
        <v>160</v>
      </c>
      <c r="M312" s="11"/>
      <c r="N312" s="4" t="str">
        <f t="shared" si="1"/>
        <v>Diego Sepúlveda Araya</v>
      </c>
      <c r="O312" s="6" t="str">
        <f t="shared" si="2"/>
        <v>21654314-7</v>
      </c>
      <c r="P312" s="6" t="str">
        <f t="shared" si="3"/>
        <v>Maipú - Santiago - Región Metropolitana</v>
      </c>
      <c r="Q312" s="4" t="str">
        <f t="shared" si="4"/>
        <v>En Revisión</v>
      </c>
      <c r="R312" s="12" t="str">
        <f t="shared" si="5"/>
        <v>Riesgo Medio</v>
      </c>
    </row>
    <row r="313">
      <c r="A313" s="1" t="s">
        <v>1738</v>
      </c>
      <c r="B313" s="9" t="s">
        <v>1739</v>
      </c>
      <c r="C313" s="9" t="s">
        <v>1740</v>
      </c>
      <c r="D313" s="1" t="s">
        <v>1741</v>
      </c>
      <c r="E313" s="1" t="s">
        <v>18</v>
      </c>
      <c r="F313" s="1" t="s">
        <v>18</v>
      </c>
      <c r="G313" s="1" t="s">
        <v>19</v>
      </c>
      <c r="H313" s="2">
        <v>2.062E7</v>
      </c>
      <c r="I313" s="1">
        <v>120.0</v>
      </c>
      <c r="J313" s="9" t="s">
        <v>28</v>
      </c>
      <c r="K313" s="5">
        <v>46040.0</v>
      </c>
      <c r="L313" s="11" t="s">
        <v>207</v>
      </c>
      <c r="M313" s="11"/>
      <c r="N313" s="4" t="str">
        <f t="shared" si="1"/>
        <v>Diego Sepúlveda Tapia</v>
      </c>
      <c r="O313" s="6" t="str">
        <f t="shared" si="2"/>
        <v>12504337-5</v>
      </c>
      <c r="P313" s="6" t="str">
        <f t="shared" si="3"/>
        <v>La Serena - La Serena - Región de Coquimbo</v>
      </c>
      <c r="Q313" s="4" t="str">
        <f t="shared" si="4"/>
        <v>Activo</v>
      </c>
      <c r="R313" s="12" t="str">
        <f t="shared" si="5"/>
        <v>Riesgo Alto</v>
      </c>
    </row>
    <row r="314">
      <c r="A314" s="1" t="s">
        <v>873</v>
      </c>
      <c r="B314" s="9" t="s">
        <v>874</v>
      </c>
      <c r="C314" s="9" t="s">
        <v>876</v>
      </c>
      <c r="D314" s="1" t="s">
        <v>877</v>
      </c>
      <c r="E314" s="1" t="s">
        <v>194</v>
      </c>
      <c r="F314" s="1" t="s">
        <v>62</v>
      </c>
      <c r="G314" s="1" t="s">
        <v>63</v>
      </c>
      <c r="H314" s="2">
        <v>3000000.0</v>
      </c>
      <c r="I314" s="1">
        <v>15.0</v>
      </c>
      <c r="J314" s="9" t="s">
        <v>97</v>
      </c>
      <c r="K314" s="5">
        <v>46091.0</v>
      </c>
      <c r="L314" s="11" t="s">
        <v>100</v>
      </c>
      <c r="M314" s="11"/>
      <c r="N314" s="4" t="str">
        <f t="shared" si="1"/>
        <v>Diego Silva Araya</v>
      </c>
      <c r="O314" s="6" t="str">
        <f t="shared" si="2"/>
        <v>15.833.955-4</v>
      </c>
      <c r="P314" s="6" t="str">
        <f t="shared" si="3"/>
        <v>Las Condes - Santiago - Región Metropolitana</v>
      </c>
      <c r="Q314" s="4" t="str">
        <f t="shared" si="4"/>
        <v>Inactivo</v>
      </c>
      <c r="R314" s="12" t="str">
        <f t="shared" si="5"/>
        <v>Riesgo Bajo</v>
      </c>
    </row>
    <row r="315">
      <c r="A315" s="1" t="s">
        <v>3185</v>
      </c>
      <c r="B315" s="9" t="s">
        <v>3187</v>
      </c>
      <c r="C315" s="9" t="s">
        <v>876</v>
      </c>
      <c r="D315" s="1" t="s">
        <v>3190</v>
      </c>
      <c r="E315" s="1" t="s">
        <v>158</v>
      </c>
      <c r="F315" s="1" t="s">
        <v>158</v>
      </c>
      <c r="G315" s="1" t="s">
        <v>159</v>
      </c>
      <c r="H315" s="2">
        <v>2.001E7</v>
      </c>
      <c r="I315" s="1">
        <v>0.0</v>
      </c>
      <c r="J315" s="9" t="s">
        <v>28</v>
      </c>
      <c r="K315" s="5">
        <v>46190.0</v>
      </c>
      <c r="L315" s="11" t="s">
        <v>207</v>
      </c>
      <c r="M315" s="11"/>
      <c r="N315" s="4" t="str">
        <f t="shared" si="1"/>
        <v>Diego Silva Araya</v>
      </c>
      <c r="O315" s="6" t="str">
        <f t="shared" si="2"/>
        <v>20.646.993-7</v>
      </c>
      <c r="P315" s="6" t="str">
        <f t="shared" si="3"/>
        <v>Antofagasta - Antofagasta - Región de Antofagasta</v>
      </c>
      <c r="Q315" s="4" t="str">
        <f t="shared" si="4"/>
        <v>Activo</v>
      </c>
      <c r="R315" s="12" t="str">
        <f t="shared" si="5"/>
        <v>Riesgo Bajo</v>
      </c>
    </row>
    <row r="316">
      <c r="A316" s="1" t="s">
        <v>2356</v>
      </c>
      <c r="B316" s="9" t="s">
        <v>2358</v>
      </c>
      <c r="C316" s="9" t="s">
        <v>2359</v>
      </c>
      <c r="D316" s="1" t="s">
        <v>2360</v>
      </c>
      <c r="E316" s="1" t="s">
        <v>194</v>
      </c>
      <c r="F316" s="1" t="s">
        <v>62</v>
      </c>
      <c r="G316" s="1" t="s">
        <v>63</v>
      </c>
      <c r="H316" s="2">
        <v>6900000.0</v>
      </c>
      <c r="I316" s="1">
        <v>0.0</v>
      </c>
      <c r="J316" s="9" t="s">
        <v>28</v>
      </c>
      <c r="K316" s="5">
        <v>46170.0</v>
      </c>
      <c r="L316" s="11" t="s">
        <v>160</v>
      </c>
      <c r="M316" s="11"/>
      <c r="N316" s="4" t="str">
        <f t="shared" si="1"/>
        <v>Diego Silva Espinoza</v>
      </c>
      <c r="O316" s="6" t="str">
        <f t="shared" si="2"/>
        <v>16396429-1</v>
      </c>
      <c r="P316" s="6" t="str">
        <f t="shared" si="3"/>
        <v>Las Condes - Santiago - Región Metropolitana</v>
      </c>
      <c r="Q316" s="4" t="str">
        <f t="shared" si="4"/>
        <v>Activo</v>
      </c>
      <c r="R316" s="12" t="str">
        <f t="shared" si="5"/>
        <v>Riesgo Bajo</v>
      </c>
    </row>
    <row r="317">
      <c r="A317" s="1" t="s">
        <v>3379</v>
      </c>
      <c r="B317" s="9" t="s">
        <v>3380</v>
      </c>
      <c r="C317" s="9" t="s">
        <v>3381</v>
      </c>
      <c r="D317" s="1" t="s">
        <v>877</v>
      </c>
      <c r="E317" s="1" t="s">
        <v>194</v>
      </c>
      <c r="F317" s="1" t="s">
        <v>62</v>
      </c>
      <c r="G317" s="1" t="s">
        <v>63</v>
      </c>
      <c r="H317" s="2">
        <v>1050000.0</v>
      </c>
      <c r="I317" s="1">
        <v>0.0</v>
      </c>
      <c r="J317" s="9" t="s">
        <v>20</v>
      </c>
      <c r="K317" s="5">
        <v>46038.0</v>
      </c>
      <c r="L317" s="11" t="s">
        <v>207</v>
      </c>
      <c r="M317" s="11"/>
      <c r="N317" s="4" t="str">
        <f t="shared" si="1"/>
        <v>Diego Silva Tapia</v>
      </c>
      <c r="O317" s="6" t="str">
        <f t="shared" si="2"/>
        <v>18.203.480-4</v>
      </c>
      <c r="P317" s="6" t="str">
        <f t="shared" si="3"/>
        <v>Las Condes - Santiago - Región Metropolitana</v>
      </c>
      <c r="Q317" s="4" t="str">
        <f t="shared" si="4"/>
        <v>En Revisión</v>
      </c>
      <c r="R317" s="12" t="str">
        <f t="shared" si="5"/>
        <v>Riesgo Medio</v>
      </c>
    </row>
    <row r="318">
      <c r="A318" s="1" t="s">
        <v>3386</v>
      </c>
      <c r="B318" s="9" t="s">
        <v>3387</v>
      </c>
      <c r="C318" s="9" t="s">
        <v>3388</v>
      </c>
      <c r="D318" s="1" t="s">
        <v>3389</v>
      </c>
      <c r="E318" s="1" t="s">
        <v>194</v>
      </c>
      <c r="F318" s="1" t="s">
        <v>62</v>
      </c>
      <c r="G318" s="1" t="s">
        <v>63</v>
      </c>
      <c r="H318" s="2">
        <v>1.751E7</v>
      </c>
      <c r="I318" s="1">
        <v>120.0</v>
      </c>
      <c r="J318" s="9" t="s">
        <v>97</v>
      </c>
      <c r="K318" s="5">
        <v>46030.0</v>
      </c>
      <c r="L318" s="11" t="s">
        <v>100</v>
      </c>
      <c r="M318" s="11"/>
      <c r="N318" s="4" t="str">
        <f t="shared" si="1"/>
        <v>Diego Soto Muñoz</v>
      </c>
      <c r="O318" s="6" t="str">
        <f t="shared" si="2"/>
        <v>20.607.532-5</v>
      </c>
      <c r="P318" s="6" t="str">
        <f t="shared" si="3"/>
        <v>Las Condes - Santiago - Región Metropolitana</v>
      </c>
      <c r="Q318" s="4" t="str">
        <f t="shared" si="4"/>
        <v>Inactivo</v>
      </c>
      <c r="R318" s="12" t="str">
        <f t="shared" si="5"/>
        <v>Riesgo Medio</v>
      </c>
    </row>
    <row r="319">
      <c r="A319" s="1" t="s">
        <v>3394</v>
      </c>
      <c r="B319" s="9" t="s">
        <v>3395</v>
      </c>
      <c r="C319" s="9" t="s">
        <v>3396</v>
      </c>
      <c r="D319" s="1" t="s">
        <v>3389</v>
      </c>
      <c r="E319" s="1" t="s">
        <v>194</v>
      </c>
      <c r="F319" s="1" t="s">
        <v>62</v>
      </c>
      <c r="G319" s="1" t="s">
        <v>63</v>
      </c>
      <c r="H319" s="2">
        <v>1.177E7</v>
      </c>
      <c r="I319" s="1">
        <v>15.0</v>
      </c>
      <c r="J319" s="9" t="s">
        <v>28</v>
      </c>
      <c r="K319" s="5">
        <v>46191.0</v>
      </c>
      <c r="L319" s="11" t="s">
        <v>207</v>
      </c>
      <c r="M319" s="11"/>
      <c r="N319" s="4" t="str">
        <f t="shared" si="1"/>
        <v>Diego Soto Soto</v>
      </c>
      <c r="O319" s="6" t="str">
        <f t="shared" si="2"/>
        <v>18.309.696-0</v>
      </c>
      <c r="P319" s="6" t="str">
        <f t="shared" si="3"/>
        <v>Las Condes - Santiago - Región Metropolitana</v>
      </c>
      <c r="Q319" s="4" t="str">
        <f t="shared" si="4"/>
        <v>Activo</v>
      </c>
      <c r="R319" s="12" t="str">
        <f t="shared" si="5"/>
        <v>Riesgo Bajo</v>
      </c>
    </row>
    <row r="320">
      <c r="A320" s="1" t="s">
        <v>3401</v>
      </c>
      <c r="B320" s="9" t="s">
        <v>3402</v>
      </c>
      <c r="C320" s="9" t="s">
        <v>3403</v>
      </c>
      <c r="D320" s="1" t="s">
        <v>3404</v>
      </c>
      <c r="E320" s="1" t="s">
        <v>56</v>
      </c>
      <c r="F320" s="1" t="s">
        <v>39</v>
      </c>
      <c r="G320" s="1" t="s">
        <v>40</v>
      </c>
      <c r="H320" s="2">
        <v>9370000.0</v>
      </c>
      <c r="I320" s="1">
        <v>0.0</v>
      </c>
      <c r="J320" s="9" t="s">
        <v>20</v>
      </c>
      <c r="K320" s="5">
        <v>46163.0</v>
      </c>
      <c r="L320" s="11" t="s">
        <v>207</v>
      </c>
      <c r="M320" s="11"/>
      <c r="N320" s="4" t="str">
        <f t="shared" si="1"/>
        <v>Diego Valenzuela López</v>
      </c>
      <c r="O320" s="6" t="str">
        <f t="shared" si="2"/>
        <v>11.365.738-5</v>
      </c>
      <c r="P320" s="6" t="str">
        <f t="shared" si="3"/>
        <v>Talcahuano - Concepción - Región del Biobío</v>
      </c>
      <c r="Q320" s="4" t="str">
        <f t="shared" si="4"/>
        <v>En Revisión</v>
      </c>
      <c r="R320" s="12" t="str">
        <f t="shared" si="5"/>
        <v>Riesgo Medio</v>
      </c>
    </row>
    <row r="321">
      <c r="A321" s="1" t="s">
        <v>2432</v>
      </c>
      <c r="B321" s="9" t="s">
        <v>2433</v>
      </c>
      <c r="C321" s="9" t="s">
        <v>3408</v>
      </c>
      <c r="D321" s="1" t="s">
        <v>2435</v>
      </c>
      <c r="E321" s="1" t="s">
        <v>61</v>
      </c>
      <c r="F321" s="1" t="s">
        <v>62</v>
      </c>
      <c r="G321" s="1" t="s">
        <v>63</v>
      </c>
      <c r="H321" s="2">
        <v>1.941E7</v>
      </c>
      <c r="I321" s="1">
        <v>0.0</v>
      </c>
      <c r="J321" s="9" t="s">
        <v>97</v>
      </c>
      <c r="K321" s="5">
        <v>46143.0</v>
      </c>
      <c r="L321" s="11" t="s">
        <v>100</v>
      </c>
      <c r="M321" s="11"/>
      <c r="N321" s="4" t="str">
        <f t="shared" si="1"/>
        <v>Esteban Araya Pérez</v>
      </c>
      <c r="O321" s="6" t="str">
        <f t="shared" si="2"/>
        <v>13391356-5</v>
      </c>
      <c r="P321" s="6" t="str">
        <f t="shared" si="3"/>
        <v>Santiago Centro - Santiago - Región Metropolitana</v>
      </c>
      <c r="Q321" s="4" t="str">
        <f t="shared" si="4"/>
        <v>Inactivo</v>
      </c>
      <c r="R321" s="12" t="str">
        <f t="shared" si="5"/>
        <v>Riesgo Bajo</v>
      </c>
    </row>
    <row r="322">
      <c r="A322" s="1" t="s">
        <v>3409</v>
      </c>
      <c r="B322" s="9" t="s">
        <v>3410</v>
      </c>
      <c r="C322" s="9" t="s">
        <v>3411</v>
      </c>
      <c r="D322" s="1" t="s">
        <v>3412</v>
      </c>
      <c r="E322" s="1" t="s">
        <v>26</v>
      </c>
      <c r="F322" s="1" t="s">
        <v>26</v>
      </c>
      <c r="G322" s="1" t="s">
        <v>27</v>
      </c>
      <c r="H322" s="2">
        <v>1510000.0</v>
      </c>
      <c r="I322" s="1">
        <v>0.0</v>
      </c>
      <c r="J322" s="9" t="s">
        <v>20</v>
      </c>
      <c r="K322" s="5">
        <v>46153.0</v>
      </c>
      <c r="L322" s="11" t="s">
        <v>207</v>
      </c>
      <c r="M322" s="11"/>
      <c r="N322" s="4" t="str">
        <f t="shared" si="1"/>
        <v>Esteban Araya Rodríguez</v>
      </c>
      <c r="O322" s="6" t="str">
        <f t="shared" si="2"/>
        <v>11.429.457-0</v>
      </c>
      <c r="P322" s="6" t="str">
        <f t="shared" si="3"/>
        <v>Valparaíso - Valparaíso - Región de Valparaíso</v>
      </c>
      <c r="Q322" s="4" t="str">
        <f t="shared" si="4"/>
        <v>En Revisión</v>
      </c>
      <c r="R322" s="12" t="str">
        <f t="shared" si="5"/>
        <v>Riesgo Medio</v>
      </c>
    </row>
    <row r="323">
      <c r="A323" s="1" t="s">
        <v>3417</v>
      </c>
      <c r="B323" s="9" t="s">
        <v>3418</v>
      </c>
      <c r="C323" s="9" t="s">
        <v>3419</v>
      </c>
      <c r="D323" s="1" t="s">
        <v>3420</v>
      </c>
      <c r="E323" s="1" t="s">
        <v>56</v>
      </c>
      <c r="F323" s="1" t="s">
        <v>39</v>
      </c>
      <c r="G323" s="1" t="s">
        <v>40</v>
      </c>
      <c r="H323" s="2">
        <v>1.605E7</v>
      </c>
      <c r="I323" s="1">
        <v>90.0</v>
      </c>
      <c r="J323" s="9" t="s">
        <v>20</v>
      </c>
      <c r="K323" s="5">
        <v>46224.0</v>
      </c>
      <c r="L323" s="11" t="s">
        <v>100</v>
      </c>
      <c r="M323" s="11"/>
      <c r="N323" s="4" t="str">
        <f t="shared" si="1"/>
        <v>Esteban Araya Sepúlveda</v>
      </c>
      <c r="O323" s="6" t="str">
        <f t="shared" si="2"/>
        <v>13.248.557-6</v>
      </c>
      <c r="P323" s="6" t="str">
        <f t="shared" si="3"/>
        <v>Talcahuano - Concepción - Región del Biobío</v>
      </c>
      <c r="Q323" s="4" t="str">
        <f t="shared" si="4"/>
        <v>En Revisión</v>
      </c>
      <c r="R323" s="12" t="str">
        <f t="shared" si="5"/>
        <v>Riesgo Medio</v>
      </c>
    </row>
    <row r="324">
      <c r="A324" s="1" t="s">
        <v>3424</v>
      </c>
      <c r="B324" s="9" t="s">
        <v>3425</v>
      </c>
      <c r="C324" s="9" t="s">
        <v>3426</v>
      </c>
      <c r="D324" s="1" t="s">
        <v>3427</v>
      </c>
      <c r="E324" s="1" t="s">
        <v>33</v>
      </c>
      <c r="F324" s="1" t="s">
        <v>33</v>
      </c>
      <c r="G324" s="1" t="s">
        <v>34</v>
      </c>
      <c r="H324" s="2">
        <v>2.05E7</v>
      </c>
      <c r="I324" s="1">
        <v>15.0</v>
      </c>
      <c r="J324" s="9" t="s">
        <v>97</v>
      </c>
      <c r="K324" s="5">
        <v>46119.0</v>
      </c>
      <c r="L324" s="11" t="s">
        <v>160</v>
      </c>
      <c r="M324" s="11"/>
      <c r="N324" s="4" t="str">
        <f t="shared" si="1"/>
        <v>Esteban Contreras Contreras</v>
      </c>
      <c r="O324" s="6" t="str">
        <f t="shared" si="2"/>
        <v>12.130.613-7</v>
      </c>
      <c r="P324" s="6" t="str">
        <f t="shared" si="3"/>
        <v>Puerto Montt - Puerto Montt - Región de Los Lagos</v>
      </c>
      <c r="Q324" s="4" t="str">
        <f t="shared" si="4"/>
        <v>Inactivo</v>
      </c>
      <c r="R324" s="12" t="str">
        <f t="shared" si="5"/>
        <v>Riesgo Bajo</v>
      </c>
    </row>
    <row r="325">
      <c r="A325" s="1" t="s">
        <v>3428</v>
      </c>
      <c r="B325" s="9" t="s">
        <v>3429</v>
      </c>
      <c r="C325" s="9" t="s">
        <v>3426</v>
      </c>
      <c r="D325" s="1" t="s">
        <v>3430</v>
      </c>
      <c r="E325" s="1" t="s">
        <v>158</v>
      </c>
      <c r="F325" s="1" t="s">
        <v>158</v>
      </c>
      <c r="G325" s="1" t="s">
        <v>159</v>
      </c>
      <c r="H325" s="2">
        <v>9170000.0</v>
      </c>
      <c r="I325" s="1">
        <v>0.0</v>
      </c>
      <c r="J325" s="9" t="s">
        <v>97</v>
      </c>
      <c r="K325" s="5">
        <v>46217.0</v>
      </c>
      <c r="L325" s="11" t="s">
        <v>181</v>
      </c>
      <c r="M325" s="11"/>
      <c r="N325" s="4" t="str">
        <f t="shared" si="1"/>
        <v>Esteban Contreras Contreras</v>
      </c>
      <c r="O325" s="6" t="str">
        <f t="shared" si="2"/>
        <v>22.490.862-3</v>
      </c>
      <c r="P325" s="6" t="str">
        <f t="shared" si="3"/>
        <v>Antofagasta - Antofagasta - Región de Antofagasta</v>
      </c>
      <c r="Q325" s="4" t="str">
        <f t="shared" si="4"/>
        <v>Inactivo</v>
      </c>
      <c r="R325" s="12" t="str">
        <f t="shared" si="5"/>
        <v>Riesgo Bajo</v>
      </c>
    </row>
    <row r="326">
      <c r="A326" s="1" t="s">
        <v>3431</v>
      </c>
      <c r="B326" s="9" t="s">
        <v>3432</v>
      </c>
      <c r="C326" s="9" t="s">
        <v>3433</v>
      </c>
      <c r="D326" s="1" t="s">
        <v>3434</v>
      </c>
      <c r="E326" s="1" t="s">
        <v>194</v>
      </c>
      <c r="F326" s="1" t="s">
        <v>62</v>
      </c>
      <c r="G326" s="1" t="s">
        <v>63</v>
      </c>
      <c r="H326" s="2">
        <v>1.654E7</v>
      </c>
      <c r="I326" s="1">
        <v>0.0</v>
      </c>
      <c r="J326" s="9" t="s">
        <v>20</v>
      </c>
      <c r="K326" s="5">
        <v>46157.0</v>
      </c>
      <c r="L326" s="11" t="s">
        <v>199</v>
      </c>
      <c r="M326" s="11"/>
      <c r="N326" s="4" t="str">
        <f t="shared" si="1"/>
        <v>Esteban Contreras Morales</v>
      </c>
      <c r="O326" s="6" t="str">
        <f t="shared" si="2"/>
        <v>13.365.982-4</v>
      </c>
      <c r="P326" s="6" t="str">
        <f t="shared" si="3"/>
        <v>Las Condes - Santiago - Región Metropolitana</v>
      </c>
      <c r="Q326" s="4" t="str">
        <f t="shared" si="4"/>
        <v>En Revisión</v>
      </c>
      <c r="R326" s="12" t="str">
        <f t="shared" si="5"/>
        <v>Riesgo Medio</v>
      </c>
    </row>
    <row r="327">
      <c r="A327" s="1" t="s">
        <v>3439</v>
      </c>
      <c r="B327" s="9" t="s">
        <v>3440</v>
      </c>
      <c r="C327" s="9" t="s">
        <v>3441</v>
      </c>
      <c r="D327" s="1" t="s">
        <v>3434</v>
      </c>
      <c r="E327" s="1" t="s">
        <v>45</v>
      </c>
      <c r="F327" s="1" t="s">
        <v>45</v>
      </c>
      <c r="G327" s="1" t="s">
        <v>46</v>
      </c>
      <c r="H327" s="2">
        <v>9850000.0</v>
      </c>
      <c r="I327" s="1">
        <v>120.0</v>
      </c>
      <c r="J327" s="9" t="s">
        <v>97</v>
      </c>
      <c r="K327" s="5">
        <v>46095.0</v>
      </c>
      <c r="L327" s="11" t="s">
        <v>207</v>
      </c>
      <c r="M327" s="11"/>
      <c r="N327" s="4" t="str">
        <f t="shared" si="1"/>
        <v>Esteban Contreras Pérez</v>
      </c>
      <c r="O327" s="6" t="str">
        <f t="shared" si="2"/>
        <v>14.353.927-5</v>
      </c>
      <c r="P327" s="6" t="str">
        <f t="shared" si="3"/>
        <v>Temuco - Temuco - Región de la Araucanía</v>
      </c>
      <c r="Q327" s="4" t="str">
        <f t="shared" si="4"/>
        <v>Inactivo</v>
      </c>
      <c r="R327" s="12" t="str">
        <f t="shared" si="5"/>
        <v>Riesgo Medio</v>
      </c>
    </row>
    <row r="328">
      <c r="A328" s="1" t="s">
        <v>3443</v>
      </c>
      <c r="B328" s="9" t="s">
        <v>3444</v>
      </c>
      <c r="C328" s="9" t="s">
        <v>3445</v>
      </c>
      <c r="D328" s="1" t="s">
        <v>3446</v>
      </c>
      <c r="E328" s="1" t="s">
        <v>72</v>
      </c>
      <c r="F328" s="1" t="s">
        <v>62</v>
      </c>
      <c r="G328" s="1" t="s">
        <v>63</v>
      </c>
      <c r="H328" s="2">
        <v>5370000.0</v>
      </c>
      <c r="I328" s="1">
        <v>60.0</v>
      </c>
      <c r="J328" s="9" t="s">
        <v>97</v>
      </c>
      <c r="K328" s="5">
        <v>46137.0</v>
      </c>
      <c r="L328" s="11" t="s">
        <v>160</v>
      </c>
      <c r="M328" s="11"/>
      <c r="N328" s="4" t="str">
        <f t="shared" si="1"/>
        <v>Esteban Contreras Sepúlveda</v>
      </c>
      <c r="O328" s="6" t="str">
        <f t="shared" si="2"/>
        <v>22.111.002-6</v>
      </c>
      <c r="P328" s="6" t="str">
        <f t="shared" si="3"/>
        <v>Providencia - Santiago - Región Metropolitana</v>
      </c>
      <c r="Q328" s="4" t="str">
        <f t="shared" si="4"/>
        <v>Inactivo</v>
      </c>
      <c r="R328" s="12" t="str">
        <f t="shared" si="5"/>
        <v>Riesgo Medio</v>
      </c>
    </row>
    <row r="329">
      <c r="A329" s="1" t="s">
        <v>3046</v>
      </c>
      <c r="B329" s="9" t="s">
        <v>3047</v>
      </c>
      <c r="C329" s="9" t="s">
        <v>3451</v>
      </c>
      <c r="D329" s="1" t="s">
        <v>3049</v>
      </c>
      <c r="E329" s="1" t="s">
        <v>56</v>
      </c>
      <c r="F329" s="1" t="s">
        <v>39</v>
      </c>
      <c r="G329" s="1" t="s">
        <v>40</v>
      </c>
      <c r="H329" s="2">
        <v>1.697E7</v>
      </c>
      <c r="I329" s="1">
        <v>30.0</v>
      </c>
      <c r="J329" s="9" t="s">
        <v>28</v>
      </c>
      <c r="K329" s="5">
        <v>46228.0</v>
      </c>
      <c r="L329" s="11" t="s">
        <v>100</v>
      </c>
      <c r="M329" s="11"/>
      <c r="N329" s="4" t="str">
        <f t="shared" si="1"/>
        <v>Esteban Díaz Rojas</v>
      </c>
      <c r="O329" s="6" t="str">
        <f t="shared" si="2"/>
        <v>16.484.106-5</v>
      </c>
      <c r="P329" s="6" t="str">
        <f t="shared" si="3"/>
        <v>Talcahuano - Concepción - Región del Biobío</v>
      </c>
      <c r="Q329" s="4" t="str">
        <f t="shared" si="4"/>
        <v>Activo</v>
      </c>
      <c r="R329" s="12" t="str">
        <f t="shared" si="5"/>
        <v>Riesgo Bajo</v>
      </c>
    </row>
    <row r="330">
      <c r="A330" s="1" t="s">
        <v>3456</v>
      </c>
      <c r="B330" s="9" t="s">
        <v>3457</v>
      </c>
      <c r="C330" s="9" t="s">
        <v>3451</v>
      </c>
      <c r="D330" s="1" t="s">
        <v>3459</v>
      </c>
      <c r="E330" s="1" t="s">
        <v>109</v>
      </c>
      <c r="F330" s="1" t="s">
        <v>62</v>
      </c>
      <c r="G330" s="1" t="s">
        <v>63</v>
      </c>
      <c r="H330" s="2">
        <v>1.8E7</v>
      </c>
      <c r="I330" s="1">
        <v>0.0</v>
      </c>
      <c r="J330" s="9" t="s">
        <v>97</v>
      </c>
      <c r="K330" s="5">
        <v>46152.0</v>
      </c>
      <c r="L330" s="11" t="s">
        <v>160</v>
      </c>
      <c r="M330" s="11"/>
      <c r="N330" s="4" t="str">
        <f t="shared" si="1"/>
        <v>Esteban Díaz Rojas</v>
      </c>
      <c r="O330" s="6" t="str">
        <f t="shared" si="2"/>
        <v>17.574.755-4</v>
      </c>
      <c r="P330" s="6" t="str">
        <f t="shared" si="3"/>
        <v>Ñuñoa - Santiago - Región Metropolitana</v>
      </c>
      <c r="Q330" s="4" t="str">
        <f t="shared" si="4"/>
        <v>Inactivo</v>
      </c>
      <c r="R330" s="12" t="str">
        <f t="shared" si="5"/>
        <v>Riesgo Bajo</v>
      </c>
    </row>
    <row r="331">
      <c r="A331" s="1" t="s">
        <v>1337</v>
      </c>
      <c r="B331" s="9" t="s">
        <v>1338</v>
      </c>
      <c r="C331" s="9" t="s">
        <v>1339</v>
      </c>
      <c r="D331" s="1" t="s">
        <v>1342</v>
      </c>
      <c r="E331" s="1" t="s">
        <v>109</v>
      </c>
      <c r="F331" s="1" t="s">
        <v>62</v>
      </c>
      <c r="G331" s="1" t="s">
        <v>63</v>
      </c>
      <c r="H331" s="2">
        <v>1.121E7</v>
      </c>
      <c r="I331" s="1">
        <v>0.0</v>
      </c>
      <c r="J331" s="9" t="s">
        <v>20</v>
      </c>
      <c r="K331" s="5">
        <v>46149.0</v>
      </c>
      <c r="L331" s="11" t="s">
        <v>160</v>
      </c>
      <c r="M331" s="11"/>
      <c r="N331" s="4" t="str">
        <f t="shared" si="1"/>
        <v>Esteban Fuentes Araya</v>
      </c>
      <c r="O331" s="6" t="str">
        <f t="shared" si="2"/>
        <v>12.793.884-2</v>
      </c>
      <c r="P331" s="6" t="str">
        <f t="shared" si="3"/>
        <v>Ñuñoa - Santiago - Región Metropolitana</v>
      </c>
      <c r="Q331" s="4" t="str">
        <f t="shared" si="4"/>
        <v>En Revisión</v>
      </c>
      <c r="R331" s="12" t="str">
        <f t="shared" si="5"/>
        <v>Riesgo Medio</v>
      </c>
    </row>
    <row r="332">
      <c r="A332" s="1" t="s">
        <v>3469</v>
      </c>
      <c r="B332" s="9" t="s">
        <v>3471</v>
      </c>
      <c r="C332" s="9" t="s">
        <v>3472</v>
      </c>
      <c r="D332" s="1" t="s">
        <v>3473</v>
      </c>
      <c r="E332" s="1" t="s">
        <v>45</v>
      </c>
      <c r="F332" s="1" t="s">
        <v>45</v>
      </c>
      <c r="G332" s="1" t="s">
        <v>46</v>
      </c>
      <c r="H332" s="2">
        <v>1.513E7</v>
      </c>
      <c r="I332" s="1">
        <v>90.0</v>
      </c>
      <c r="J332" s="9" t="s">
        <v>20</v>
      </c>
      <c r="K332" s="5">
        <v>46219.0</v>
      </c>
      <c r="L332" s="11" t="s">
        <v>181</v>
      </c>
      <c r="M332" s="11"/>
      <c r="N332" s="4" t="str">
        <f t="shared" si="1"/>
        <v>Esteban González González</v>
      </c>
      <c r="O332" s="6" t="str">
        <f t="shared" si="2"/>
        <v>14.151.650-3</v>
      </c>
      <c r="P332" s="6" t="str">
        <f t="shared" si="3"/>
        <v>Temuco - Temuco - Región de la Araucanía</v>
      </c>
      <c r="Q332" s="4" t="str">
        <f t="shared" si="4"/>
        <v>En Revisión</v>
      </c>
      <c r="R332" s="12" t="str">
        <f t="shared" si="5"/>
        <v>Riesgo Medio</v>
      </c>
    </row>
    <row r="333">
      <c r="A333" s="1" t="s">
        <v>1927</v>
      </c>
      <c r="B333" s="9" t="s">
        <v>1928</v>
      </c>
      <c r="C333" s="9" t="s">
        <v>3478</v>
      </c>
      <c r="D333" s="1" t="s">
        <v>1930</v>
      </c>
      <c r="E333" s="1" t="s">
        <v>18</v>
      </c>
      <c r="F333" s="1" t="s">
        <v>18</v>
      </c>
      <c r="G333" s="1" t="s">
        <v>19</v>
      </c>
      <c r="H333" s="2">
        <v>2.142E7</v>
      </c>
      <c r="I333" s="1">
        <v>0.0</v>
      </c>
      <c r="J333" s="9" t="s">
        <v>28</v>
      </c>
      <c r="K333" s="5">
        <v>46180.0</v>
      </c>
      <c r="L333" s="11" t="s">
        <v>160</v>
      </c>
      <c r="M333" s="11"/>
      <c r="N333" s="4" t="str">
        <f t="shared" si="1"/>
        <v>Esteban López Soto</v>
      </c>
      <c r="O333" s="6" t="str">
        <f t="shared" si="2"/>
        <v>17.751.844-0</v>
      </c>
      <c r="P333" s="6" t="str">
        <f t="shared" si="3"/>
        <v>La Serena - La Serena - Región de Coquimbo</v>
      </c>
      <c r="Q333" s="4" t="str">
        <f t="shared" si="4"/>
        <v>Activo</v>
      </c>
      <c r="R333" s="12" t="str">
        <f t="shared" si="5"/>
        <v>Riesgo Bajo</v>
      </c>
    </row>
    <row r="334">
      <c r="A334" s="1" t="s">
        <v>2872</v>
      </c>
      <c r="B334" s="9" t="s">
        <v>2873</v>
      </c>
      <c r="C334" s="9" t="s">
        <v>2874</v>
      </c>
      <c r="D334" s="1" t="s">
        <v>2875</v>
      </c>
      <c r="E334" s="1" t="s">
        <v>56</v>
      </c>
      <c r="F334" s="1" t="s">
        <v>39</v>
      </c>
      <c r="G334" s="1" t="s">
        <v>40</v>
      </c>
      <c r="H334" s="2">
        <v>2.134E7</v>
      </c>
      <c r="I334" s="1">
        <v>15.0</v>
      </c>
      <c r="J334" s="9" t="s">
        <v>97</v>
      </c>
      <c r="K334" s="5">
        <v>46038.0</v>
      </c>
      <c r="L334" s="11" t="s">
        <v>160</v>
      </c>
      <c r="M334" s="11"/>
      <c r="N334" s="4" t="str">
        <f t="shared" si="1"/>
        <v>Esteban López Vergara</v>
      </c>
      <c r="O334" s="6" t="str">
        <f t="shared" si="2"/>
        <v>15346894-6</v>
      </c>
      <c r="P334" s="6" t="str">
        <f t="shared" si="3"/>
        <v>Talcahuano - Concepción - Región del Biobío</v>
      </c>
      <c r="Q334" s="4" t="str">
        <f t="shared" si="4"/>
        <v>Inactivo</v>
      </c>
      <c r="R334" s="12" t="str">
        <f t="shared" si="5"/>
        <v>Riesgo Bajo</v>
      </c>
    </row>
    <row r="335">
      <c r="A335" s="1" t="s">
        <v>3375</v>
      </c>
      <c r="B335" s="9" t="s">
        <v>3376</v>
      </c>
      <c r="C335" s="9" t="s">
        <v>3377</v>
      </c>
      <c r="D335" s="1" t="s">
        <v>3378</v>
      </c>
      <c r="E335" s="1" t="s">
        <v>26</v>
      </c>
      <c r="F335" s="1" t="s">
        <v>26</v>
      </c>
      <c r="G335" s="1" t="s">
        <v>27</v>
      </c>
      <c r="H335" s="2">
        <v>1.308E7</v>
      </c>
      <c r="I335" s="1">
        <v>60.0</v>
      </c>
      <c r="J335" s="9" t="s">
        <v>20</v>
      </c>
      <c r="K335" s="5">
        <v>46146.0</v>
      </c>
      <c r="L335" s="11" t="s">
        <v>207</v>
      </c>
      <c r="M335" s="11"/>
      <c r="N335" s="4" t="str">
        <f t="shared" si="1"/>
        <v>Esteban Morales Muñoz</v>
      </c>
      <c r="O335" s="6" t="str">
        <f t="shared" si="2"/>
        <v>22.205.910-K</v>
      </c>
      <c r="P335" s="6" t="str">
        <f t="shared" si="3"/>
        <v>Valparaíso - Valparaíso - Región de Valparaíso</v>
      </c>
      <c r="Q335" s="4" t="str">
        <f t="shared" si="4"/>
        <v>En Revisión</v>
      </c>
      <c r="R335" s="12" t="str">
        <f t="shared" si="5"/>
        <v>Riesgo Medio</v>
      </c>
    </row>
    <row r="336">
      <c r="A336" s="1" t="s">
        <v>3487</v>
      </c>
      <c r="B336" s="9" t="s">
        <v>3488</v>
      </c>
      <c r="C336" s="9" t="s">
        <v>3489</v>
      </c>
      <c r="D336" s="1" t="s">
        <v>3490</v>
      </c>
      <c r="E336" s="1" t="s">
        <v>18</v>
      </c>
      <c r="F336" s="1" t="s">
        <v>18</v>
      </c>
      <c r="G336" s="1" t="s">
        <v>19</v>
      </c>
      <c r="H336" s="2">
        <v>6020000.0</v>
      </c>
      <c r="I336" s="1">
        <v>15.0</v>
      </c>
      <c r="J336" s="9" t="s">
        <v>28</v>
      </c>
      <c r="K336" s="5">
        <v>46216.0</v>
      </c>
      <c r="L336" s="11" t="s">
        <v>160</v>
      </c>
      <c r="M336" s="11"/>
      <c r="N336" s="4" t="str">
        <f t="shared" si="1"/>
        <v>Esteban Muñoz Vergara</v>
      </c>
      <c r="O336" s="6" t="str">
        <f t="shared" si="2"/>
        <v>11.784.698-7</v>
      </c>
      <c r="P336" s="6" t="str">
        <f t="shared" si="3"/>
        <v>La Serena - La Serena - Región de Coquimbo</v>
      </c>
      <c r="Q336" s="4" t="str">
        <f t="shared" si="4"/>
        <v>Activo</v>
      </c>
      <c r="R336" s="12" t="str">
        <f t="shared" si="5"/>
        <v>Riesgo Bajo</v>
      </c>
    </row>
    <row r="337">
      <c r="A337" s="1" t="s">
        <v>3495</v>
      </c>
      <c r="B337" s="9" t="s">
        <v>3496</v>
      </c>
      <c r="C337" s="9" t="s">
        <v>3497</v>
      </c>
      <c r="D337" s="1" t="s">
        <v>3498</v>
      </c>
      <c r="E337" s="1" t="s">
        <v>33</v>
      </c>
      <c r="F337" s="1" t="s">
        <v>33</v>
      </c>
      <c r="G337" s="1" t="s">
        <v>34</v>
      </c>
      <c r="H337" s="2">
        <v>1.687E7</v>
      </c>
      <c r="I337" s="1">
        <v>30.0</v>
      </c>
      <c r="J337" s="9" t="s">
        <v>20</v>
      </c>
      <c r="K337" s="5">
        <v>46065.0</v>
      </c>
      <c r="L337" s="11" t="s">
        <v>207</v>
      </c>
      <c r="M337" s="11"/>
      <c r="N337" s="4" t="str">
        <f t="shared" si="1"/>
        <v>Esteban Rodríguez Morales</v>
      </c>
      <c r="O337" s="6" t="str">
        <f t="shared" si="2"/>
        <v>15.319.162-9</v>
      </c>
      <c r="P337" s="6" t="str">
        <f t="shared" si="3"/>
        <v>Puerto Montt - Puerto Montt - Región de Los Lagos</v>
      </c>
      <c r="Q337" s="4" t="str">
        <f t="shared" si="4"/>
        <v>En Revisión</v>
      </c>
      <c r="R337" s="12" t="str">
        <f t="shared" si="5"/>
        <v>Riesgo Medio</v>
      </c>
    </row>
    <row r="338">
      <c r="A338" s="1" t="s">
        <v>3503</v>
      </c>
      <c r="B338" s="9" t="s">
        <v>3505</v>
      </c>
      <c r="C338" s="9" t="s">
        <v>3506</v>
      </c>
      <c r="D338" s="1" t="s">
        <v>3507</v>
      </c>
      <c r="E338" s="1" t="s">
        <v>158</v>
      </c>
      <c r="F338" s="1" t="s">
        <v>158</v>
      </c>
      <c r="G338" s="1" t="s">
        <v>159</v>
      </c>
      <c r="H338" s="2">
        <v>1.584E7</v>
      </c>
      <c r="I338" s="1">
        <v>60.0</v>
      </c>
      <c r="J338" s="9" t="s">
        <v>28</v>
      </c>
      <c r="K338" s="5">
        <v>46063.0</v>
      </c>
      <c r="L338" s="11" t="s">
        <v>100</v>
      </c>
      <c r="M338" s="11"/>
      <c r="N338" s="4" t="str">
        <f t="shared" si="1"/>
        <v>Esteban Sepúlveda Araya</v>
      </c>
      <c r="O338" s="6" t="str">
        <f t="shared" si="2"/>
        <v>18.135.952-3</v>
      </c>
      <c r="P338" s="6" t="str">
        <f t="shared" si="3"/>
        <v>Antofagasta - Antofagasta - Región de Antofagasta</v>
      </c>
      <c r="Q338" s="4" t="str">
        <f t="shared" si="4"/>
        <v>Activo</v>
      </c>
      <c r="R338" s="12" t="str">
        <f t="shared" si="5"/>
        <v>Riesgo Medio</v>
      </c>
    </row>
    <row r="339">
      <c r="A339" s="1" t="s">
        <v>3512</v>
      </c>
      <c r="B339" s="9" t="s">
        <v>3513</v>
      </c>
      <c r="C339" s="9" t="s">
        <v>3514</v>
      </c>
      <c r="D339" s="1" t="s">
        <v>3515</v>
      </c>
      <c r="E339" s="1" t="s">
        <v>18</v>
      </c>
      <c r="F339" s="1" t="s">
        <v>18</v>
      </c>
      <c r="G339" s="1" t="s">
        <v>19</v>
      </c>
      <c r="H339" s="2">
        <v>3390000.0</v>
      </c>
      <c r="I339" s="1">
        <v>0.0</v>
      </c>
      <c r="J339" s="9" t="s">
        <v>28</v>
      </c>
      <c r="K339" s="5">
        <v>46098.0</v>
      </c>
      <c r="L339" s="11" t="s">
        <v>207</v>
      </c>
      <c r="M339" s="11"/>
      <c r="N339" s="4" t="str">
        <f t="shared" si="1"/>
        <v>Esteban Sepúlveda Morales</v>
      </c>
      <c r="O339" s="6" t="str">
        <f t="shared" si="2"/>
        <v>14.320.931-0</v>
      </c>
      <c r="P339" s="6" t="str">
        <f t="shared" si="3"/>
        <v>La Serena - La Serena - Región de Coquimbo</v>
      </c>
      <c r="Q339" s="4" t="str">
        <f t="shared" si="4"/>
        <v>Activo</v>
      </c>
      <c r="R339" s="12" t="str">
        <f t="shared" si="5"/>
        <v>Riesgo Bajo</v>
      </c>
    </row>
    <row r="340">
      <c r="A340" s="1" t="s">
        <v>3520</v>
      </c>
      <c r="B340" s="9" t="s">
        <v>3521</v>
      </c>
      <c r="C340" s="9" t="s">
        <v>3522</v>
      </c>
      <c r="D340" s="1" t="s">
        <v>3523</v>
      </c>
      <c r="E340" s="1" t="s">
        <v>33</v>
      </c>
      <c r="F340" s="1" t="s">
        <v>33</v>
      </c>
      <c r="G340" s="1" t="s">
        <v>34</v>
      </c>
      <c r="H340" s="2">
        <v>4740000.0</v>
      </c>
      <c r="I340" s="1">
        <v>60.0</v>
      </c>
      <c r="J340" s="9" t="s">
        <v>20</v>
      </c>
      <c r="K340" s="5">
        <v>46184.0</v>
      </c>
      <c r="L340" s="11" t="s">
        <v>207</v>
      </c>
      <c r="M340" s="11"/>
      <c r="N340" s="4" t="str">
        <f t="shared" si="1"/>
        <v>Esteban Soto Vergara</v>
      </c>
      <c r="O340" s="6" t="str">
        <f t="shared" si="2"/>
        <v>21.792.962-8</v>
      </c>
      <c r="P340" s="6" t="str">
        <f t="shared" si="3"/>
        <v>Puerto Montt - Puerto Montt - Región de Los Lagos</v>
      </c>
      <c r="Q340" s="4" t="str">
        <f t="shared" si="4"/>
        <v>En Revisión</v>
      </c>
      <c r="R340" s="12" t="str">
        <f t="shared" si="5"/>
        <v>Riesgo Medio</v>
      </c>
    </row>
    <row r="341">
      <c r="A341" s="1" t="s">
        <v>565</v>
      </c>
      <c r="B341" s="9" t="s">
        <v>566</v>
      </c>
      <c r="C341" s="9" t="s">
        <v>567</v>
      </c>
      <c r="D341" s="1" t="s">
        <v>569</v>
      </c>
      <c r="E341" s="1" t="s">
        <v>39</v>
      </c>
      <c r="F341" s="1" t="s">
        <v>39</v>
      </c>
      <c r="G341" s="1" t="s">
        <v>40</v>
      </c>
      <c r="H341" s="2">
        <v>1.732E7</v>
      </c>
      <c r="I341" s="1">
        <v>60.0</v>
      </c>
      <c r="J341" s="9" t="s">
        <v>20</v>
      </c>
      <c r="K341" s="5">
        <v>46030.0</v>
      </c>
      <c r="L341" s="11" t="s">
        <v>100</v>
      </c>
      <c r="M341" s="11"/>
      <c r="N341" s="4" t="str">
        <f t="shared" si="1"/>
        <v>Esteban Valenzuela Díaz</v>
      </c>
      <c r="O341" s="6" t="str">
        <f t="shared" si="2"/>
        <v>16.639.676-7</v>
      </c>
      <c r="P341" s="6" t="str">
        <f t="shared" si="3"/>
        <v>Concepción - Concepción - Región del Biobío</v>
      </c>
      <c r="Q341" s="4" t="str">
        <f t="shared" si="4"/>
        <v>En Revisión</v>
      </c>
      <c r="R341" s="12" t="str">
        <f t="shared" si="5"/>
        <v>Riesgo Medio</v>
      </c>
    </row>
    <row r="342">
      <c r="A342" s="1" t="s">
        <v>3037</v>
      </c>
      <c r="B342" s="9" t="s">
        <v>3038</v>
      </c>
      <c r="C342" s="9" t="s">
        <v>3039</v>
      </c>
      <c r="D342" s="1" t="s">
        <v>3040</v>
      </c>
      <c r="E342" s="1" t="s">
        <v>72</v>
      </c>
      <c r="F342" s="1" t="s">
        <v>62</v>
      </c>
      <c r="G342" s="1" t="s">
        <v>63</v>
      </c>
      <c r="H342" s="2">
        <v>1820000.0</v>
      </c>
      <c r="I342" s="1">
        <v>45.0</v>
      </c>
      <c r="J342" s="9" t="s">
        <v>20</v>
      </c>
      <c r="K342" s="5">
        <v>46149.0</v>
      </c>
      <c r="L342" s="11" t="s">
        <v>207</v>
      </c>
      <c r="M342" s="11"/>
      <c r="N342" s="4" t="str">
        <f t="shared" si="1"/>
        <v>Esteban Vergara Pérez</v>
      </c>
      <c r="O342" s="6" t="str">
        <f t="shared" si="2"/>
        <v>13214911-5</v>
      </c>
      <c r="P342" s="6" t="str">
        <f t="shared" si="3"/>
        <v>Providencia - Santiago - Región Metropolitana</v>
      </c>
      <c r="Q342" s="4" t="str">
        <f t="shared" si="4"/>
        <v>En Revisión</v>
      </c>
      <c r="R342" s="12" t="str">
        <f t="shared" si="5"/>
        <v>Riesgo Medio</v>
      </c>
    </row>
    <row r="343">
      <c r="A343" s="1" t="s">
        <v>2815</v>
      </c>
      <c r="B343" s="9" t="s">
        <v>2816</v>
      </c>
      <c r="C343" s="9" t="s">
        <v>2817</v>
      </c>
      <c r="D343" s="1" t="s">
        <v>2818</v>
      </c>
      <c r="E343" s="1" t="s">
        <v>61</v>
      </c>
      <c r="F343" s="1" t="s">
        <v>62</v>
      </c>
      <c r="G343" s="1" t="s">
        <v>63</v>
      </c>
      <c r="H343" s="2">
        <v>1.735E7</v>
      </c>
      <c r="I343" s="1">
        <v>15.0</v>
      </c>
      <c r="J343" s="9" t="s">
        <v>28</v>
      </c>
      <c r="K343" s="5">
        <v>46040.0</v>
      </c>
      <c r="L343" s="11" t="s">
        <v>100</v>
      </c>
      <c r="M343" s="11"/>
      <c r="N343" s="4" t="str">
        <f t="shared" si="1"/>
        <v>Felipe Araya Fuentes</v>
      </c>
      <c r="O343" s="6" t="str">
        <f t="shared" si="2"/>
        <v>18.968.758-6</v>
      </c>
      <c r="P343" s="6" t="str">
        <f t="shared" si="3"/>
        <v>Santiago Centro - Santiago - Región Metropolitana</v>
      </c>
      <c r="Q343" s="4" t="str">
        <f t="shared" si="4"/>
        <v>Activo</v>
      </c>
      <c r="R343" s="12" t="str">
        <f t="shared" si="5"/>
        <v>Riesgo Bajo</v>
      </c>
    </row>
    <row r="344">
      <c r="A344" s="1" t="s">
        <v>309</v>
      </c>
      <c r="B344" s="9" t="s">
        <v>310</v>
      </c>
      <c r="C344" s="9" t="s">
        <v>3536</v>
      </c>
      <c r="D344" s="1" t="s">
        <v>312</v>
      </c>
      <c r="E344" s="1" t="s">
        <v>61</v>
      </c>
      <c r="F344" s="1" t="s">
        <v>62</v>
      </c>
      <c r="G344" s="1" t="s">
        <v>63</v>
      </c>
      <c r="H344" s="2">
        <v>5730000.0</v>
      </c>
      <c r="I344" s="1">
        <v>45.0</v>
      </c>
      <c r="J344" s="9" t="s">
        <v>20</v>
      </c>
      <c r="K344" s="5">
        <v>46073.0</v>
      </c>
      <c r="L344" s="11" t="s">
        <v>160</v>
      </c>
      <c r="M344" s="11"/>
      <c r="N344" s="4" t="str">
        <f t="shared" si="1"/>
        <v>Felipe Araya Sepúlveda</v>
      </c>
      <c r="O344" s="6" t="str">
        <f t="shared" si="2"/>
        <v>20.171.486-1</v>
      </c>
      <c r="P344" s="6" t="str">
        <f t="shared" si="3"/>
        <v>Santiago Centro - Santiago - Región Metropolitana</v>
      </c>
      <c r="Q344" s="4" t="str">
        <f t="shared" si="4"/>
        <v>En Revisión</v>
      </c>
      <c r="R344" s="12" t="str">
        <f t="shared" si="5"/>
        <v>Riesgo Medio</v>
      </c>
    </row>
    <row r="345">
      <c r="A345" s="1" t="s">
        <v>3539</v>
      </c>
      <c r="B345" s="9" t="s">
        <v>3541</v>
      </c>
      <c r="C345" s="9" t="s">
        <v>3542</v>
      </c>
      <c r="D345" s="1" t="s">
        <v>3543</v>
      </c>
      <c r="E345" s="1" t="s">
        <v>33</v>
      </c>
      <c r="F345" s="1" t="s">
        <v>33</v>
      </c>
      <c r="G345" s="1" t="s">
        <v>34</v>
      </c>
      <c r="H345" s="2">
        <v>2.088E7</v>
      </c>
      <c r="I345" s="1">
        <v>60.0</v>
      </c>
      <c r="J345" s="9" t="s">
        <v>20</v>
      </c>
      <c r="K345" s="5">
        <v>46180.0</v>
      </c>
      <c r="L345" s="11" t="s">
        <v>181</v>
      </c>
      <c r="M345" s="11"/>
      <c r="N345" s="4" t="str">
        <f t="shared" si="1"/>
        <v>Felipe Contreras Morales</v>
      </c>
      <c r="O345" s="6" t="str">
        <f t="shared" si="2"/>
        <v>17.270.351-4</v>
      </c>
      <c r="P345" s="6" t="str">
        <f t="shared" si="3"/>
        <v>Puerto Montt - Puerto Montt - Región de Los Lagos</v>
      </c>
      <c r="Q345" s="4" t="str">
        <f t="shared" si="4"/>
        <v>En Revisión</v>
      </c>
      <c r="R345" s="12" t="str">
        <f t="shared" si="5"/>
        <v>Riesgo Medio</v>
      </c>
    </row>
    <row r="346">
      <c r="A346" s="1" t="s">
        <v>3545</v>
      </c>
      <c r="B346" s="9" t="s">
        <v>3546</v>
      </c>
      <c r="C346" s="9" t="s">
        <v>3547</v>
      </c>
      <c r="D346" s="1" t="s">
        <v>3548</v>
      </c>
      <c r="E346" s="1" t="s">
        <v>45</v>
      </c>
      <c r="F346" s="1" t="s">
        <v>45</v>
      </c>
      <c r="G346" s="1" t="s">
        <v>46</v>
      </c>
      <c r="H346" s="2">
        <v>2.142E7</v>
      </c>
      <c r="I346" s="1">
        <v>15.0</v>
      </c>
      <c r="J346" s="9" t="s">
        <v>20</v>
      </c>
      <c r="K346" s="5">
        <v>46087.0</v>
      </c>
      <c r="L346" s="11" t="s">
        <v>199</v>
      </c>
      <c r="M346" s="11"/>
      <c r="N346" s="4" t="str">
        <f t="shared" si="1"/>
        <v>Felipe Contreras Vergara</v>
      </c>
      <c r="O346" s="6" t="str">
        <f t="shared" si="2"/>
        <v>18.142.181-5</v>
      </c>
      <c r="P346" s="6" t="str">
        <f t="shared" si="3"/>
        <v>Temuco - Temuco - Región de la Araucanía</v>
      </c>
      <c r="Q346" s="4" t="str">
        <f t="shared" si="4"/>
        <v>En Revisión</v>
      </c>
      <c r="R346" s="12" t="str">
        <f t="shared" si="5"/>
        <v>Riesgo Medio</v>
      </c>
    </row>
    <row r="347">
      <c r="A347" s="1" t="s">
        <v>2933</v>
      </c>
      <c r="B347" s="9" t="s">
        <v>2934</v>
      </c>
      <c r="C347" s="9" t="s">
        <v>3553</v>
      </c>
      <c r="D347" s="1" t="s">
        <v>2936</v>
      </c>
      <c r="E347" s="1" t="s">
        <v>39</v>
      </c>
      <c r="F347" s="1" t="s">
        <v>39</v>
      </c>
      <c r="G347" s="1" t="s">
        <v>40</v>
      </c>
      <c r="H347" s="2">
        <v>1.173E7</v>
      </c>
      <c r="I347" s="1">
        <v>0.0</v>
      </c>
      <c r="J347" s="9" t="s">
        <v>28</v>
      </c>
      <c r="K347" s="5">
        <v>46209.0</v>
      </c>
      <c r="L347" s="11" t="s">
        <v>207</v>
      </c>
      <c r="M347" s="11"/>
      <c r="N347" s="4" t="str">
        <f t="shared" si="1"/>
        <v>Felipe Díaz Rodríguez</v>
      </c>
      <c r="O347" s="6" t="str">
        <f t="shared" si="2"/>
        <v>20.238.579-6</v>
      </c>
      <c r="P347" s="6" t="str">
        <f t="shared" si="3"/>
        <v>Concepción - Concepción - Región del Biobío</v>
      </c>
      <c r="Q347" s="4" t="str">
        <f t="shared" si="4"/>
        <v>Activo</v>
      </c>
      <c r="R347" s="12" t="str">
        <f t="shared" si="5"/>
        <v>Riesgo Bajo</v>
      </c>
    </row>
    <row r="348">
      <c r="A348" s="1" t="s">
        <v>3554</v>
      </c>
      <c r="B348" s="9" t="s">
        <v>3555</v>
      </c>
      <c r="C348" s="9" t="s">
        <v>3556</v>
      </c>
      <c r="D348" s="1" t="s">
        <v>2936</v>
      </c>
      <c r="E348" s="1" t="s">
        <v>56</v>
      </c>
      <c r="F348" s="1" t="s">
        <v>39</v>
      </c>
      <c r="G348" s="1" t="s">
        <v>40</v>
      </c>
      <c r="H348" s="2">
        <v>820000.0</v>
      </c>
      <c r="I348" s="1">
        <v>90.0</v>
      </c>
      <c r="J348" s="9" t="s">
        <v>28</v>
      </c>
      <c r="K348" s="5">
        <v>46180.0</v>
      </c>
      <c r="L348" s="11" t="s">
        <v>160</v>
      </c>
      <c r="M348" s="11"/>
      <c r="N348" s="4" t="str">
        <f t="shared" si="1"/>
        <v>Felipe Díaz Soto</v>
      </c>
      <c r="O348" s="6" t="str">
        <f t="shared" si="2"/>
        <v>16.226.884-9</v>
      </c>
      <c r="P348" s="6" t="str">
        <f t="shared" si="3"/>
        <v>Talcahuano - Concepción - Región del Biobío</v>
      </c>
      <c r="Q348" s="4" t="str">
        <f t="shared" si="4"/>
        <v>Activo</v>
      </c>
      <c r="R348" s="12" t="str">
        <f t="shared" si="5"/>
        <v>Riesgo Alto</v>
      </c>
    </row>
    <row r="349">
      <c r="A349" s="1" t="s">
        <v>1154</v>
      </c>
      <c r="B349" s="9" t="s">
        <v>1155</v>
      </c>
      <c r="C349" s="9" t="s">
        <v>3561</v>
      </c>
      <c r="D349" s="1" t="s">
        <v>1157</v>
      </c>
      <c r="E349" s="1" t="s">
        <v>56</v>
      </c>
      <c r="F349" s="1" t="s">
        <v>39</v>
      </c>
      <c r="G349" s="1" t="s">
        <v>40</v>
      </c>
      <c r="H349" s="2">
        <v>1.74E7</v>
      </c>
      <c r="I349" s="1">
        <v>120.0</v>
      </c>
      <c r="J349" s="9" t="s">
        <v>20</v>
      </c>
      <c r="K349" s="5">
        <v>46023.0</v>
      </c>
      <c r="L349" s="11" t="s">
        <v>100</v>
      </c>
      <c r="M349" s="11"/>
      <c r="N349" s="4" t="str">
        <f t="shared" si="1"/>
        <v>Felipe Díaz Tapia</v>
      </c>
      <c r="O349" s="6" t="str">
        <f t="shared" si="2"/>
        <v>14.761.892-9</v>
      </c>
      <c r="P349" s="6" t="str">
        <f t="shared" si="3"/>
        <v>Talcahuano - Concepción - Región del Biobío</v>
      </c>
      <c r="Q349" s="4" t="str">
        <f t="shared" si="4"/>
        <v>En Revisión</v>
      </c>
      <c r="R349" s="12" t="str">
        <f t="shared" si="5"/>
        <v>Riesgo Medio</v>
      </c>
    </row>
    <row r="350">
      <c r="A350" s="1" t="s">
        <v>3562</v>
      </c>
      <c r="B350" s="9" t="s">
        <v>3563</v>
      </c>
      <c r="C350" s="9" t="s">
        <v>3564</v>
      </c>
      <c r="D350" s="1" t="s">
        <v>3565</v>
      </c>
      <c r="E350" s="1" t="s">
        <v>39</v>
      </c>
      <c r="F350" s="1" t="s">
        <v>39</v>
      </c>
      <c r="G350" s="1" t="s">
        <v>40</v>
      </c>
      <c r="H350" s="2">
        <v>1.723E7</v>
      </c>
      <c r="I350" s="1">
        <v>0.0</v>
      </c>
      <c r="J350" s="9" t="s">
        <v>20</v>
      </c>
      <c r="K350" s="5">
        <v>46154.0</v>
      </c>
      <c r="L350" s="11" t="s">
        <v>160</v>
      </c>
      <c r="M350" s="11"/>
      <c r="N350" s="4" t="str">
        <f t="shared" si="1"/>
        <v>Felipe Fuentes Espinoza</v>
      </c>
      <c r="O350" s="6" t="str">
        <f t="shared" si="2"/>
        <v>18329058-1</v>
      </c>
      <c r="P350" s="6" t="str">
        <f t="shared" si="3"/>
        <v>Concepción - Concepción - Región del Biobío</v>
      </c>
      <c r="Q350" s="4" t="str">
        <f t="shared" si="4"/>
        <v>En Revisión</v>
      </c>
      <c r="R350" s="12" t="str">
        <f t="shared" si="5"/>
        <v>Riesgo Medio</v>
      </c>
    </row>
    <row r="351">
      <c r="A351" s="1" t="s">
        <v>3483</v>
      </c>
      <c r="B351" s="9" t="s">
        <v>3484</v>
      </c>
      <c r="C351" s="9" t="s">
        <v>3485</v>
      </c>
      <c r="D351" s="1" t="s">
        <v>3486</v>
      </c>
      <c r="E351" s="1" t="s">
        <v>39</v>
      </c>
      <c r="F351" s="1" t="s">
        <v>39</v>
      </c>
      <c r="G351" s="1" t="s">
        <v>40</v>
      </c>
      <c r="H351" s="2">
        <v>8540000.0</v>
      </c>
      <c r="I351" s="1">
        <v>120.0</v>
      </c>
      <c r="J351" s="9" t="s">
        <v>28</v>
      </c>
      <c r="K351" s="5">
        <v>46094.0</v>
      </c>
      <c r="L351" s="11" t="s">
        <v>160</v>
      </c>
      <c r="M351" s="11"/>
      <c r="N351" s="4" t="str">
        <f t="shared" si="1"/>
        <v>Felipe Fuentes Tapia</v>
      </c>
      <c r="O351" s="6" t="str">
        <f t="shared" si="2"/>
        <v>11.634.869-2</v>
      </c>
      <c r="P351" s="6" t="str">
        <f t="shared" si="3"/>
        <v>Concepción - Concepción - Región del Biobío</v>
      </c>
      <c r="Q351" s="4" t="str">
        <f t="shared" si="4"/>
        <v>Activo</v>
      </c>
      <c r="R351" s="12" t="str">
        <f t="shared" si="5"/>
        <v>Riesgo Alto</v>
      </c>
    </row>
    <row r="352">
      <c r="A352" s="1" t="s">
        <v>3573</v>
      </c>
      <c r="B352" s="9" t="s">
        <v>3575</v>
      </c>
      <c r="C352" s="9" t="s">
        <v>3576</v>
      </c>
      <c r="D352" s="1" t="s">
        <v>3577</v>
      </c>
      <c r="E352" s="1" t="s">
        <v>118</v>
      </c>
      <c r="F352" s="1" t="s">
        <v>62</v>
      </c>
      <c r="G352" s="1" t="s">
        <v>63</v>
      </c>
      <c r="H352" s="2">
        <v>1.599E7</v>
      </c>
      <c r="I352" s="1">
        <v>90.0</v>
      </c>
      <c r="J352" s="9" t="s">
        <v>28</v>
      </c>
      <c r="K352" s="5">
        <v>46024.0</v>
      </c>
      <c r="L352" s="11" t="s">
        <v>181</v>
      </c>
      <c r="M352" s="11"/>
      <c r="N352" s="4" t="str">
        <f t="shared" si="1"/>
        <v>Felipe González Fuentes</v>
      </c>
      <c r="O352" s="6" t="str">
        <f t="shared" si="2"/>
        <v>16778493-4</v>
      </c>
      <c r="P352" s="6" t="str">
        <f t="shared" si="3"/>
        <v>Maipú - Santiago - Región Metropolitana</v>
      </c>
      <c r="Q352" s="4" t="str">
        <f t="shared" si="4"/>
        <v>Activo</v>
      </c>
      <c r="R352" s="12" t="str">
        <f t="shared" si="5"/>
        <v>Riesgo Alto</v>
      </c>
    </row>
    <row r="353">
      <c r="A353" s="1" t="s">
        <v>2099</v>
      </c>
      <c r="B353" s="9" t="s">
        <v>2101</v>
      </c>
      <c r="C353" s="9" t="s">
        <v>2103</v>
      </c>
      <c r="D353" s="1" t="s">
        <v>2105</v>
      </c>
      <c r="E353" s="1" t="s">
        <v>33</v>
      </c>
      <c r="F353" s="1" t="s">
        <v>33</v>
      </c>
      <c r="G353" s="1" t="s">
        <v>34</v>
      </c>
      <c r="H353" s="2">
        <v>2.107E7</v>
      </c>
      <c r="I353" s="1">
        <v>60.0</v>
      </c>
      <c r="J353" s="9" t="s">
        <v>20</v>
      </c>
      <c r="K353" s="5">
        <v>46103.0</v>
      </c>
      <c r="L353" s="11" t="s">
        <v>160</v>
      </c>
      <c r="M353" s="11"/>
      <c r="N353" s="4" t="str">
        <f t="shared" si="1"/>
        <v>Felipe González González</v>
      </c>
      <c r="O353" s="6" t="str">
        <f t="shared" si="2"/>
        <v>16.287.875-4</v>
      </c>
      <c r="P353" s="6" t="str">
        <f t="shared" si="3"/>
        <v>Puerto Montt - Puerto Montt - Región de Los Lagos</v>
      </c>
      <c r="Q353" s="4" t="str">
        <f t="shared" si="4"/>
        <v>En Revisión</v>
      </c>
      <c r="R353" s="12" t="str">
        <f t="shared" si="5"/>
        <v>Riesgo Medio</v>
      </c>
    </row>
    <row r="354">
      <c r="A354" s="1" t="s">
        <v>451</v>
      </c>
      <c r="B354" s="9" t="s">
        <v>452</v>
      </c>
      <c r="C354" s="9" t="s">
        <v>454</v>
      </c>
      <c r="D354" s="1" t="s">
        <v>456</v>
      </c>
      <c r="E354" s="1" t="s">
        <v>61</v>
      </c>
      <c r="F354" s="1" t="s">
        <v>62</v>
      </c>
      <c r="G354" s="1" t="s">
        <v>63</v>
      </c>
      <c r="H354" s="2">
        <v>1.186E7</v>
      </c>
      <c r="I354" s="1">
        <v>30.0</v>
      </c>
      <c r="J354" s="9" t="s">
        <v>28</v>
      </c>
      <c r="K354" s="5">
        <v>46023.0</v>
      </c>
      <c r="L354" s="11" t="s">
        <v>160</v>
      </c>
      <c r="M354" s="11"/>
      <c r="N354" s="4" t="str">
        <f t="shared" si="1"/>
        <v>Felipe González López</v>
      </c>
      <c r="O354" s="6" t="str">
        <f t="shared" si="2"/>
        <v>15748097-K</v>
      </c>
      <c r="P354" s="6" t="str">
        <f t="shared" si="3"/>
        <v>Santiago Centro - Santiago - Región Metropolitana</v>
      </c>
      <c r="Q354" s="4" t="str">
        <f t="shared" si="4"/>
        <v>Activo</v>
      </c>
      <c r="R354" s="12" t="str">
        <f t="shared" si="5"/>
        <v>Riesgo Bajo</v>
      </c>
    </row>
    <row r="355">
      <c r="A355" s="1" t="s">
        <v>749</v>
      </c>
      <c r="B355" s="9" t="s">
        <v>750</v>
      </c>
      <c r="C355" s="9" t="s">
        <v>751</v>
      </c>
      <c r="D355" s="1" t="s">
        <v>752</v>
      </c>
      <c r="E355" s="1" t="s">
        <v>25</v>
      </c>
      <c r="F355" s="1" t="s">
        <v>26</v>
      </c>
      <c r="G355" s="1" t="s">
        <v>27</v>
      </c>
      <c r="H355" s="2">
        <v>8770000.0</v>
      </c>
      <c r="I355" s="1">
        <v>90.0</v>
      </c>
      <c r="J355" s="9" t="s">
        <v>20</v>
      </c>
      <c r="K355" s="5">
        <v>46135.0</v>
      </c>
      <c r="L355" s="11" t="s">
        <v>207</v>
      </c>
      <c r="M355" s="11"/>
      <c r="N355" s="4" t="str">
        <f t="shared" si="1"/>
        <v>Felipe González Rodríguez</v>
      </c>
      <c r="O355" s="6" t="str">
        <f t="shared" si="2"/>
        <v>14.197.146-6</v>
      </c>
      <c r="P355" s="6" t="str">
        <f t="shared" si="3"/>
        <v>Viña del Mar - Valparaíso - Región de Valparaíso</v>
      </c>
      <c r="Q355" s="4" t="str">
        <f t="shared" si="4"/>
        <v>En Revisión</v>
      </c>
      <c r="R355" s="12" t="str">
        <f t="shared" si="5"/>
        <v>Riesgo Medio</v>
      </c>
    </row>
    <row r="356">
      <c r="A356" s="1" t="s">
        <v>2506</v>
      </c>
      <c r="B356" s="9" t="s">
        <v>2507</v>
      </c>
      <c r="C356" s="9" t="s">
        <v>3589</v>
      </c>
      <c r="D356" s="1" t="s">
        <v>2105</v>
      </c>
      <c r="E356" s="1" t="s">
        <v>56</v>
      </c>
      <c r="F356" s="1" t="s">
        <v>39</v>
      </c>
      <c r="G356" s="1" t="s">
        <v>40</v>
      </c>
      <c r="H356" s="2">
        <v>1.694E7</v>
      </c>
      <c r="I356" s="1">
        <v>120.0</v>
      </c>
      <c r="J356" s="9" t="s">
        <v>28</v>
      </c>
      <c r="K356" s="5">
        <v>46123.0</v>
      </c>
      <c r="L356" s="11" t="s">
        <v>160</v>
      </c>
      <c r="M356" s="11"/>
      <c r="N356" s="4" t="str">
        <f t="shared" si="1"/>
        <v>Felipe González Rojas</v>
      </c>
      <c r="O356" s="6" t="str">
        <f t="shared" si="2"/>
        <v>22.429.727-0</v>
      </c>
      <c r="P356" s="6" t="str">
        <f t="shared" si="3"/>
        <v>Talcahuano - Concepción - Región del Biobío</v>
      </c>
      <c r="Q356" s="4" t="str">
        <f t="shared" si="4"/>
        <v>Activo</v>
      </c>
      <c r="R356" s="12" t="str">
        <f t="shared" si="5"/>
        <v>Riesgo Alto</v>
      </c>
    </row>
    <row r="357">
      <c r="A357" s="1" t="s">
        <v>1814</v>
      </c>
      <c r="B357" s="9" t="s">
        <v>1815</v>
      </c>
      <c r="C357" s="9" t="s">
        <v>1816</v>
      </c>
      <c r="D357" s="1" t="s">
        <v>1817</v>
      </c>
      <c r="E357" s="1" t="s">
        <v>18</v>
      </c>
      <c r="F357" s="1" t="s">
        <v>18</v>
      </c>
      <c r="G357" s="1" t="s">
        <v>19</v>
      </c>
      <c r="H357" s="2">
        <v>8390000.0</v>
      </c>
      <c r="I357" s="1">
        <v>120.0</v>
      </c>
      <c r="J357" s="9" t="s">
        <v>28</v>
      </c>
      <c r="K357" s="5">
        <v>46230.0</v>
      </c>
      <c r="L357" s="11" t="s">
        <v>207</v>
      </c>
      <c r="M357" s="11"/>
      <c r="N357" s="4" t="str">
        <f t="shared" si="1"/>
        <v>Felipe Pérez Fuentes</v>
      </c>
      <c r="O357" s="6" t="str">
        <f t="shared" si="2"/>
        <v>13.831.723-5</v>
      </c>
      <c r="P357" s="6" t="str">
        <f t="shared" si="3"/>
        <v>La Serena - La Serena - Región de Coquimbo</v>
      </c>
      <c r="Q357" s="4" t="str">
        <f t="shared" si="4"/>
        <v>Activo</v>
      </c>
      <c r="R357" s="12" t="str">
        <f t="shared" si="5"/>
        <v>Riesgo Alto</v>
      </c>
    </row>
    <row r="358">
      <c r="A358" s="1" t="s">
        <v>3593</v>
      </c>
      <c r="B358" s="9" t="s">
        <v>3595</v>
      </c>
      <c r="C358" s="9" t="s">
        <v>3596</v>
      </c>
      <c r="D358" s="1" t="s">
        <v>1817</v>
      </c>
      <c r="E358" s="1" t="s">
        <v>39</v>
      </c>
      <c r="F358" s="1" t="s">
        <v>39</v>
      </c>
      <c r="G358" s="1" t="s">
        <v>40</v>
      </c>
      <c r="H358" s="2">
        <v>2.19E7</v>
      </c>
      <c r="I358" s="1">
        <v>0.0</v>
      </c>
      <c r="J358" s="9" t="s">
        <v>20</v>
      </c>
      <c r="K358" s="5">
        <v>46077.0</v>
      </c>
      <c r="L358" s="11" t="s">
        <v>100</v>
      </c>
      <c r="M358" s="11"/>
      <c r="N358" s="4" t="str">
        <f t="shared" si="1"/>
        <v>Felipe Pérez Muñoz</v>
      </c>
      <c r="O358" s="6" t="str">
        <f t="shared" si="2"/>
        <v>12.232.514-4</v>
      </c>
      <c r="P358" s="6" t="str">
        <f t="shared" si="3"/>
        <v>Concepción - Concepción - Región del Biobío</v>
      </c>
      <c r="Q358" s="4" t="str">
        <f t="shared" si="4"/>
        <v>En Revisión</v>
      </c>
      <c r="R358" s="12" t="str">
        <f t="shared" si="5"/>
        <v>Riesgo Medio</v>
      </c>
    </row>
    <row r="359">
      <c r="A359" s="1" t="s">
        <v>1541</v>
      </c>
      <c r="B359" s="9" t="s">
        <v>1542</v>
      </c>
      <c r="C359" s="9" t="s">
        <v>3597</v>
      </c>
      <c r="D359" s="1" t="s">
        <v>1544</v>
      </c>
      <c r="E359" s="1" t="s">
        <v>72</v>
      </c>
      <c r="F359" s="1" t="s">
        <v>62</v>
      </c>
      <c r="G359" s="1" t="s">
        <v>63</v>
      </c>
      <c r="H359" s="2">
        <v>1.941E7</v>
      </c>
      <c r="I359" s="1">
        <v>15.0</v>
      </c>
      <c r="J359" s="9" t="s">
        <v>20</v>
      </c>
      <c r="K359" s="5">
        <v>46086.0</v>
      </c>
      <c r="L359" s="11" t="s">
        <v>207</v>
      </c>
      <c r="M359" s="11"/>
      <c r="N359" s="4" t="str">
        <f t="shared" si="1"/>
        <v>Felipe Rodríguez Silva</v>
      </c>
      <c r="O359" s="6" t="str">
        <f t="shared" si="2"/>
        <v>16174998-K</v>
      </c>
      <c r="P359" s="6" t="str">
        <f t="shared" si="3"/>
        <v>Providencia - Santiago - Región Metropolitana</v>
      </c>
      <c r="Q359" s="4" t="str">
        <f t="shared" si="4"/>
        <v>En Revisión</v>
      </c>
      <c r="R359" s="12" t="str">
        <f t="shared" si="5"/>
        <v>Riesgo Medio</v>
      </c>
    </row>
    <row r="360">
      <c r="A360" s="1" t="s">
        <v>3600</v>
      </c>
      <c r="B360" s="9" t="s">
        <v>3602</v>
      </c>
      <c r="C360" s="9" t="s">
        <v>3603</v>
      </c>
      <c r="D360" s="1" t="s">
        <v>3604</v>
      </c>
      <c r="E360" s="1" t="s">
        <v>18</v>
      </c>
      <c r="F360" s="1" t="s">
        <v>18</v>
      </c>
      <c r="G360" s="1" t="s">
        <v>19</v>
      </c>
      <c r="H360" s="2">
        <v>6200000.0</v>
      </c>
      <c r="I360" s="1">
        <v>60.0</v>
      </c>
      <c r="J360" s="9" t="s">
        <v>28</v>
      </c>
      <c r="K360" s="5">
        <v>46221.0</v>
      </c>
      <c r="L360" s="11" t="s">
        <v>207</v>
      </c>
      <c r="M360" s="11"/>
      <c r="N360" s="4" t="str">
        <f t="shared" si="1"/>
        <v>Felipe Sepúlveda González</v>
      </c>
      <c r="O360" s="6" t="str">
        <f t="shared" si="2"/>
        <v>21820682-7</v>
      </c>
      <c r="P360" s="6" t="str">
        <f t="shared" si="3"/>
        <v>La Serena - La Serena - Región de Coquimbo</v>
      </c>
      <c r="Q360" s="4" t="str">
        <f t="shared" si="4"/>
        <v>Activo</v>
      </c>
      <c r="R360" s="12" t="str">
        <f t="shared" si="5"/>
        <v>Riesgo Medio</v>
      </c>
    </row>
    <row r="361">
      <c r="A361" s="1" t="s">
        <v>161</v>
      </c>
      <c r="B361" s="9" t="s">
        <v>162</v>
      </c>
      <c r="C361" s="9" t="s">
        <v>163</v>
      </c>
      <c r="D361" s="1" t="s">
        <v>164</v>
      </c>
      <c r="E361" s="1" t="s">
        <v>39</v>
      </c>
      <c r="F361" s="1" t="s">
        <v>39</v>
      </c>
      <c r="G361" s="1" t="s">
        <v>40</v>
      </c>
      <c r="H361" s="2">
        <v>5550000.0</v>
      </c>
      <c r="I361" s="1">
        <v>30.0</v>
      </c>
      <c r="J361" s="9" t="s">
        <v>28</v>
      </c>
      <c r="K361" s="5">
        <v>46209.0</v>
      </c>
      <c r="L361" s="11" t="s">
        <v>100</v>
      </c>
      <c r="M361" s="11"/>
      <c r="N361" s="4" t="str">
        <f t="shared" si="1"/>
        <v>Felipe Sepúlveda Rodríguez</v>
      </c>
      <c r="O361" s="6" t="str">
        <f t="shared" si="2"/>
        <v>20.093.525-5</v>
      </c>
      <c r="P361" s="6" t="str">
        <f t="shared" si="3"/>
        <v>Concepción - Concepción - Región del Biobío</v>
      </c>
      <c r="Q361" s="4" t="str">
        <f t="shared" si="4"/>
        <v>Activo</v>
      </c>
      <c r="R361" s="12" t="str">
        <f t="shared" si="5"/>
        <v>Riesgo Bajo</v>
      </c>
    </row>
    <row r="362">
      <c r="A362" s="1" t="s">
        <v>3608</v>
      </c>
      <c r="B362" s="9" t="s">
        <v>3609</v>
      </c>
      <c r="C362" s="9" t="s">
        <v>3611</v>
      </c>
      <c r="D362" s="1" t="s">
        <v>3612</v>
      </c>
      <c r="E362" s="1" t="s">
        <v>45</v>
      </c>
      <c r="F362" s="1" t="s">
        <v>45</v>
      </c>
      <c r="G362" s="1" t="s">
        <v>46</v>
      </c>
      <c r="H362" s="2">
        <v>1.583E7</v>
      </c>
      <c r="I362" s="1">
        <v>60.0</v>
      </c>
      <c r="J362" s="9" t="s">
        <v>20</v>
      </c>
      <c r="K362" s="5">
        <v>46198.0</v>
      </c>
      <c r="L362" s="11" t="s">
        <v>181</v>
      </c>
      <c r="M362" s="11"/>
      <c r="N362" s="4" t="str">
        <f t="shared" si="1"/>
        <v>Felipe Silva Morales</v>
      </c>
      <c r="O362" s="6" t="str">
        <f t="shared" si="2"/>
        <v>20.692.778-7</v>
      </c>
      <c r="P362" s="6" t="str">
        <f t="shared" si="3"/>
        <v>Temuco - Temuco - Región de la Araucanía</v>
      </c>
      <c r="Q362" s="4" t="str">
        <f t="shared" si="4"/>
        <v>En Revisión</v>
      </c>
      <c r="R362" s="12" t="str">
        <f t="shared" si="5"/>
        <v>Riesgo Medio</v>
      </c>
    </row>
    <row r="363">
      <c r="A363" s="1" t="s">
        <v>1673</v>
      </c>
      <c r="B363" s="9" t="s">
        <v>1674</v>
      </c>
      <c r="C363" s="9" t="s">
        <v>1675</v>
      </c>
      <c r="D363" s="1" t="s">
        <v>1677</v>
      </c>
      <c r="E363" s="1" t="s">
        <v>33</v>
      </c>
      <c r="F363" s="1" t="s">
        <v>33</v>
      </c>
      <c r="G363" s="1" t="s">
        <v>34</v>
      </c>
      <c r="H363" s="2">
        <v>1.986E7</v>
      </c>
      <c r="I363" s="1">
        <v>0.0</v>
      </c>
      <c r="J363" s="9" t="s">
        <v>20</v>
      </c>
      <c r="K363" s="5">
        <v>46174.0</v>
      </c>
      <c r="L363" s="11" t="s">
        <v>100</v>
      </c>
      <c r="M363" s="11"/>
      <c r="N363" s="4" t="str">
        <f t="shared" si="1"/>
        <v>Felipe Silva Valenzuela</v>
      </c>
      <c r="O363" s="6" t="str">
        <f t="shared" si="2"/>
        <v>18.781.729-8</v>
      </c>
      <c r="P363" s="6" t="str">
        <f t="shared" si="3"/>
        <v>Puerto Montt - Puerto Montt - Región de Los Lagos</v>
      </c>
      <c r="Q363" s="4" t="str">
        <f t="shared" si="4"/>
        <v>En Revisión</v>
      </c>
      <c r="R363" s="12" t="str">
        <f t="shared" si="5"/>
        <v>Riesgo Medio</v>
      </c>
    </row>
    <row r="364">
      <c r="A364" s="1" t="s">
        <v>3207</v>
      </c>
      <c r="B364" s="9" t="s">
        <v>3208</v>
      </c>
      <c r="C364" s="9" t="s">
        <v>3617</v>
      </c>
      <c r="D364" s="1" t="s">
        <v>3210</v>
      </c>
      <c r="E364" s="1" t="s">
        <v>56</v>
      </c>
      <c r="F364" s="1" t="s">
        <v>39</v>
      </c>
      <c r="G364" s="1" t="s">
        <v>40</v>
      </c>
      <c r="H364" s="2">
        <v>9600000.0</v>
      </c>
      <c r="I364" s="1">
        <v>45.0</v>
      </c>
      <c r="J364" s="9" t="s">
        <v>28</v>
      </c>
      <c r="K364" s="5">
        <v>46149.0</v>
      </c>
      <c r="L364" s="11" t="s">
        <v>207</v>
      </c>
      <c r="M364" s="11"/>
      <c r="N364" s="4" t="str">
        <f t="shared" si="1"/>
        <v>Felipe Soto Tapia</v>
      </c>
      <c r="O364" s="6" t="str">
        <f t="shared" si="2"/>
        <v>12.454.201-2</v>
      </c>
      <c r="P364" s="6" t="str">
        <f t="shared" si="3"/>
        <v>Talcahuano - Concepción - Región del Biobío</v>
      </c>
      <c r="Q364" s="4" t="str">
        <f t="shared" si="4"/>
        <v>Activo</v>
      </c>
      <c r="R364" s="12" t="str">
        <f t="shared" si="5"/>
        <v>Riesgo Medio</v>
      </c>
    </row>
    <row r="365">
      <c r="A365" s="1" t="s">
        <v>3619</v>
      </c>
      <c r="B365" s="9" t="s">
        <v>3621</v>
      </c>
      <c r="C365" s="9" t="s">
        <v>3623</v>
      </c>
      <c r="D365" s="1" t="s">
        <v>3625</v>
      </c>
      <c r="E365" s="1" t="s">
        <v>18</v>
      </c>
      <c r="F365" s="1" t="s">
        <v>18</v>
      </c>
      <c r="G365" s="1" t="s">
        <v>19</v>
      </c>
      <c r="H365" s="2">
        <v>1.802E7</v>
      </c>
      <c r="I365" s="1">
        <v>0.0</v>
      </c>
      <c r="J365" s="9" t="s">
        <v>97</v>
      </c>
      <c r="K365" s="5">
        <v>46117.0</v>
      </c>
      <c r="L365" s="11" t="s">
        <v>160</v>
      </c>
      <c r="M365" s="11"/>
      <c r="N365" s="4" t="str">
        <f t="shared" si="1"/>
        <v>Felipe Tapia Espinoza</v>
      </c>
      <c r="O365" s="6" t="str">
        <f t="shared" si="2"/>
        <v>17847176-8</v>
      </c>
      <c r="P365" s="6" t="str">
        <f t="shared" si="3"/>
        <v>La Serena - La Serena - Región de Coquimbo</v>
      </c>
      <c r="Q365" s="4" t="str">
        <f t="shared" si="4"/>
        <v>Inactivo</v>
      </c>
      <c r="R365" s="12" t="str">
        <f t="shared" si="5"/>
        <v>Riesgo Bajo</v>
      </c>
    </row>
    <row r="366">
      <c r="A366" s="1" t="s">
        <v>3628</v>
      </c>
      <c r="B366" s="9" t="s">
        <v>3630</v>
      </c>
      <c r="C366" s="9" t="s">
        <v>3632</v>
      </c>
      <c r="D366" s="1" t="s">
        <v>3633</v>
      </c>
      <c r="E366" s="1" t="s">
        <v>72</v>
      </c>
      <c r="F366" s="1" t="s">
        <v>62</v>
      </c>
      <c r="G366" s="1" t="s">
        <v>63</v>
      </c>
      <c r="H366" s="2">
        <v>1.152E7</v>
      </c>
      <c r="I366" s="1">
        <v>45.0</v>
      </c>
      <c r="J366" s="9" t="s">
        <v>20</v>
      </c>
      <c r="K366" s="5">
        <v>46025.0</v>
      </c>
      <c r="L366" s="11" t="s">
        <v>160</v>
      </c>
      <c r="M366" s="11"/>
      <c r="N366" s="4" t="str">
        <f t="shared" si="1"/>
        <v>Felipe Tapia Pérez</v>
      </c>
      <c r="O366" s="6" t="str">
        <f t="shared" si="2"/>
        <v>12.321.728-6</v>
      </c>
      <c r="P366" s="6" t="str">
        <f t="shared" si="3"/>
        <v>Providencia - Santiago - Región Metropolitana</v>
      </c>
      <c r="Q366" s="4" t="str">
        <f t="shared" si="4"/>
        <v>En Revisión</v>
      </c>
      <c r="R366" s="12" t="str">
        <f t="shared" si="5"/>
        <v>Riesgo Medio</v>
      </c>
    </row>
    <row r="367">
      <c r="A367" s="1" t="s">
        <v>1360</v>
      </c>
      <c r="B367" s="9" t="s">
        <v>1361</v>
      </c>
      <c r="C367" s="9" t="s">
        <v>1362</v>
      </c>
      <c r="D367" s="1" t="s">
        <v>1363</v>
      </c>
      <c r="E367" s="1" t="s">
        <v>45</v>
      </c>
      <c r="F367" s="1" t="s">
        <v>45</v>
      </c>
      <c r="G367" s="1" t="s">
        <v>46</v>
      </c>
      <c r="H367" s="2">
        <v>1.348E7</v>
      </c>
      <c r="I367" s="1">
        <v>0.0</v>
      </c>
      <c r="J367" s="9" t="s">
        <v>20</v>
      </c>
      <c r="K367" s="5">
        <v>46148.0</v>
      </c>
      <c r="L367" s="11" t="s">
        <v>181</v>
      </c>
      <c r="M367" s="11"/>
      <c r="N367" s="4" t="str">
        <f t="shared" si="1"/>
        <v>Felipe Tapia Sepúlveda</v>
      </c>
      <c r="O367" s="6" t="str">
        <f t="shared" si="2"/>
        <v>21.144.931-6</v>
      </c>
      <c r="P367" s="6" t="str">
        <f t="shared" si="3"/>
        <v>Temuco - Temuco - Región de la Araucanía</v>
      </c>
      <c r="Q367" s="4" t="str">
        <f t="shared" si="4"/>
        <v>En Revisión</v>
      </c>
      <c r="R367" s="12" t="str">
        <f t="shared" si="5"/>
        <v>Riesgo Medio</v>
      </c>
    </row>
    <row r="368">
      <c r="A368" s="1" t="s">
        <v>796</v>
      </c>
      <c r="B368" s="9" t="s">
        <v>798</v>
      </c>
      <c r="C368" s="9" t="s">
        <v>3639</v>
      </c>
      <c r="D368" s="1" t="s">
        <v>800</v>
      </c>
      <c r="E368" s="1" t="s">
        <v>72</v>
      </c>
      <c r="F368" s="1" t="s">
        <v>62</v>
      </c>
      <c r="G368" s="1" t="s">
        <v>63</v>
      </c>
      <c r="H368" s="2">
        <v>5920000.0</v>
      </c>
      <c r="I368" s="1">
        <v>30.0</v>
      </c>
      <c r="J368" s="9" t="s">
        <v>28</v>
      </c>
      <c r="K368" s="5">
        <v>46091.0</v>
      </c>
      <c r="L368" s="11" t="s">
        <v>160</v>
      </c>
      <c r="M368" s="11"/>
      <c r="N368" s="4" t="str">
        <f t="shared" si="1"/>
        <v>Felipe Valenzuela Sepúlveda</v>
      </c>
      <c r="O368" s="6" t="str">
        <f t="shared" si="2"/>
        <v>14.827.339-6</v>
      </c>
      <c r="P368" s="6" t="str">
        <f t="shared" si="3"/>
        <v>Providencia - Santiago - Región Metropolitana</v>
      </c>
      <c r="Q368" s="4" t="str">
        <f t="shared" si="4"/>
        <v>Activo</v>
      </c>
      <c r="R368" s="12" t="str">
        <f t="shared" si="5"/>
        <v>Riesgo Bajo</v>
      </c>
    </row>
    <row r="369">
      <c r="A369" s="1" t="s">
        <v>3644</v>
      </c>
      <c r="B369" s="9" t="s">
        <v>3645</v>
      </c>
      <c r="C369" s="9" t="s">
        <v>3646</v>
      </c>
      <c r="D369" s="1" t="s">
        <v>3647</v>
      </c>
      <c r="E369" s="1" t="s">
        <v>56</v>
      </c>
      <c r="F369" s="1" t="s">
        <v>39</v>
      </c>
      <c r="G369" s="1" t="s">
        <v>40</v>
      </c>
      <c r="H369" s="2">
        <v>1.12E7</v>
      </c>
      <c r="I369" s="1">
        <v>15.0</v>
      </c>
      <c r="J369" s="9" t="s">
        <v>28</v>
      </c>
      <c r="K369" s="5">
        <v>46159.0</v>
      </c>
      <c r="L369" s="11" t="s">
        <v>160</v>
      </c>
      <c r="M369" s="11"/>
      <c r="N369" s="4" t="str">
        <f t="shared" si="1"/>
        <v>Felipe Valenzuela Soto</v>
      </c>
      <c r="O369" s="6" t="str">
        <f t="shared" si="2"/>
        <v>13804487-9</v>
      </c>
      <c r="P369" s="6" t="str">
        <f t="shared" si="3"/>
        <v>Talcahuano - Concepción - Región del Biobío</v>
      </c>
      <c r="Q369" s="4" t="str">
        <f t="shared" si="4"/>
        <v>Activo</v>
      </c>
      <c r="R369" s="12" t="str">
        <f t="shared" si="5"/>
        <v>Riesgo Bajo</v>
      </c>
    </row>
    <row r="370">
      <c r="A370" s="1" t="s">
        <v>3652</v>
      </c>
      <c r="B370" s="9" t="s">
        <v>3653</v>
      </c>
      <c r="C370" s="9" t="s">
        <v>3654</v>
      </c>
      <c r="D370" s="1" t="s">
        <v>962</v>
      </c>
      <c r="E370" s="1" t="s">
        <v>72</v>
      </c>
      <c r="F370" s="1" t="s">
        <v>62</v>
      </c>
      <c r="G370" s="1" t="s">
        <v>63</v>
      </c>
      <c r="H370" s="2">
        <v>4800000.0</v>
      </c>
      <c r="I370" s="1">
        <v>120.0</v>
      </c>
      <c r="J370" s="9" t="s">
        <v>97</v>
      </c>
      <c r="K370" s="5">
        <v>46069.0</v>
      </c>
      <c r="L370" s="11" t="s">
        <v>207</v>
      </c>
      <c r="M370" s="11"/>
      <c r="N370" s="4" t="str">
        <f t="shared" si="1"/>
        <v>Felipe Vergara Silva</v>
      </c>
      <c r="O370" s="6" t="str">
        <f t="shared" si="2"/>
        <v>13.658.110-1</v>
      </c>
      <c r="P370" s="6" t="str">
        <f t="shared" si="3"/>
        <v>Providencia - Santiago - Región Metropolitana</v>
      </c>
      <c r="Q370" s="4" t="str">
        <f t="shared" si="4"/>
        <v>Inactivo</v>
      </c>
      <c r="R370" s="12" t="str">
        <f t="shared" si="5"/>
        <v>Riesgo Medio</v>
      </c>
    </row>
    <row r="371">
      <c r="A371" s="1" t="s">
        <v>3659</v>
      </c>
      <c r="B371" s="9" t="s">
        <v>3660</v>
      </c>
      <c r="C371" s="9" t="s">
        <v>3654</v>
      </c>
      <c r="D371" s="1" t="s">
        <v>962</v>
      </c>
      <c r="E371" s="1" t="s">
        <v>194</v>
      </c>
      <c r="F371" s="1" t="s">
        <v>62</v>
      </c>
      <c r="G371" s="1" t="s">
        <v>63</v>
      </c>
      <c r="H371" s="2">
        <v>1.005E7</v>
      </c>
      <c r="I371" s="1">
        <v>0.0</v>
      </c>
      <c r="J371" s="9" t="s">
        <v>97</v>
      </c>
      <c r="K371" s="5">
        <v>46098.0</v>
      </c>
      <c r="L371" s="11" t="s">
        <v>160</v>
      </c>
      <c r="M371" s="11"/>
      <c r="N371" s="4" t="str">
        <f t="shared" si="1"/>
        <v>Felipe Vergara Silva</v>
      </c>
      <c r="O371" s="6" t="str">
        <f t="shared" si="2"/>
        <v>13155270-5</v>
      </c>
      <c r="P371" s="6" t="str">
        <f t="shared" si="3"/>
        <v>Las Condes - Santiago - Región Metropolitana</v>
      </c>
      <c r="Q371" s="4" t="str">
        <f t="shared" si="4"/>
        <v>Inactivo</v>
      </c>
      <c r="R371" s="12" t="str">
        <f t="shared" si="5"/>
        <v>Riesgo Bajo</v>
      </c>
    </row>
    <row r="372">
      <c r="A372" s="1" t="s">
        <v>958</v>
      </c>
      <c r="B372" s="9" t="s">
        <v>959</v>
      </c>
      <c r="C372" s="9" t="s">
        <v>3667</v>
      </c>
      <c r="D372" s="1" t="s">
        <v>962</v>
      </c>
      <c r="E372" s="1" t="s">
        <v>39</v>
      </c>
      <c r="F372" s="1" t="s">
        <v>39</v>
      </c>
      <c r="G372" s="1" t="s">
        <v>40</v>
      </c>
      <c r="H372" s="2">
        <v>2600000.0</v>
      </c>
      <c r="I372" s="1">
        <v>60.0</v>
      </c>
      <c r="J372" s="9" t="s">
        <v>20</v>
      </c>
      <c r="K372" s="5">
        <v>46195.0</v>
      </c>
      <c r="L372" s="11" t="s">
        <v>207</v>
      </c>
      <c r="M372" s="11"/>
      <c r="N372" s="4" t="str">
        <f t="shared" si="1"/>
        <v>Felipe Vergara Vergara</v>
      </c>
      <c r="O372" s="6" t="str">
        <f t="shared" si="2"/>
        <v>19.485.484-7</v>
      </c>
      <c r="P372" s="6" t="str">
        <f t="shared" si="3"/>
        <v>Concepción - Concepción - Región del Biobío</v>
      </c>
      <c r="Q372" s="4" t="str">
        <f t="shared" si="4"/>
        <v>En Revisión</v>
      </c>
      <c r="R372" s="12" t="str">
        <f t="shared" si="5"/>
        <v>Riesgo Medio</v>
      </c>
    </row>
    <row r="373">
      <c r="A373" s="1" t="s">
        <v>3673</v>
      </c>
      <c r="B373" s="9" t="s">
        <v>3674</v>
      </c>
      <c r="C373" s="9" t="s">
        <v>3675</v>
      </c>
      <c r="D373" s="1" t="s">
        <v>3676</v>
      </c>
      <c r="E373" s="1" t="s">
        <v>45</v>
      </c>
      <c r="F373" s="1" t="s">
        <v>45</v>
      </c>
      <c r="G373" s="1" t="s">
        <v>46</v>
      </c>
      <c r="H373" s="2">
        <v>1.532E7</v>
      </c>
      <c r="I373" s="1">
        <v>45.0</v>
      </c>
      <c r="J373" s="9" t="s">
        <v>28</v>
      </c>
      <c r="K373" s="5">
        <v>46025.0</v>
      </c>
      <c r="L373" s="11" t="s">
        <v>100</v>
      </c>
      <c r="M373" s="11"/>
      <c r="N373" s="4" t="str">
        <f t="shared" si="1"/>
        <v>Fernanda Contreras Araya</v>
      </c>
      <c r="O373" s="6" t="str">
        <f t="shared" si="2"/>
        <v>11.419.875-7</v>
      </c>
      <c r="P373" s="6" t="str">
        <f t="shared" si="3"/>
        <v>Temuco - Temuco - Región de la Araucanía</v>
      </c>
      <c r="Q373" s="4" t="str">
        <f t="shared" si="4"/>
        <v>Activo</v>
      </c>
      <c r="R373" s="12" t="str">
        <f t="shared" si="5"/>
        <v>Riesgo Medio</v>
      </c>
    </row>
    <row r="374">
      <c r="A374" s="1" t="s">
        <v>1576</v>
      </c>
      <c r="B374" s="9" t="s">
        <v>1577</v>
      </c>
      <c r="C374" s="9" t="s">
        <v>3677</v>
      </c>
      <c r="D374" s="1" t="s">
        <v>1579</v>
      </c>
      <c r="E374" s="1" t="s">
        <v>39</v>
      </c>
      <c r="F374" s="1" t="s">
        <v>39</v>
      </c>
      <c r="G374" s="1" t="s">
        <v>40</v>
      </c>
      <c r="H374" s="2">
        <v>1.951E7</v>
      </c>
      <c r="I374" s="1">
        <v>90.0</v>
      </c>
      <c r="J374" s="9" t="s">
        <v>20</v>
      </c>
      <c r="K374" s="5">
        <v>46140.0</v>
      </c>
      <c r="L374" s="11" t="s">
        <v>207</v>
      </c>
      <c r="M374" s="11"/>
      <c r="N374" s="4" t="str">
        <f t="shared" si="1"/>
        <v>Fernanda Díaz Valenzuela</v>
      </c>
      <c r="O374" s="6" t="str">
        <f t="shared" si="2"/>
        <v>15.099.380-3</v>
      </c>
      <c r="P374" s="6" t="str">
        <f t="shared" si="3"/>
        <v>Concepción - Concepción - Región del Biobío</v>
      </c>
      <c r="Q374" s="4" t="str">
        <f t="shared" si="4"/>
        <v>En Revisión</v>
      </c>
      <c r="R374" s="12" t="str">
        <f t="shared" si="5"/>
        <v>Riesgo Medio</v>
      </c>
    </row>
    <row r="375">
      <c r="A375" s="1" t="s">
        <v>3679</v>
      </c>
      <c r="B375" s="9" t="s">
        <v>3680</v>
      </c>
      <c r="C375" s="9" t="s">
        <v>3677</v>
      </c>
      <c r="D375" s="1" t="s">
        <v>1579</v>
      </c>
      <c r="E375" s="1" t="s">
        <v>61</v>
      </c>
      <c r="F375" s="1" t="s">
        <v>62</v>
      </c>
      <c r="G375" s="1" t="s">
        <v>63</v>
      </c>
      <c r="H375" s="2">
        <v>2310000.0</v>
      </c>
      <c r="I375" s="1">
        <v>0.0</v>
      </c>
      <c r="J375" s="9" t="s">
        <v>28</v>
      </c>
      <c r="K375" s="5">
        <v>46078.0</v>
      </c>
      <c r="L375" s="11" t="s">
        <v>160</v>
      </c>
      <c r="M375" s="11"/>
      <c r="N375" s="4" t="str">
        <f t="shared" si="1"/>
        <v>Fernanda Díaz Valenzuela</v>
      </c>
      <c r="O375" s="6" t="str">
        <f t="shared" si="2"/>
        <v>21.438.850-4</v>
      </c>
      <c r="P375" s="6" t="str">
        <f t="shared" si="3"/>
        <v>Santiago Centro - Santiago - Región Metropolitana</v>
      </c>
      <c r="Q375" s="4" t="str">
        <f t="shared" si="4"/>
        <v>Activo</v>
      </c>
      <c r="R375" s="12" t="str">
        <f t="shared" si="5"/>
        <v>Riesgo Bajo</v>
      </c>
    </row>
    <row r="376">
      <c r="A376" s="1" t="s">
        <v>3682</v>
      </c>
      <c r="B376" s="9" t="s">
        <v>3683</v>
      </c>
      <c r="C376" s="9" t="s">
        <v>3677</v>
      </c>
      <c r="D376" s="1" t="s">
        <v>1579</v>
      </c>
      <c r="E376" s="1" t="s">
        <v>45</v>
      </c>
      <c r="F376" s="1" t="s">
        <v>45</v>
      </c>
      <c r="G376" s="1" t="s">
        <v>46</v>
      </c>
      <c r="H376" s="2">
        <v>3880000.0</v>
      </c>
      <c r="I376" s="1">
        <v>30.0</v>
      </c>
      <c r="J376" s="9" t="s">
        <v>20</v>
      </c>
      <c r="K376" s="5">
        <v>46125.0</v>
      </c>
      <c r="L376" s="11" t="s">
        <v>207</v>
      </c>
      <c r="M376" s="11"/>
      <c r="N376" s="4" t="str">
        <f t="shared" si="1"/>
        <v>Fernanda Díaz Valenzuela</v>
      </c>
      <c r="O376" s="6" t="str">
        <f t="shared" si="2"/>
        <v>18.278.828-4</v>
      </c>
      <c r="P376" s="6" t="str">
        <f t="shared" si="3"/>
        <v>Temuco - Temuco - Región de la Araucanía</v>
      </c>
      <c r="Q376" s="4" t="str">
        <f t="shared" si="4"/>
        <v>En Revisión</v>
      </c>
      <c r="R376" s="12" t="str">
        <f t="shared" si="5"/>
        <v>Riesgo Medio</v>
      </c>
    </row>
    <row r="377">
      <c r="A377" s="1" t="s">
        <v>1536</v>
      </c>
      <c r="B377" s="9" t="s">
        <v>1537</v>
      </c>
      <c r="C377" s="9" t="s">
        <v>1538</v>
      </c>
      <c r="D377" s="1" t="s">
        <v>1539</v>
      </c>
      <c r="E377" s="1" t="s">
        <v>39</v>
      </c>
      <c r="F377" s="1" t="s">
        <v>39</v>
      </c>
      <c r="G377" s="1" t="s">
        <v>40</v>
      </c>
      <c r="H377" s="2">
        <v>1.883E7</v>
      </c>
      <c r="I377" s="1">
        <v>90.0</v>
      </c>
      <c r="J377" s="9" t="s">
        <v>28</v>
      </c>
      <c r="K377" s="5">
        <v>46113.0</v>
      </c>
      <c r="L377" s="11" t="s">
        <v>100</v>
      </c>
      <c r="M377" s="11"/>
      <c r="N377" s="4" t="str">
        <f t="shared" si="1"/>
        <v>Fernanda Fuentes Rojas</v>
      </c>
      <c r="O377" s="6" t="str">
        <f t="shared" si="2"/>
        <v>15596050-3</v>
      </c>
      <c r="P377" s="6" t="str">
        <f t="shared" si="3"/>
        <v>Concepción - Concepción - Región del Biobío</v>
      </c>
      <c r="Q377" s="4" t="str">
        <f t="shared" si="4"/>
        <v>Activo</v>
      </c>
      <c r="R377" s="12" t="str">
        <f t="shared" si="5"/>
        <v>Riesgo Alto</v>
      </c>
    </row>
    <row r="378">
      <c r="A378" s="1" t="s">
        <v>101</v>
      </c>
      <c r="B378" s="9" t="s">
        <v>102</v>
      </c>
      <c r="C378" s="9" t="s">
        <v>103</v>
      </c>
      <c r="D378" s="1" t="s">
        <v>104</v>
      </c>
      <c r="E378" s="1" t="s">
        <v>56</v>
      </c>
      <c r="F378" s="1" t="s">
        <v>39</v>
      </c>
      <c r="G378" s="1" t="s">
        <v>40</v>
      </c>
      <c r="H378" s="2">
        <v>8560000.0</v>
      </c>
      <c r="I378" s="1">
        <v>120.0</v>
      </c>
      <c r="J378" s="9" t="s">
        <v>28</v>
      </c>
      <c r="K378" s="5">
        <v>46030.0</v>
      </c>
      <c r="L378" s="11" t="s">
        <v>207</v>
      </c>
      <c r="M378" s="11"/>
      <c r="N378" s="4" t="str">
        <f t="shared" si="1"/>
        <v>Fernanda López Contreras</v>
      </c>
      <c r="O378" s="6" t="str">
        <f t="shared" si="2"/>
        <v>17847811-6</v>
      </c>
      <c r="P378" s="6" t="str">
        <f t="shared" si="3"/>
        <v>Talcahuano - Concepción - Región del Biobío</v>
      </c>
      <c r="Q378" s="4" t="str">
        <f t="shared" si="4"/>
        <v>Activo</v>
      </c>
      <c r="R378" s="12" t="str">
        <f t="shared" si="5"/>
        <v>Riesgo Alto</v>
      </c>
    </row>
    <row r="379">
      <c r="A379" s="1" t="s">
        <v>2925</v>
      </c>
      <c r="B379" s="9" t="s">
        <v>2926</v>
      </c>
      <c r="C379" s="9" t="s">
        <v>2927</v>
      </c>
      <c r="D379" s="1" t="s">
        <v>2928</v>
      </c>
      <c r="E379" s="1" t="s">
        <v>33</v>
      </c>
      <c r="F379" s="1" t="s">
        <v>33</v>
      </c>
      <c r="G379" s="1" t="s">
        <v>34</v>
      </c>
      <c r="H379" s="2">
        <v>2.061E7</v>
      </c>
      <c r="I379" s="1">
        <v>120.0</v>
      </c>
      <c r="J379" s="9" t="s">
        <v>97</v>
      </c>
      <c r="K379" s="5">
        <v>46219.0</v>
      </c>
      <c r="L379" s="11" t="s">
        <v>207</v>
      </c>
      <c r="M379" s="11"/>
      <c r="N379" s="4" t="str">
        <f t="shared" si="1"/>
        <v>Fernanda López Silva</v>
      </c>
      <c r="O379" s="6" t="str">
        <f t="shared" si="2"/>
        <v>17544238-6</v>
      </c>
      <c r="P379" s="6" t="str">
        <f t="shared" si="3"/>
        <v>Puerto Montt - Puerto Montt - Región de Los Lagos</v>
      </c>
      <c r="Q379" s="4" t="str">
        <f t="shared" si="4"/>
        <v>Inactivo</v>
      </c>
      <c r="R379" s="12" t="str">
        <f t="shared" si="5"/>
        <v>Riesgo Medio</v>
      </c>
    </row>
    <row r="380">
      <c r="A380" s="1" t="s">
        <v>3703</v>
      </c>
      <c r="B380" s="9" t="s">
        <v>3704</v>
      </c>
      <c r="C380" s="9" t="s">
        <v>3705</v>
      </c>
      <c r="D380" s="1" t="s">
        <v>3706</v>
      </c>
      <c r="E380" s="1" t="s">
        <v>26</v>
      </c>
      <c r="F380" s="1" t="s">
        <v>26</v>
      </c>
      <c r="G380" s="1" t="s">
        <v>27</v>
      </c>
      <c r="H380" s="2">
        <v>1.936E7</v>
      </c>
      <c r="I380" s="1">
        <v>45.0</v>
      </c>
      <c r="J380" s="9" t="s">
        <v>20</v>
      </c>
      <c r="K380" s="5">
        <v>46153.0</v>
      </c>
      <c r="L380" s="11" t="s">
        <v>100</v>
      </c>
      <c r="M380" s="11"/>
      <c r="N380" s="4" t="str">
        <f t="shared" si="1"/>
        <v>Fernanda Morales Díaz</v>
      </c>
      <c r="O380" s="6" t="str">
        <f t="shared" si="2"/>
        <v>13300212-9</v>
      </c>
      <c r="P380" s="6" t="str">
        <f t="shared" si="3"/>
        <v>Valparaíso - Valparaíso - Región de Valparaíso</v>
      </c>
      <c r="Q380" s="4" t="str">
        <f t="shared" si="4"/>
        <v>En Revisión</v>
      </c>
      <c r="R380" s="12" t="str">
        <f t="shared" si="5"/>
        <v>Riesgo Medio</v>
      </c>
    </row>
    <row r="381">
      <c r="A381" s="1" t="s">
        <v>3147</v>
      </c>
      <c r="B381" s="9" t="s">
        <v>3148</v>
      </c>
      <c r="C381" s="9" t="s">
        <v>3708</v>
      </c>
      <c r="D381" s="1" t="s">
        <v>3150</v>
      </c>
      <c r="E381" s="1" t="s">
        <v>118</v>
      </c>
      <c r="F381" s="1" t="s">
        <v>62</v>
      </c>
      <c r="G381" s="1" t="s">
        <v>63</v>
      </c>
      <c r="H381" s="2">
        <v>1.89E7</v>
      </c>
      <c r="I381" s="1">
        <v>45.0</v>
      </c>
      <c r="J381" s="9" t="s">
        <v>97</v>
      </c>
      <c r="K381" s="5">
        <v>46099.0</v>
      </c>
      <c r="L381" s="11" t="s">
        <v>207</v>
      </c>
      <c r="M381" s="11"/>
      <c r="N381" s="4" t="str">
        <f t="shared" si="1"/>
        <v>Fernanda Morales González</v>
      </c>
      <c r="O381" s="6" t="str">
        <f t="shared" si="2"/>
        <v>20.174.207-2</v>
      </c>
      <c r="P381" s="6" t="str">
        <f t="shared" si="3"/>
        <v>Maipú - Santiago - Región Metropolitana</v>
      </c>
      <c r="Q381" s="4" t="str">
        <f t="shared" si="4"/>
        <v>Inactivo</v>
      </c>
      <c r="R381" s="12" t="str">
        <f t="shared" si="5"/>
        <v>Riesgo Medio</v>
      </c>
    </row>
    <row r="382">
      <c r="A382" s="1" t="s">
        <v>216</v>
      </c>
      <c r="B382" s="9" t="s">
        <v>217</v>
      </c>
      <c r="C382" s="9" t="s">
        <v>218</v>
      </c>
      <c r="D382" s="1" t="s">
        <v>219</v>
      </c>
      <c r="E382" s="1" t="s">
        <v>118</v>
      </c>
      <c r="F382" s="1" t="s">
        <v>62</v>
      </c>
      <c r="G382" s="1" t="s">
        <v>63</v>
      </c>
      <c r="H382" s="2">
        <v>1.315E7</v>
      </c>
      <c r="I382" s="1">
        <v>15.0</v>
      </c>
      <c r="J382" s="9" t="s">
        <v>20</v>
      </c>
      <c r="K382" s="5">
        <v>46136.0</v>
      </c>
      <c r="L382" s="11" t="s">
        <v>100</v>
      </c>
      <c r="M382" s="11"/>
      <c r="N382" s="4" t="str">
        <f t="shared" si="1"/>
        <v>Fernanda Morales Vergara</v>
      </c>
      <c r="O382" s="6" t="str">
        <f t="shared" si="2"/>
        <v>15.325.544-5</v>
      </c>
      <c r="P382" s="6" t="str">
        <f t="shared" si="3"/>
        <v>Maipú - Santiago - Región Metropolitana</v>
      </c>
      <c r="Q382" s="4" t="str">
        <f t="shared" si="4"/>
        <v>En Revisión</v>
      </c>
      <c r="R382" s="12" t="str">
        <f t="shared" si="5"/>
        <v>Riesgo Medio</v>
      </c>
    </row>
    <row r="383">
      <c r="A383" s="1" t="s">
        <v>3324</v>
      </c>
      <c r="B383" s="9" t="s">
        <v>3326</v>
      </c>
      <c r="C383" s="9" t="s">
        <v>3717</v>
      </c>
      <c r="D383" s="1" t="s">
        <v>3330</v>
      </c>
      <c r="E383" s="1" t="s">
        <v>61</v>
      </c>
      <c r="F383" s="1" t="s">
        <v>62</v>
      </c>
      <c r="G383" s="1" t="s">
        <v>63</v>
      </c>
      <c r="H383" s="2">
        <v>1.832E7</v>
      </c>
      <c r="I383" s="1">
        <v>0.0</v>
      </c>
      <c r="J383" s="9" t="s">
        <v>20</v>
      </c>
      <c r="K383" s="5">
        <v>46150.0</v>
      </c>
      <c r="L383" s="11" t="s">
        <v>160</v>
      </c>
      <c r="M383" s="11"/>
      <c r="N383" s="4" t="str">
        <f t="shared" si="1"/>
        <v>Fernanda Muñoz Díaz</v>
      </c>
      <c r="O383" s="6" t="str">
        <f t="shared" si="2"/>
        <v>20.046.968-0</v>
      </c>
      <c r="P383" s="6" t="str">
        <f t="shared" si="3"/>
        <v>Santiago Centro - Santiago - Región Metropolitana</v>
      </c>
      <c r="Q383" s="4" t="str">
        <f t="shared" si="4"/>
        <v>En Revisión</v>
      </c>
      <c r="R383" s="12" t="str">
        <f t="shared" si="5"/>
        <v>Riesgo Medio</v>
      </c>
    </row>
    <row r="384">
      <c r="A384" s="1" t="s">
        <v>1780</v>
      </c>
      <c r="B384" s="9" t="s">
        <v>1781</v>
      </c>
      <c r="C384" s="9" t="s">
        <v>1782</v>
      </c>
      <c r="D384" s="1" t="s">
        <v>1783</v>
      </c>
      <c r="E384" s="1" t="s">
        <v>61</v>
      </c>
      <c r="F384" s="1" t="s">
        <v>62</v>
      </c>
      <c r="G384" s="1" t="s">
        <v>63</v>
      </c>
      <c r="H384" s="2">
        <v>1.038E7</v>
      </c>
      <c r="I384" s="1">
        <v>0.0</v>
      </c>
      <c r="J384" s="9" t="s">
        <v>28</v>
      </c>
      <c r="K384" s="5">
        <v>46213.0</v>
      </c>
      <c r="L384" s="11" t="s">
        <v>181</v>
      </c>
      <c r="M384" s="11"/>
      <c r="N384" s="4" t="str">
        <f t="shared" si="1"/>
        <v>Fernanda Muñoz López</v>
      </c>
      <c r="O384" s="6" t="str">
        <f t="shared" si="2"/>
        <v>15.357.005-K</v>
      </c>
      <c r="P384" s="6" t="str">
        <f t="shared" si="3"/>
        <v>Santiago Centro - Santiago - Región Metropolitana</v>
      </c>
      <c r="Q384" s="4" t="str">
        <f t="shared" si="4"/>
        <v>Activo</v>
      </c>
      <c r="R384" s="12" t="str">
        <f t="shared" si="5"/>
        <v>Riesgo Bajo</v>
      </c>
    </row>
    <row r="385">
      <c r="A385" s="1" t="s">
        <v>3727</v>
      </c>
      <c r="B385" s="9" t="s">
        <v>3729</v>
      </c>
      <c r="C385" s="9" t="s">
        <v>3731</v>
      </c>
      <c r="D385" s="1" t="s">
        <v>3330</v>
      </c>
      <c r="E385" s="1" t="s">
        <v>61</v>
      </c>
      <c r="F385" s="1" t="s">
        <v>62</v>
      </c>
      <c r="G385" s="1" t="s">
        <v>63</v>
      </c>
      <c r="H385" s="2">
        <v>6270000.0</v>
      </c>
      <c r="I385" s="1">
        <v>45.0</v>
      </c>
      <c r="J385" s="9" t="s">
        <v>20</v>
      </c>
      <c r="K385" s="5">
        <v>46183.0</v>
      </c>
      <c r="L385" s="11" t="s">
        <v>199</v>
      </c>
      <c r="M385" s="11"/>
      <c r="N385" s="4" t="str">
        <f t="shared" si="1"/>
        <v>Fernanda Muñoz Morales</v>
      </c>
      <c r="O385" s="6" t="str">
        <f t="shared" si="2"/>
        <v>13935105-3</v>
      </c>
      <c r="P385" s="6" t="str">
        <f t="shared" si="3"/>
        <v>Santiago Centro - Santiago - Región Metropolitana</v>
      </c>
      <c r="Q385" s="4" t="str">
        <f t="shared" si="4"/>
        <v>En Revisión</v>
      </c>
      <c r="R385" s="12" t="str">
        <f t="shared" si="5"/>
        <v>Riesgo Medio</v>
      </c>
    </row>
    <row r="386">
      <c r="A386" s="1" t="s">
        <v>3737</v>
      </c>
      <c r="B386" s="9" t="s">
        <v>3738</v>
      </c>
      <c r="C386" s="9" t="s">
        <v>3739</v>
      </c>
      <c r="D386" s="1" t="s">
        <v>3740</v>
      </c>
      <c r="E386" s="1" t="s">
        <v>45</v>
      </c>
      <c r="F386" s="1" t="s">
        <v>45</v>
      </c>
      <c r="G386" s="1" t="s">
        <v>46</v>
      </c>
      <c r="H386" s="2">
        <v>8150000.0</v>
      </c>
      <c r="I386" s="1">
        <v>45.0</v>
      </c>
      <c r="J386" s="9" t="s">
        <v>28</v>
      </c>
      <c r="K386" s="5">
        <v>46134.0</v>
      </c>
      <c r="L386" s="11" t="s">
        <v>207</v>
      </c>
      <c r="M386" s="11"/>
      <c r="N386" s="4" t="str">
        <f t="shared" si="1"/>
        <v>Fernanda Rodríguez Contreras</v>
      </c>
      <c r="O386" s="6" t="str">
        <f t="shared" si="2"/>
        <v>21.183.521-3</v>
      </c>
      <c r="P386" s="6" t="str">
        <f t="shared" si="3"/>
        <v>Temuco - Temuco - Región de la Araucanía</v>
      </c>
      <c r="Q386" s="4" t="str">
        <f t="shared" si="4"/>
        <v>Activo</v>
      </c>
      <c r="R386" s="12" t="str">
        <f t="shared" si="5"/>
        <v>Riesgo Medio</v>
      </c>
    </row>
    <row r="387">
      <c r="A387" s="1" t="s">
        <v>3435</v>
      </c>
      <c r="B387" s="9" t="s">
        <v>3436</v>
      </c>
      <c r="C387" s="9" t="s">
        <v>3437</v>
      </c>
      <c r="D387" s="1" t="s">
        <v>3438</v>
      </c>
      <c r="E387" s="1" t="s">
        <v>18</v>
      </c>
      <c r="F387" s="1" t="s">
        <v>18</v>
      </c>
      <c r="G387" s="1" t="s">
        <v>19</v>
      </c>
      <c r="H387" s="2">
        <v>7900000.0</v>
      </c>
      <c r="I387" s="1">
        <v>30.0</v>
      </c>
      <c r="J387" s="9" t="s">
        <v>20</v>
      </c>
      <c r="K387" s="5">
        <v>46072.0</v>
      </c>
      <c r="L387" s="11" t="s">
        <v>160</v>
      </c>
      <c r="M387" s="11"/>
      <c r="N387" s="4" t="str">
        <f t="shared" si="1"/>
        <v>Fernanda Rodríguez Fuentes</v>
      </c>
      <c r="O387" s="6" t="str">
        <f t="shared" si="2"/>
        <v>21.856.829-7</v>
      </c>
      <c r="P387" s="6" t="str">
        <f t="shared" si="3"/>
        <v>La Serena - La Serena - Región de Coquimbo</v>
      </c>
      <c r="Q387" s="4" t="str">
        <f t="shared" si="4"/>
        <v>En Revisión</v>
      </c>
      <c r="R387" s="12" t="str">
        <f t="shared" si="5"/>
        <v>Riesgo Medio</v>
      </c>
    </row>
    <row r="388">
      <c r="A388" s="1" t="s">
        <v>3585</v>
      </c>
      <c r="B388" s="9" t="s">
        <v>3586</v>
      </c>
      <c r="C388" s="9" t="s">
        <v>3587</v>
      </c>
      <c r="D388" s="1" t="s">
        <v>3588</v>
      </c>
      <c r="E388" s="1" t="s">
        <v>33</v>
      </c>
      <c r="F388" s="1" t="s">
        <v>33</v>
      </c>
      <c r="G388" s="1" t="s">
        <v>34</v>
      </c>
      <c r="H388" s="2">
        <v>1.918E7</v>
      </c>
      <c r="I388" s="1">
        <v>15.0</v>
      </c>
      <c r="J388" s="9" t="s">
        <v>28</v>
      </c>
      <c r="K388" s="5">
        <v>46213.0</v>
      </c>
      <c r="L388" s="11" t="s">
        <v>100</v>
      </c>
      <c r="M388" s="11"/>
      <c r="N388" s="4" t="str">
        <f t="shared" si="1"/>
        <v>Fernanda Rojas Araya</v>
      </c>
      <c r="O388" s="6" t="str">
        <f t="shared" si="2"/>
        <v>17.104.152-7</v>
      </c>
      <c r="P388" s="6" t="str">
        <f t="shared" si="3"/>
        <v>Puerto Montt - Puerto Montt - Región de Los Lagos</v>
      </c>
      <c r="Q388" s="4" t="str">
        <f t="shared" si="4"/>
        <v>Activo</v>
      </c>
      <c r="R388" s="12" t="str">
        <f t="shared" si="5"/>
        <v>Riesgo Bajo</v>
      </c>
    </row>
    <row r="389">
      <c r="A389" s="1" t="s">
        <v>3752</v>
      </c>
      <c r="B389" s="9" t="s">
        <v>3753</v>
      </c>
      <c r="C389" s="9" t="s">
        <v>3754</v>
      </c>
      <c r="D389" s="1" t="s">
        <v>3755</v>
      </c>
      <c r="E389" s="1" t="s">
        <v>45</v>
      </c>
      <c r="F389" s="1" t="s">
        <v>45</v>
      </c>
      <c r="G389" s="1" t="s">
        <v>46</v>
      </c>
      <c r="H389" s="2">
        <v>9230000.0</v>
      </c>
      <c r="I389" s="1">
        <v>30.0</v>
      </c>
      <c r="J389" s="9" t="s">
        <v>20</v>
      </c>
      <c r="K389" s="5">
        <v>46059.0</v>
      </c>
      <c r="L389" s="11" t="s">
        <v>160</v>
      </c>
      <c r="M389" s="11"/>
      <c r="N389" s="4" t="str">
        <f t="shared" si="1"/>
        <v>Fernanda Silva Morales</v>
      </c>
      <c r="O389" s="6" t="str">
        <f t="shared" si="2"/>
        <v>14.121.772-1</v>
      </c>
      <c r="P389" s="6" t="str">
        <f t="shared" si="3"/>
        <v>Temuco - Temuco - Región de la Araucanía</v>
      </c>
      <c r="Q389" s="4" t="str">
        <f t="shared" si="4"/>
        <v>En Revisión</v>
      </c>
      <c r="R389" s="12" t="str">
        <f t="shared" si="5"/>
        <v>Riesgo Medio</v>
      </c>
    </row>
    <row r="390">
      <c r="A390" s="1" t="s">
        <v>135</v>
      </c>
      <c r="B390" s="9" t="s">
        <v>136</v>
      </c>
      <c r="C390" s="9" t="s">
        <v>3761</v>
      </c>
      <c r="D390" s="1" t="s">
        <v>138</v>
      </c>
      <c r="E390" s="1" t="s">
        <v>18</v>
      </c>
      <c r="F390" s="1" t="s">
        <v>18</v>
      </c>
      <c r="G390" s="1" t="s">
        <v>19</v>
      </c>
      <c r="H390" s="2">
        <v>6560000.0</v>
      </c>
      <c r="I390" s="1">
        <v>0.0</v>
      </c>
      <c r="J390" s="9" t="s">
        <v>28</v>
      </c>
      <c r="K390" s="5">
        <v>46087.0</v>
      </c>
      <c r="L390" s="11" t="s">
        <v>160</v>
      </c>
      <c r="M390" s="11"/>
      <c r="N390" s="4" t="str">
        <f t="shared" si="1"/>
        <v>Fernanda Soto Araya</v>
      </c>
      <c r="O390" s="6" t="str">
        <f t="shared" si="2"/>
        <v>11.924.064-K</v>
      </c>
      <c r="P390" s="6" t="str">
        <f t="shared" si="3"/>
        <v>La Serena - La Serena - Región de Coquimbo</v>
      </c>
      <c r="Q390" s="4" t="str">
        <f t="shared" si="4"/>
        <v>Activo</v>
      </c>
      <c r="R390" s="12" t="str">
        <f t="shared" si="5"/>
        <v>Riesgo Bajo</v>
      </c>
    </row>
    <row r="391">
      <c r="A391" s="1" t="s">
        <v>3768</v>
      </c>
      <c r="B391" s="9" t="s">
        <v>3769</v>
      </c>
      <c r="C391" s="9" t="s">
        <v>3770</v>
      </c>
      <c r="D391" s="1" t="s">
        <v>3771</v>
      </c>
      <c r="E391" s="1" t="s">
        <v>118</v>
      </c>
      <c r="F391" s="1" t="s">
        <v>62</v>
      </c>
      <c r="G391" s="1" t="s">
        <v>63</v>
      </c>
      <c r="H391" s="2">
        <v>1.356E7</v>
      </c>
      <c r="I391" s="1">
        <v>0.0</v>
      </c>
      <c r="J391" s="9" t="s">
        <v>28</v>
      </c>
      <c r="K391" s="5">
        <v>46165.0</v>
      </c>
      <c r="L391" s="11" t="s">
        <v>181</v>
      </c>
      <c r="M391" s="11"/>
      <c r="N391" s="4" t="str">
        <f t="shared" si="1"/>
        <v>Fernanda Soto López</v>
      </c>
      <c r="O391" s="6" t="str">
        <f t="shared" si="2"/>
        <v>11.035.787-2</v>
      </c>
      <c r="P391" s="6" t="str">
        <f t="shared" si="3"/>
        <v>Maipú - Santiago - Región Metropolitana</v>
      </c>
      <c r="Q391" s="4" t="str">
        <f t="shared" si="4"/>
        <v>Activo</v>
      </c>
      <c r="R391" s="12" t="str">
        <f t="shared" si="5"/>
        <v>Riesgo Bajo</v>
      </c>
    </row>
    <row r="392">
      <c r="A392" s="1" t="s">
        <v>3776</v>
      </c>
      <c r="B392" s="9" t="s">
        <v>3777</v>
      </c>
      <c r="C392" s="9" t="s">
        <v>3778</v>
      </c>
      <c r="D392" s="1" t="s">
        <v>3779</v>
      </c>
      <c r="E392" s="1" t="s">
        <v>39</v>
      </c>
      <c r="F392" s="1" t="s">
        <v>39</v>
      </c>
      <c r="G392" s="1" t="s">
        <v>40</v>
      </c>
      <c r="H392" s="2">
        <v>4800000.0</v>
      </c>
      <c r="I392" s="1">
        <v>45.0</v>
      </c>
      <c r="J392" s="9" t="s">
        <v>97</v>
      </c>
      <c r="K392" s="5">
        <v>46056.0</v>
      </c>
      <c r="L392" s="11" t="s">
        <v>160</v>
      </c>
      <c r="M392" s="11"/>
      <c r="N392" s="4" t="str">
        <f t="shared" si="1"/>
        <v>Fernanda Soto Rodríguez</v>
      </c>
      <c r="O392" s="6" t="str">
        <f t="shared" si="2"/>
        <v>20.481.881-6</v>
      </c>
      <c r="P392" s="6" t="str">
        <f t="shared" si="3"/>
        <v>Concepción - Concepción - Región del Biobío</v>
      </c>
      <c r="Q392" s="4" t="str">
        <f t="shared" si="4"/>
        <v>Inactivo</v>
      </c>
      <c r="R392" s="12" t="str">
        <f t="shared" si="5"/>
        <v>Riesgo Medio</v>
      </c>
    </row>
    <row r="393">
      <c r="A393" s="1" t="s">
        <v>3785</v>
      </c>
      <c r="B393" s="9" t="s">
        <v>3787</v>
      </c>
      <c r="C393" s="9" t="s">
        <v>3789</v>
      </c>
      <c r="D393" s="1" t="s">
        <v>3791</v>
      </c>
      <c r="E393" s="1" t="s">
        <v>56</v>
      </c>
      <c r="F393" s="1" t="s">
        <v>39</v>
      </c>
      <c r="G393" s="1" t="s">
        <v>40</v>
      </c>
      <c r="H393" s="2">
        <v>1.556E7</v>
      </c>
      <c r="I393" s="1">
        <v>15.0</v>
      </c>
      <c r="J393" s="9" t="s">
        <v>97</v>
      </c>
      <c r="K393" s="5">
        <v>46220.0</v>
      </c>
      <c r="L393" s="11" t="s">
        <v>160</v>
      </c>
      <c r="M393" s="11"/>
      <c r="N393" s="4" t="str">
        <f t="shared" si="1"/>
        <v>Fernanda Soto Tapia</v>
      </c>
      <c r="O393" s="6" t="str">
        <f t="shared" si="2"/>
        <v>16.299.256-3</v>
      </c>
      <c r="P393" s="6" t="str">
        <f t="shared" si="3"/>
        <v>Talcahuano - Concepción - Región del Biobío</v>
      </c>
      <c r="Q393" s="4" t="str">
        <f t="shared" si="4"/>
        <v>Inactivo</v>
      </c>
      <c r="R393" s="12" t="str">
        <f t="shared" si="5"/>
        <v>Riesgo Bajo</v>
      </c>
    </row>
    <row r="394">
      <c r="A394" s="1" t="s">
        <v>3792</v>
      </c>
      <c r="B394" s="9" t="s">
        <v>3793</v>
      </c>
      <c r="C394" s="9" t="s">
        <v>3794</v>
      </c>
      <c r="D394" s="1" t="s">
        <v>3795</v>
      </c>
      <c r="E394" s="1" t="s">
        <v>72</v>
      </c>
      <c r="F394" s="1" t="s">
        <v>62</v>
      </c>
      <c r="G394" s="1" t="s">
        <v>63</v>
      </c>
      <c r="H394" s="2">
        <v>6130000.0</v>
      </c>
      <c r="I394" s="1">
        <v>90.0</v>
      </c>
      <c r="J394" s="9" t="s">
        <v>97</v>
      </c>
      <c r="K394" s="5">
        <v>46038.0</v>
      </c>
      <c r="L394" s="11" t="s">
        <v>207</v>
      </c>
      <c r="M394" s="11"/>
      <c r="N394" s="4" t="str">
        <f t="shared" si="1"/>
        <v>Fernanda Tapia Fuentes</v>
      </c>
      <c r="O394" s="6" t="str">
        <f t="shared" si="2"/>
        <v>20813557-K</v>
      </c>
      <c r="P394" s="6" t="str">
        <f t="shared" si="3"/>
        <v>Providencia - Santiago - Región Metropolitana</v>
      </c>
      <c r="Q394" s="4" t="str">
        <f t="shared" si="4"/>
        <v>Inactivo</v>
      </c>
      <c r="R394" s="12" t="str">
        <f t="shared" si="5"/>
        <v>Riesgo Medio</v>
      </c>
    </row>
    <row r="395">
      <c r="A395" s="1" t="s">
        <v>3799</v>
      </c>
      <c r="B395" s="9" t="s">
        <v>3800</v>
      </c>
      <c r="C395" s="9" t="s">
        <v>3801</v>
      </c>
      <c r="D395" s="1" t="s">
        <v>3795</v>
      </c>
      <c r="E395" s="1" t="s">
        <v>18</v>
      </c>
      <c r="F395" s="1" t="s">
        <v>18</v>
      </c>
      <c r="G395" s="1" t="s">
        <v>19</v>
      </c>
      <c r="H395" s="2">
        <v>1.948E7</v>
      </c>
      <c r="I395" s="1">
        <v>0.0</v>
      </c>
      <c r="J395" s="9" t="s">
        <v>20</v>
      </c>
      <c r="K395" s="5">
        <v>46154.0</v>
      </c>
      <c r="L395" s="11" t="s">
        <v>160</v>
      </c>
      <c r="M395" s="11"/>
      <c r="N395" s="4" t="str">
        <f t="shared" si="1"/>
        <v>Fernanda Tapia Rodríguez</v>
      </c>
      <c r="O395" s="6" t="str">
        <f t="shared" si="2"/>
        <v>21.645.631-9</v>
      </c>
      <c r="P395" s="6" t="str">
        <f t="shared" si="3"/>
        <v>La Serena - La Serena - Región de Coquimbo</v>
      </c>
      <c r="Q395" s="4" t="str">
        <f t="shared" si="4"/>
        <v>En Revisión</v>
      </c>
      <c r="R395" s="12" t="str">
        <f t="shared" si="5"/>
        <v>Riesgo Medio</v>
      </c>
    </row>
    <row r="396">
      <c r="A396" s="1" t="s">
        <v>1391</v>
      </c>
      <c r="B396" s="9" t="s">
        <v>1392</v>
      </c>
      <c r="C396" s="9" t="s">
        <v>1393</v>
      </c>
      <c r="D396" s="1" t="s">
        <v>1394</v>
      </c>
      <c r="E396" s="1" t="s">
        <v>18</v>
      </c>
      <c r="F396" s="1" t="s">
        <v>18</v>
      </c>
      <c r="G396" s="1" t="s">
        <v>19</v>
      </c>
      <c r="H396" s="2">
        <v>1.106E7</v>
      </c>
      <c r="I396" s="1">
        <v>0.0</v>
      </c>
      <c r="J396" s="9" t="s">
        <v>97</v>
      </c>
      <c r="K396" s="5">
        <v>46086.0</v>
      </c>
      <c r="L396" s="11" t="s">
        <v>207</v>
      </c>
      <c r="M396" s="11"/>
      <c r="N396" s="4" t="str">
        <f t="shared" si="1"/>
        <v>Fernanda Valenzuela Araya</v>
      </c>
      <c r="O396" s="6" t="str">
        <f t="shared" si="2"/>
        <v>21.060.298-5</v>
      </c>
      <c r="P396" s="6" t="str">
        <f t="shared" si="3"/>
        <v>La Serena - La Serena - Región de Coquimbo</v>
      </c>
      <c r="Q396" s="4" t="str">
        <f t="shared" si="4"/>
        <v>Inactivo</v>
      </c>
      <c r="R396" s="12" t="str">
        <f t="shared" si="5"/>
        <v>Riesgo Bajo</v>
      </c>
    </row>
    <row r="397">
      <c r="A397" s="1" t="s">
        <v>3810</v>
      </c>
      <c r="B397" s="9" t="s">
        <v>3811</v>
      </c>
      <c r="C397" s="9" t="s">
        <v>3812</v>
      </c>
      <c r="D397" s="1" t="s">
        <v>3813</v>
      </c>
      <c r="E397" s="1" t="s">
        <v>56</v>
      </c>
      <c r="F397" s="1" t="s">
        <v>39</v>
      </c>
      <c r="G397" s="1" t="s">
        <v>40</v>
      </c>
      <c r="H397" s="2">
        <v>4050000.0</v>
      </c>
      <c r="I397" s="1">
        <v>30.0</v>
      </c>
      <c r="J397" s="9" t="s">
        <v>28</v>
      </c>
      <c r="K397" s="5">
        <v>46137.0</v>
      </c>
      <c r="L397" s="11" t="s">
        <v>100</v>
      </c>
      <c r="M397" s="11"/>
      <c r="N397" s="4" t="str">
        <f t="shared" si="1"/>
        <v>Fernanda Valenzuela Muñoz</v>
      </c>
      <c r="O397" s="6" t="str">
        <f t="shared" si="2"/>
        <v>14.683.944-7</v>
      </c>
      <c r="P397" s="6" t="str">
        <f t="shared" si="3"/>
        <v>Talcahuano - Concepción - Región del Biobío</v>
      </c>
      <c r="Q397" s="4" t="str">
        <f t="shared" si="4"/>
        <v>Activo</v>
      </c>
      <c r="R397" s="12" t="str">
        <f t="shared" si="5"/>
        <v>Riesgo Bajo</v>
      </c>
    </row>
    <row r="398">
      <c r="A398" s="1" t="s">
        <v>1860</v>
      </c>
      <c r="B398" s="9" t="s">
        <v>1861</v>
      </c>
      <c r="C398" s="9" t="s">
        <v>1862</v>
      </c>
      <c r="D398" s="1" t="s">
        <v>1863</v>
      </c>
      <c r="E398" s="1" t="s">
        <v>56</v>
      </c>
      <c r="F398" s="1" t="s">
        <v>39</v>
      </c>
      <c r="G398" s="1" t="s">
        <v>40</v>
      </c>
      <c r="H398" s="2">
        <v>9000000.0</v>
      </c>
      <c r="I398" s="1">
        <v>45.0</v>
      </c>
      <c r="J398" s="9" t="s">
        <v>28</v>
      </c>
      <c r="K398" s="5">
        <v>46103.0</v>
      </c>
      <c r="L398" s="11" t="s">
        <v>207</v>
      </c>
      <c r="M398" s="11"/>
      <c r="N398" s="4" t="str">
        <f t="shared" si="1"/>
        <v>Fernanda Vergara Fuentes</v>
      </c>
      <c r="O398" s="6" t="str">
        <f t="shared" si="2"/>
        <v>14.274.417-9</v>
      </c>
      <c r="P398" s="6" t="str">
        <f t="shared" si="3"/>
        <v>Talcahuano - Concepción - Región del Biobío</v>
      </c>
      <c r="Q398" s="4" t="str">
        <f t="shared" si="4"/>
        <v>Activo</v>
      </c>
      <c r="R398" s="12" t="str">
        <f t="shared" si="5"/>
        <v>Riesgo Medio</v>
      </c>
    </row>
    <row r="399">
      <c r="A399" s="1" t="s">
        <v>824</v>
      </c>
      <c r="B399" s="9" t="s">
        <v>825</v>
      </c>
      <c r="C399" s="9" t="s">
        <v>3816</v>
      </c>
      <c r="D399" s="1" t="s">
        <v>829</v>
      </c>
      <c r="E399" s="1" t="s">
        <v>118</v>
      </c>
      <c r="F399" s="1" t="s">
        <v>62</v>
      </c>
      <c r="G399" s="1" t="s">
        <v>63</v>
      </c>
      <c r="H399" s="2">
        <v>7490000.0</v>
      </c>
      <c r="I399" s="1">
        <v>0.0</v>
      </c>
      <c r="J399" s="9" t="s">
        <v>20</v>
      </c>
      <c r="K399" s="5">
        <v>46081.0</v>
      </c>
      <c r="L399" s="11" t="s">
        <v>207</v>
      </c>
      <c r="M399" s="11"/>
      <c r="N399" s="4" t="str">
        <f t="shared" si="1"/>
        <v>Francisca Araya López</v>
      </c>
      <c r="O399" s="6" t="str">
        <f t="shared" si="2"/>
        <v>19.176.462-3</v>
      </c>
      <c r="P399" s="6" t="str">
        <f t="shared" si="3"/>
        <v>Maipú - Santiago - Región Metropolitana</v>
      </c>
      <c r="Q399" s="4" t="str">
        <f t="shared" si="4"/>
        <v>En Revisión</v>
      </c>
      <c r="R399" s="12" t="str">
        <f t="shared" si="5"/>
        <v>Riesgo Medio</v>
      </c>
    </row>
    <row r="400">
      <c r="A400" s="1" t="s">
        <v>3817</v>
      </c>
      <c r="B400" s="9" t="s">
        <v>3818</v>
      </c>
      <c r="C400" s="9" t="s">
        <v>3819</v>
      </c>
      <c r="D400" s="1" t="s">
        <v>829</v>
      </c>
      <c r="E400" s="1" t="s">
        <v>109</v>
      </c>
      <c r="F400" s="1" t="s">
        <v>62</v>
      </c>
      <c r="G400" s="1" t="s">
        <v>63</v>
      </c>
      <c r="H400" s="2">
        <v>1.694E7</v>
      </c>
      <c r="I400" s="1">
        <v>15.0</v>
      </c>
      <c r="J400" s="9" t="s">
        <v>20</v>
      </c>
      <c r="K400" s="5">
        <v>46096.0</v>
      </c>
      <c r="L400" s="11" t="s">
        <v>100</v>
      </c>
      <c r="M400" s="11"/>
      <c r="N400" s="4" t="str">
        <f t="shared" si="1"/>
        <v>Francisca Araya Sepúlveda</v>
      </c>
      <c r="O400" s="6" t="str">
        <f t="shared" si="2"/>
        <v>15.504.619-7</v>
      </c>
      <c r="P400" s="6" t="str">
        <f t="shared" si="3"/>
        <v>Ñuñoa - Santiago - Región Metropolitana</v>
      </c>
      <c r="Q400" s="4" t="str">
        <f t="shared" si="4"/>
        <v>En Revisión</v>
      </c>
      <c r="R400" s="12" t="str">
        <f t="shared" si="5"/>
        <v>Riesgo Medio</v>
      </c>
    </row>
    <row r="401">
      <c r="A401" s="1" t="s">
        <v>177</v>
      </c>
      <c r="B401" s="9" t="s">
        <v>178</v>
      </c>
      <c r="C401" s="9" t="s">
        <v>179</v>
      </c>
      <c r="D401" s="1" t="s">
        <v>180</v>
      </c>
      <c r="E401" s="1" t="s">
        <v>25</v>
      </c>
      <c r="F401" s="1" t="s">
        <v>26</v>
      </c>
      <c r="G401" s="1" t="s">
        <v>27</v>
      </c>
      <c r="H401" s="2">
        <v>1270000.0</v>
      </c>
      <c r="I401" s="1">
        <v>0.0</v>
      </c>
      <c r="J401" s="9" t="s">
        <v>20</v>
      </c>
      <c r="K401" s="5">
        <v>46138.0</v>
      </c>
      <c r="L401" s="11" t="s">
        <v>207</v>
      </c>
      <c r="M401" s="11"/>
      <c r="N401" s="4" t="str">
        <f t="shared" si="1"/>
        <v>Francisca Araya Tapia</v>
      </c>
      <c r="O401" s="6" t="str">
        <f t="shared" si="2"/>
        <v>21.148.772-3</v>
      </c>
      <c r="P401" s="6" t="str">
        <f t="shared" si="3"/>
        <v>Viña del Mar - Valparaíso - Región de Valparaíso</v>
      </c>
      <c r="Q401" s="4" t="str">
        <f t="shared" si="4"/>
        <v>En Revisión</v>
      </c>
      <c r="R401" s="12" t="str">
        <f t="shared" si="5"/>
        <v>Riesgo Medio</v>
      </c>
    </row>
    <row r="402">
      <c r="A402" s="1" t="s">
        <v>1694</v>
      </c>
      <c r="B402" s="9" t="s">
        <v>1696</v>
      </c>
      <c r="C402" s="9" t="s">
        <v>1698</v>
      </c>
      <c r="D402" s="1" t="s">
        <v>1699</v>
      </c>
      <c r="E402" s="1" t="s">
        <v>25</v>
      </c>
      <c r="F402" s="1" t="s">
        <v>26</v>
      </c>
      <c r="G402" s="1" t="s">
        <v>27</v>
      </c>
      <c r="H402" s="2">
        <v>1370000.0</v>
      </c>
      <c r="I402" s="1">
        <v>0.0</v>
      </c>
      <c r="J402" s="9" t="s">
        <v>28</v>
      </c>
      <c r="K402" s="5">
        <v>46188.0</v>
      </c>
      <c r="L402" s="11" t="s">
        <v>100</v>
      </c>
      <c r="M402" s="11"/>
      <c r="N402" s="4" t="str">
        <f t="shared" si="1"/>
        <v>Francisca Contreras González</v>
      </c>
      <c r="O402" s="6" t="str">
        <f t="shared" si="2"/>
        <v>20.402.060-0</v>
      </c>
      <c r="P402" s="6" t="str">
        <f t="shared" si="3"/>
        <v>Viña del Mar - Valparaíso - Región de Valparaíso</v>
      </c>
      <c r="Q402" s="4" t="str">
        <f t="shared" si="4"/>
        <v>Activo</v>
      </c>
      <c r="R402" s="12" t="str">
        <f t="shared" si="5"/>
        <v>Riesgo Bajo</v>
      </c>
    </row>
    <row r="403">
      <c r="A403" s="1" t="s">
        <v>3821</v>
      </c>
      <c r="B403" s="9" t="s">
        <v>3822</v>
      </c>
      <c r="C403" s="9" t="s">
        <v>3823</v>
      </c>
      <c r="D403" s="1" t="s">
        <v>3824</v>
      </c>
      <c r="E403" s="1" t="s">
        <v>45</v>
      </c>
      <c r="F403" s="1" t="s">
        <v>45</v>
      </c>
      <c r="G403" s="1" t="s">
        <v>46</v>
      </c>
      <c r="H403" s="2">
        <v>1.617E7</v>
      </c>
      <c r="I403" s="1">
        <v>0.0</v>
      </c>
      <c r="J403" s="9" t="s">
        <v>20</v>
      </c>
      <c r="K403" s="5">
        <v>46212.0</v>
      </c>
      <c r="L403" s="11" t="s">
        <v>160</v>
      </c>
      <c r="M403" s="11"/>
      <c r="N403" s="4" t="str">
        <f t="shared" si="1"/>
        <v>Francisca Contreras Vergara</v>
      </c>
      <c r="O403" s="6" t="str">
        <f t="shared" si="2"/>
        <v>21.664.994-6</v>
      </c>
      <c r="P403" s="6" t="str">
        <f t="shared" si="3"/>
        <v>Temuco - Temuco - Región de la Araucanía</v>
      </c>
      <c r="Q403" s="4" t="str">
        <f t="shared" si="4"/>
        <v>En Revisión</v>
      </c>
      <c r="R403" s="12" t="str">
        <f t="shared" si="5"/>
        <v>Riesgo Medio</v>
      </c>
    </row>
    <row r="404">
      <c r="A404" s="1" t="s">
        <v>1951</v>
      </c>
      <c r="B404" s="9" t="s">
        <v>1952</v>
      </c>
      <c r="C404" s="9" t="s">
        <v>1954</v>
      </c>
      <c r="D404" s="1" t="s">
        <v>1956</v>
      </c>
      <c r="E404" s="1" t="s">
        <v>45</v>
      </c>
      <c r="F404" s="1" t="s">
        <v>45</v>
      </c>
      <c r="G404" s="1" t="s">
        <v>46</v>
      </c>
      <c r="H404" s="2">
        <v>1.599E7</v>
      </c>
      <c r="I404" s="1">
        <v>60.0</v>
      </c>
      <c r="J404" s="9" t="s">
        <v>20</v>
      </c>
      <c r="K404" s="5">
        <v>46157.0</v>
      </c>
      <c r="L404" s="11" t="s">
        <v>181</v>
      </c>
      <c r="M404" s="11"/>
      <c r="N404" s="4" t="str">
        <f t="shared" si="1"/>
        <v>Francisca Díaz Díaz</v>
      </c>
      <c r="O404" s="6" t="str">
        <f t="shared" si="2"/>
        <v>13018615-9</v>
      </c>
      <c r="P404" s="6" t="str">
        <f t="shared" si="3"/>
        <v>Temuco - Temuco - Región de la Araucanía</v>
      </c>
      <c r="Q404" s="4" t="str">
        <f t="shared" si="4"/>
        <v>En Revisión</v>
      </c>
      <c r="R404" s="12" t="str">
        <f t="shared" si="5"/>
        <v>Riesgo Medio</v>
      </c>
    </row>
    <row r="405">
      <c r="A405" s="1" t="s">
        <v>3832</v>
      </c>
      <c r="B405" s="9" t="s">
        <v>3833</v>
      </c>
      <c r="C405" s="9" t="s">
        <v>3834</v>
      </c>
      <c r="D405" s="1" t="s">
        <v>3836</v>
      </c>
      <c r="E405" s="1" t="s">
        <v>61</v>
      </c>
      <c r="F405" s="1" t="s">
        <v>62</v>
      </c>
      <c r="G405" s="1" t="s">
        <v>63</v>
      </c>
      <c r="H405" s="2">
        <v>1.976E7</v>
      </c>
      <c r="I405" s="1">
        <v>30.0</v>
      </c>
      <c r="J405" s="9" t="s">
        <v>28</v>
      </c>
      <c r="K405" s="5">
        <v>46130.0</v>
      </c>
      <c r="L405" s="11" t="s">
        <v>199</v>
      </c>
      <c r="M405" s="11"/>
      <c r="N405" s="4" t="str">
        <f t="shared" si="1"/>
        <v>Francisca Díaz González</v>
      </c>
      <c r="O405" s="6" t="str">
        <f t="shared" si="2"/>
        <v>20.274.430-9</v>
      </c>
      <c r="P405" s="6" t="str">
        <f t="shared" si="3"/>
        <v>Santiago Centro - Santiago - Región Metropolitana</v>
      </c>
      <c r="Q405" s="4" t="str">
        <f t="shared" si="4"/>
        <v>Activo</v>
      </c>
      <c r="R405" s="12" t="str">
        <f t="shared" si="5"/>
        <v>Riesgo Bajo</v>
      </c>
    </row>
    <row r="406">
      <c r="A406" s="1" t="s">
        <v>3168</v>
      </c>
      <c r="B406" s="9" t="s">
        <v>3170</v>
      </c>
      <c r="C406" s="9" t="s">
        <v>3172</v>
      </c>
      <c r="D406" s="1" t="s">
        <v>3173</v>
      </c>
      <c r="E406" s="1" t="s">
        <v>25</v>
      </c>
      <c r="F406" s="1" t="s">
        <v>26</v>
      </c>
      <c r="G406" s="1" t="s">
        <v>27</v>
      </c>
      <c r="H406" s="2">
        <v>5990000.0</v>
      </c>
      <c r="I406" s="1">
        <v>90.0</v>
      </c>
      <c r="J406" s="9" t="s">
        <v>20</v>
      </c>
      <c r="K406" s="5">
        <v>46091.0</v>
      </c>
      <c r="L406" s="11" t="s">
        <v>207</v>
      </c>
      <c r="M406" s="11"/>
      <c r="N406" s="4" t="str">
        <f t="shared" si="1"/>
        <v>Francisca Espinoza Rojas</v>
      </c>
      <c r="O406" s="6" t="str">
        <f t="shared" si="2"/>
        <v>16.930.582-3</v>
      </c>
      <c r="P406" s="6" t="str">
        <f t="shared" si="3"/>
        <v>Viña del Mar - Valparaíso - Región de Valparaíso</v>
      </c>
      <c r="Q406" s="4" t="str">
        <f t="shared" si="4"/>
        <v>En Revisión</v>
      </c>
      <c r="R406" s="12" t="str">
        <f t="shared" si="5"/>
        <v>Riesgo Medio</v>
      </c>
    </row>
    <row r="407">
      <c r="A407" s="1" t="s">
        <v>3802</v>
      </c>
      <c r="B407" s="9" t="s">
        <v>3803</v>
      </c>
      <c r="C407" s="9" t="s">
        <v>3843</v>
      </c>
      <c r="D407" s="1" t="s">
        <v>3805</v>
      </c>
      <c r="E407" s="1" t="s">
        <v>109</v>
      </c>
      <c r="F407" s="1" t="s">
        <v>62</v>
      </c>
      <c r="G407" s="1" t="s">
        <v>63</v>
      </c>
      <c r="H407" s="2">
        <v>5500000.0</v>
      </c>
      <c r="I407" s="1">
        <v>30.0</v>
      </c>
      <c r="J407" s="9" t="s">
        <v>97</v>
      </c>
      <c r="K407" s="5">
        <v>46039.0</v>
      </c>
      <c r="L407" s="11" t="s">
        <v>160</v>
      </c>
      <c r="M407" s="11"/>
      <c r="N407" s="4" t="str">
        <f t="shared" si="1"/>
        <v>Francisca González Espinoza</v>
      </c>
      <c r="O407" s="6" t="str">
        <f t="shared" si="2"/>
        <v>17.658.967-3</v>
      </c>
      <c r="P407" s="6" t="str">
        <f t="shared" si="3"/>
        <v>Ñuñoa - Santiago - Región Metropolitana</v>
      </c>
      <c r="Q407" s="4" t="str">
        <f t="shared" si="4"/>
        <v>Inactivo</v>
      </c>
      <c r="R407" s="12" t="str">
        <f t="shared" si="5"/>
        <v>Riesgo Bajo</v>
      </c>
    </row>
    <row r="408">
      <c r="A408" s="1" t="s">
        <v>2829</v>
      </c>
      <c r="B408" s="9" t="s">
        <v>2830</v>
      </c>
      <c r="C408" s="9" t="s">
        <v>3846</v>
      </c>
      <c r="D408" s="1" t="s">
        <v>2832</v>
      </c>
      <c r="E408" s="1" t="s">
        <v>72</v>
      </c>
      <c r="F408" s="1" t="s">
        <v>62</v>
      </c>
      <c r="G408" s="1" t="s">
        <v>63</v>
      </c>
      <c r="H408" s="2">
        <v>1.182E7</v>
      </c>
      <c r="I408" s="1">
        <v>30.0</v>
      </c>
      <c r="J408" s="9" t="s">
        <v>28</v>
      </c>
      <c r="K408" s="5">
        <v>46036.0</v>
      </c>
      <c r="L408" s="11" t="s">
        <v>100</v>
      </c>
      <c r="M408" s="11"/>
      <c r="N408" s="4" t="str">
        <f t="shared" si="1"/>
        <v>Francisca López Díaz</v>
      </c>
      <c r="O408" s="6" t="str">
        <f t="shared" si="2"/>
        <v>11.996.907-K</v>
      </c>
      <c r="P408" s="6" t="str">
        <f t="shared" si="3"/>
        <v>Providencia - Santiago - Región Metropolitana</v>
      </c>
      <c r="Q408" s="4" t="str">
        <f t="shared" si="4"/>
        <v>Activo</v>
      </c>
      <c r="R408" s="12" t="str">
        <f t="shared" si="5"/>
        <v>Riesgo Bajo</v>
      </c>
    </row>
    <row r="409">
      <c r="A409" s="1" t="s">
        <v>3847</v>
      </c>
      <c r="B409" s="9" t="s">
        <v>3848</v>
      </c>
      <c r="C409" s="9" t="s">
        <v>3849</v>
      </c>
      <c r="D409" s="1" t="s">
        <v>3850</v>
      </c>
      <c r="E409" s="1" t="s">
        <v>109</v>
      </c>
      <c r="F409" s="1" t="s">
        <v>62</v>
      </c>
      <c r="G409" s="1" t="s">
        <v>63</v>
      </c>
      <c r="H409" s="2">
        <v>1.901E7</v>
      </c>
      <c r="I409" s="1">
        <v>0.0</v>
      </c>
      <c r="J409" s="9" t="s">
        <v>28</v>
      </c>
      <c r="K409" s="5">
        <v>46207.0</v>
      </c>
      <c r="L409" s="11" t="s">
        <v>160</v>
      </c>
      <c r="M409" s="11"/>
      <c r="N409" s="4" t="str">
        <f t="shared" si="1"/>
        <v>Francisca López Sepúlveda</v>
      </c>
      <c r="O409" s="6" t="str">
        <f t="shared" si="2"/>
        <v>14.307.016-8</v>
      </c>
      <c r="P409" s="6" t="str">
        <f t="shared" si="3"/>
        <v>Ñuñoa - Santiago - Región Metropolitana</v>
      </c>
      <c r="Q409" s="4" t="str">
        <f t="shared" si="4"/>
        <v>Activo</v>
      </c>
      <c r="R409" s="12" t="str">
        <f t="shared" si="5"/>
        <v>Riesgo Bajo</v>
      </c>
    </row>
    <row r="410">
      <c r="A410" s="1" t="s">
        <v>3855</v>
      </c>
      <c r="B410" s="9" t="s">
        <v>3856</v>
      </c>
      <c r="C410" s="9" t="s">
        <v>3857</v>
      </c>
      <c r="D410" s="1" t="s">
        <v>3858</v>
      </c>
      <c r="E410" s="1" t="s">
        <v>26</v>
      </c>
      <c r="F410" s="1" t="s">
        <v>26</v>
      </c>
      <c r="G410" s="1" t="s">
        <v>27</v>
      </c>
      <c r="H410" s="2">
        <v>9500000.0</v>
      </c>
      <c r="I410" s="1">
        <v>0.0</v>
      </c>
      <c r="J410" s="9" t="s">
        <v>28</v>
      </c>
      <c r="K410" s="5">
        <v>46193.0</v>
      </c>
      <c r="L410" s="11" t="s">
        <v>160</v>
      </c>
      <c r="M410" s="11"/>
      <c r="N410" s="4" t="str">
        <f t="shared" si="1"/>
        <v>Francisca Morales Espinoza</v>
      </c>
      <c r="O410" s="6" t="str">
        <f t="shared" si="2"/>
        <v>18.171.355-0</v>
      </c>
      <c r="P410" s="6" t="str">
        <f t="shared" si="3"/>
        <v>Valparaíso - Valparaíso - Región de Valparaíso</v>
      </c>
      <c r="Q410" s="4" t="str">
        <f t="shared" si="4"/>
        <v>Activo</v>
      </c>
      <c r="R410" s="12" t="str">
        <f t="shared" si="5"/>
        <v>Riesgo Bajo</v>
      </c>
    </row>
    <row r="411">
      <c r="A411" s="1" t="s">
        <v>3863</v>
      </c>
      <c r="B411" s="9" t="s">
        <v>3865</v>
      </c>
      <c r="C411" s="9" t="s">
        <v>3866</v>
      </c>
      <c r="D411" s="1" t="s">
        <v>3868</v>
      </c>
      <c r="E411" s="1" t="s">
        <v>45</v>
      </c>
      <c r="F411" s="1" t="s">
        <v>45</v>
      </c>
      <c r="G411" s="1" t="s">
        <v>46</v>
      </c>
      <c r="H411" s="2">
        <v>1710000.0</v>
      </c>
      <c r="I411" s="1">
        <v>30.0</v>
      </c>
      <c r="J411" s="9" t="s">
        <v>28</v>
      </c>
      <c r="K411" s="5">
        <v>46081.0</v>
      </c>
      <c r="L411" s="11" t="s">
        <v>181</v>
      </c>
      <c r="M411" s="11"/>
      <c r="N411" s="4" t="str">
        <f t="shared" si="1"/>
        <v>Francisca Morales Fuentes</v>
      </c>
      <c r="O411" s="6" t="str">
        <f t="shared" si="2"/>
        <v>18554186-9</v>
      </c>
      <c r="P411" s="6" t="str">
        <f t="shared" si="3"/>
        <v>Temuco - Temuco - Región de la Araucanía</v>
      </c>
      <c r="Q411" s="4" t="str">
        <f t="shared" si="4"/>
        <v>Activo</v>
      </c>
      <c r="R411" s="12" t="str">
        <f t="shared" si="5"/>
        <v>Riesgo Bajo</v>
      </c>
    </row>
    <row r="412">
      <c r="A412" s="1" t="s">
        <v>2864</v>
      </c>
      <c r="B412" s="9" t="s">
        <v>2865</v>
      </c>
      <c r="C412" s="9" t="s">
        <v>2866</v>
      </c>
      <c r="D412" s="1" t="s">
        <v>2867</v>
      </c>
      <c r="E412" s="1" t="s">
        <v>158</v>
      </c>
      <c r="F412" s="1" t="s">
        <v>158</v>
      </c>
      <c r="G412" s="1" t="s">
        <v>159</v>
      </c>
      <c r="H412" s="2">
        <v>1.617E7</v>
      </c>
      <c r="I412" s="1">
        <v>0.0</v>
      </c>
      <c r="J412" s="9" t="s">
        <v>20</v>
      </c>
      <c r="K412" s="5">
        <v>46201.0</v>
      </c>
      <c r="L412" s="11" t="s">
        <v>160</v>
      </c>
      <c r="M412" s="11"/>
      <c r="N412" s="4" t="str">
        <f t="shared" si="1"/>
        <v>Francisca Muñoz López</v>
      </c>
      <c r="O412" s="6" t="str">
        <f t="shared" si="2"/>
        <v>18.089.185-5</v>
      </c>
      <c r="P412" s="6" t="str">
        <f t="shared" si="3"/>
        <v>Antofagasta - Antofagasta - Región de Antofagasta</v>
      </c>
      <c r="Q412" s="4" t="str">
        <f t="shared" si="4"/>
        <v>En Revisión</v>
      </c>
      <c r="R412" s="12" t="str">
        <f t="shared" si="5"/>
        <v>Riesgo Medio</v>
      </c>
    </row>
    <row r="413">
      <c r="A413" s="1" t="s">
        <v>3301</v>
      </c>
      <c r="B413" s="9" t="s">
        <v>3302</v>
      </c>
      <c r="C413" s="9" t="s">
        <v>3872</v>
      </c>
      <c r="D413" s="1" t="s">
        <v>3307</v>
      </c>
      <c r="E413" s="1" t="s">
        <v>45</v>
      </c>
      <c r="F413" s="1" t="s">
        <v>45</v>
      </c>
      <c r="G413" s="1" t="s">
        <v>46</v>
      </c>
      <c r="H413" s="2">
        <v>5970000.0</v>
      </c>
      <c r="I413" s="1">
        <v>30.0</v>
      </c>
      <c r="J413" s="9" t="s">
        <v>97</v>
      </c>
      <c r="K413" s="5">
        <v>46123.0</v>
      </c>
      <c r="L413" s="11" t="s">
        <v>160</v>
      </c>
      <c r="M413" s="11"/>
      <c r="N413" s="4" t="str">
        <f t="shared" si="1"/>
        <v>Francisca Muñoz Sepúlveda</v>
      </c>
      <c r="O413" s="6" t="str">
        <f t="shared" si="2"/>
        <v>12545104-9</v>
      </c>
      <c r="P413" s="6" t="str">
        <f t="shared" si="3"/>
        <v>Temuco - Temuco - Región de la Araucanía</v>
      </c>
      <c r="Q413" s="4" t="str">
        <f t="shared" si="4"/>
        <v>Inactivo</v>
      </c>
      <c r="R413" s="12" t="str">
        <f t="shared" si="5"/>
        <v>Riesgo Bajo</v>
      </c>
    </row>
    <row r="414">
      <c r="A414" s="1" t="s">
        <v>3874</v>
      </c>
      <c r="B414" s="9" t="s">
        <v>3875</v>
      </c>
      <c r="C414" s="9" t="s">
        <v>3876</v>
      </c>
      <c r="D414" s="1" t="s">
        <v>3877</v>
      </c>
      <c r="E414" s="1" t="s">
        <v>56</v>
      </c>
      <c r="F414" s="1" t="s">
        <v>39</v>
      </c>
      <c r="G414" s="1" t="s">
        <v>40</v>
      </c>
      <c r="H414" s="2">
        <v>1.008E7</v>
      </c>
      <c r="I414" s="1">
        <v>30.0</v>
      </c>
      <c r="J414" s="9" t="s">
        <v>97</v>
      </c>
      <c r="K414" s="5">
        <v>46129.0</v>
      </c>
      <c r="L414" s="11" t="s">
        <v>207</v>
      </c>
      <c r="M414" s="11"/>
      <c r="N414" s="4" t="str">
        <f t="shared" si="1"/>
        <v>Francisca Muñoz Soto</v>
      </c>
      <c r="O414" s="6" t="str">
        <f t="shared" si="2"/>
        <v>13.781.787-4</v>
      </c>
      <c r="P414" s="6" t="str">
        <f t="shared" si="3"/>
        <v>Talcahuano - Concepción - Región del Biobío</v>
      </c>
      <c r="Q414" s="4" t="str">
        <f t="shared" si="4"/>
        <v>Inactivo</v>
      </c>
      <c r="R414" s="12" t="str">
        <f t="shared" si="5"/>
        <v>Riesgo Bajo</v>
      </c>
    </row>
    <row r="415">
      <c r="A415" s="1" t="s">
        <v>1004</v>
      </c>
      <c r="B415" s="9" t="s">
        <v>1005</v>
      </c>
      <c r="C415" s="9" t="s">
        <v>3882</v>
      </c>
      <c r="D415" s="1" t="s">
        <v>1008</v>
      </c>
      <c r="E415" s="1" t="s">
        <v>56</v>
      </c>
      <c r="F415" s="1" t="s">
        <v>39</v>
      </c>
      <c r="G415" s="1" t="s">
        <v>40</v>
      </c>
      <c r="H415" s="2">
        <v>1.387E7</v>
      </c>
      <c r="I415" s="1">
        <v>15.0</v>
      </c>
      <c r="J415" s="9" t="s">
        <v>20</v>
      </c>
      <c r="K415" s="5">
        <v>46062.0</v>
      </c>
      <c r="L415" s="11" t="s">
        <v>160</v>
      </c>
      <c r="M415" s="11"/>
      <c r="N415" s="4" t="str">
        <f t="shared" si="1"/>
        <v>Francisca Pérez Tapia</v>
      </c>
      <c r="O415" s="6" t="str">
        <f t="shared" si="2"/>
        <v>17.292.330-0</v>
      </c>
      <c r="P415" s="6" t="str">
        <f t="shared" si="3"/>
        <v>Talcahuano - Concepción - Región del Biobío</v>
      </c>
      <c r="Q415" s="4" t="str">
        <f t="shared" si="4"/>
        <v>En Revisión</v>
      </c>
      <c r="R415" s="12" t="str">
        <f t="shared" si="5"/>
        <v>Riesgo Medio</v>
      </c>
    </row>
    <row r="416">
      <c r="A416" s="1" t="s">
        <v>3887</v>
      </c>
      <c r="B416" s="9" t="s">
        <v>3888</v>
      </c>
      <c r="C416" s="9" t="s">
        <v>3890</v>
      </c>
      <c r="D416" s="1" t="s">
        <v>3892</v>
      </c>
      <c r="E416" s="1" t="s">
        <v>194</v>
      </c>
      <c r="F416" s="1" t="s">
        <v>62</v>
      </c>
      <c r="G416" s="1" t="s">
        <v>63</v>
      </c>
      <c r="H416" s="2">
        <v>7040000.0</v>
      </c>
      <c r="I416" s="1">
        <v>120.0</v>
      </c>
      <c r="J416" s="9" t="s">
        <v>28</v>
      </c>
      <c r="K416" s="5">
        <v>46069.0</v>
      </c>
      <c r="L416" s="11" t="s">
        <v>207</v>
      </c>
      <c r="M416" s="11"/>
      <c r="N416" s="4" t="str">
        <f t="shared" si="1"/>
        <v>Francisca Pérez Valenzuela</v>
      </c>
      <c r="O416" s="6" t="str">
        <f t="shared" si="2"/>
        <v>17.882.605-5</v>
      </c>
      <c r="P416" s="6" t="str">
        <f t="shared" si="3"/>
        <v>Las Condes - Santiago - Región Metropolitana</v>
      </c>
      <c r="Q416" s="4" t="str">
        <f t="shared" si="4"/>
        <v>Activo</v>
      </c>
      <c r="R416" s="12" t="str">
        <f t="shared" si="5"/>
        <v>Riesgo Alto</v>
      </c>
    </row>
    <row r="417">
      <c r="A417" s="1" t="s">
        <v>3358</v>
      </c>
      <c r="B417" s="9" t="s">
        <v>3359</v>
      </c>
      <c r="C417" s="9" t="s">
        <v>3360</v>
      </c>
      <c r="D417" s="1" t="s">
        <v>3361</v>
      </c>
      <c r="E417" s="1" t="s">
        <v>18</v>
      </c>
      <c r="F417" s="1" t="s">
        <v>18</v>
      </c>
      <c r="G417" s="1" t="s">
        <v>19</v>
      </c>
      <c r="H417" s="2">
        <v>3780000.0</v>
      </c>
      <c r="I417" s="1">
        <v>90.0</v>
      </c>
      <c r="J417" s="9" t="s">
        <v>28</v>
      </c>
      <c r="K417" s="5">
        <v>46048.0</v>
      </c>
      <c r="L417" s="11" t="s">
        <v>100</v>
      </c>
      <c r="M417" s="11"/>
      <c r="N417" s="4" t="str">
        <f t="shared" si="1"/>
        <v>Francisca Rodríguez Rodríguez</v>
      </c>
      <c r="O417" s="6" t="str">
        <f t="shared" si="2"/>
        <v>13.677.685-7</v>
      </c>
      <c r="P417" s="6" t="str">
        <f t="shared" si="3"/>
        <v>La Serena - La Serena - Región de Coquimbo</v>
      </c>
      <c r="Q417" s="4" t="str">
        <f t="shared" si="4"/>
        <v>Activo</v>
      </c>
      <c r="R417" s="12" t="str">
        <f t="shared" si="5"/>
        <v>Riesgo Alto</v>
      </c>
    </row>
    <row r="418">
      <c r="A418" s="1" t="s">
        <v>3479</v>
      </c>
      <c r="B418" s="9" t="s">
        <v>3480</v>
      </c>
      <c r="C418" s="9" t="s">
        <v>3898</v>
      </c>
      <c r="D418" s="1" t="s">
        <v>3482</v>
      </c>
      <c r="E418" s="1" t="s">
        <v>33</v>
      </c>
      <c r="F418" s="1" t="s">
        <v>33</v>
      </c>
      <c r="G418" s="1" t="s">
        <v>34</v>
      </c>
      <c r="H418" s="2">
        <v>9270000.0</v>
      </c>
      <c r="I418" s="1">
        <v>15.0</v>
      </c>
      <c r="J418" s="9" t="s">
        <v>20</v>
      </c>
      <c r="K418" s="5">
        <v>46095.0</v>
      </c>
      <c r="L418" s="11" t="s">
        <v>207</v>
      </c>
      <c r="M418" s="11"/>
      <c r="N418" s="4" t="str">
        <f t="shared" si="1"/>
        <v>Francisca Rojas Sepúlveda</v>
      </c>
      <c r="O418" s="6" t="str">
        <f t="shared" si="2"/>
        <v>17530160-K</v>
      </c>
      <c r="P418" s="6" t="str">
        <f t="shared" si="3"/>
        <v>Puerto Montt - Puerto Montt - Región de Los Lagos</v>
      </c>
      <c r="Q418" s="4" t="str">
        <f t="shared" si="4"/>
        <v>En Revisión</v>
      </c>
      <c r="R418" s="12" t="str">
        <f t="shared" si="5"/>
        <v>Riesgo Medio</v>
      </c>
    </row>
    <row r="419">
      <c r="A419" s="1" t="s">
        <v>3903</v>
      </c>
      <c r="B419" s="9" t="s">
        <v>3904</v>
      </c>
      <c r="C419" s="9" t="s">
        <v>3905</v>
      </c>
      <c r="D419" s="1" t="s">
        <v>3906</v>
      </c>
      <c r="E419" s="1" t="s">
        <v>194</v>
      </c>
      <c r="F419" s="1" t="s">
        <v>62</v>
      </c>
      <c r="G419" s="1" t="s">
        <v>63</v>
      </c>
      <c r="H419" s="2">
        <v>1.258E7</v>
      </c>
      <c r="I419" s="1">
        <v>120.0</v>
      </c>
      <c r="J419" s="9" t="s">
        <v>20</v>
      </c>
      <c r="K419" s="5">
        <v>46184.0</v>
      </c>
      <c r="L419" s="11" t="s">
        <v>207</v>
      </c>
      <c r="M419" s="11"/>
      <c r="N419" s="4" t="str">
        <f t="shared" si="1"/>
        <v>Francisca Rojas Valenzuela</v>
      </c>
      <c r="O419" s="6" t="str">
        <f t="shared" si="2"/>
        <v>13.023.527-6</v>
      </c>
      <c r="P419" s="6" t="str">
        <f t="shared" si="3"/>
        <v>Las Condes - Santiago - Región Metropolitana</v>
      </c>
      <c r="Q419" s="4" t="str">
        <f t="shared" si="4"/>
        <v>En Revisión</v>
      </c>
      <c r="R419" s="12" t="str">
        <f t="shared" si="5"/>
        <v>Riesgo Medio</v>
      </c>
    </row>
    <row r="420">
      <c r="A420" s="1" t="s">
        <v>2764</v>
      </c>
      <c r="B420" s="9" t="s">
        <v>2765</v>
      </c>
      <c r="C420" s="9" t="s">
        <v>2766</v>
      </c>
      <c r="D420" s="1" t="s">
        <v>2767</v>
      </c>
      <c r="E420" s="1" t="s">
        <v>56</v>
      </c>
      <c r="F420" s="1" t="s">
        <v>39</v>
      </c>
      <c r="G420" s="1" t="s">
        <v>40</v>
      </c>
      <c r="H420" s="2">
        <v>2.082E7</v>
      </c>
      <c r="I420" s="1">
        <v>30.0</v>
      </c>
      <c r="J420" s="9" t="s">
        <v>20</v>
      </c>
      <c r="K420" s="5">
        <v>46038.0</v>
      </c>
      <c r="L420" s="11" t="s">
        <v>100</v>
      </c>
      <c r="M420" s="11"/>
      <c r="N420" s="4" t="str">
        <f t="shared" si="1"/>
        <v>Francisca Sepúlveda Valenzuela</v>
      </c>
      <c r="O420" s="6" t="str">
        <f t="shared" si="2"/>
        <v>17.768.195-8</v>
      </c>
      <c r="P420" s="6" t="str">
        <f t="shared" si="3"/>
        <v>Talcahuano - Concepción - Región del Biobío</v>
      </c>
      <c r="Q420" s="4" t="str">
        <f t="shared" si="4"/>
        <v>En Revisión</v>
      </c>
      <c r="R420" s="12" t="str">
        <f t="shared" si="5"/>
        <v>Riesgo Medio</v>
      </c>
    </row>
    <row r="421">
      <c r="A421" s="1" t="s">
        <v>3913</v>
      </c>
      <c r="B421" s="9" t="s">
        <v>3914</v>
      </c>
      <c r="C421" s="9" t="s">
        <v>3915</v>
      </c>
      <c r="D421" s="1" t="s">
        <v>3129</v>
      </c>
      <c r="E421" s="1" t="s">
        <v>118</v>
      </c>
      <c r="F421" s="1" t="s">
        <v>62</v>
      </c>
      <c r="G421" s="1" t="s">
        <v>63</v>
      </c>
      <c r="H421" s="2">
        <v>1.875E7</v>
      </c>
      <c r="I421" s="1">
        <v>90.0</v>
      </c>
      <c r="J421" s="9" t="s">
        <v>28</v>
      </c>
      <c r="K421" s="5">
        <v>46139.0</v>
      </c>
      <c r="L421" s="11" t="s">
        <v>181</v>
      </c>
      <c r="M421" s="11"/>
      <c r="N421" s="4" t="str">
        <f t="shared" si="1"/>
        <v>Francisca Silva Contreras</v>
      </c>
      <c r="O421" s="6" t="str">
        <f t="shared" si="2"/>
        <v>17.993.339-9</v>
      </c>
      <c r="P421" s="6" t="str">
        <f t="shared" si="3"/>
        <v>Maipú - Santiago - Región Metropolitana</v>
      </c>
      <c r="Q421" s="4" t="str">
        <f t="shared" si="4"/>
        <v>Activo</v>
      </c>
      <c r="R421" s="12" t="str">
        <f t="shared" si="5"/>
        <v>Riesgo Alto</v>
      </c>
    </row>
    <row r="422">
      <c r="A422" s="1" t="s">
        <v>3211</v>
      </c>
      <c r="B422" s="9" t="s">
        <v>3212</v>
      </c>
      <c r="C422" s="9" t="s">
        <v>3213</v>
      </c>
      <c r="D422" s="1" t="s">
        <v>3214</v>
      </c>
      <c r="E422" s="1" t="s">
        <v>194</v>
      </c>
      <c r="F422" s="1" t="s">
        <v>62</v>
      </c>
      <c r="G422" s="1" t="s">
        <v>63</v>
      </c>
      <c r="H422" s="2">
        <v>7220000.0</v>
      </c>
      <c r="I422" s="1">
        <v>0.0</v>
      </c>
      <c r="J422" s="9" t="s">
        <v>28</v>
      </c>
      <c r="K422" s="5">
        <v>46026.0</v>
      </c>
      <c r="L422" s="11" t="s">
        <v>100</v>
      </c>
      <c r="M422" s="11"/>
      <c r="N422" s="4" t="str">
        <f t="shared" si="1"/>
        <v>Francisca Silva Espinoza</v>
      </c>
      <c r="O422" s="6" t="str">
        <f t="shared" si="2"/>
        <v>14.609.386-4</v>
      </c>
      <c r="P422" s="6" t="str">
        <f t="shared" si="3"/>
        <v>Las Condes - Santiago - Región Metropolitana</v>
      </c>
      <c r="Q422" s="4" t="str">
        <f t="shared" si="4"/>
        <v>Activo</v>
      </c>
      <c r="R422" s="12" t="str">
        <f t="shared" si="5"/>
        <v>Riesgo Bajo</v>
      </c>
    </row>
    <row r="423">
      <c r="A423" s="1" t="s">
        <v>1654</v>
      </c>
      <c r="B423" s="9" t="s">
        <v>1655</v>
      </c>
      <c r="C423" s="9" t="s">
        <v>1657</v>
      </c>
      <c r="D423" s="1" t="s">
        <v>1659</v>
      </c>
      <c r="E423" s="1" t="s">
        <v>33</v>
      </c>
      <c r="F423" s="1" t="s">
        <v>33</v>
      </c>
      <c r="G423" s="1" t="s">
        <v>34</v>
      </c>
      <c r="H423" s="2">
        <v>640000.0</v>
      </c>
      <c r="I423" s="1">
        <v>60.0</v>
      </c>
      <c r="J423" s="9" t="s">
        <v>28</v>
      </c>
      <c r="K423" s="5">
        <v>46076.0</v>
      </c>
      <c r="L423" s="11" t="s">
        <v>207</v>
      </c>
      <c r="M423" s="11"/>
      <c r="N423" s="4" t="str">
        <f t="shared" si="1"/>
        <v>Francisca Silva Muñoz</v>
      </c>
      <c r="O423" s="6" t="str">
        <f t="shared" si="2"/>
        <v>21.977.460-4</v>
      </c>
      <c r="P423" s="6" t="str">
        <f t="shared" si="3"/>
        <v>Puerto Montt - Puerto Montt - Región de Los Lagos</v>
      </c>
      <c r="Q423" s="4" t="str">
        <f t="shared" si="4"/>
        <v>Activo</v>
      </c>
      <c r="R423" s="12" t="str">
        <f t="shared" si="5"/>
        <v>Riesgo Medio</v>
      </c>
    </row>
    <row r="424">
      <c r="A424" s="1" t="s">
        <v>3744</v>
      </c>
      <c r="B424" s="9" t="s">
        <v>3745</v>
      </c>
      <c r="C424" s="9" t="s">
        <v>3922</v>
      </c>
      <c r="D424" s="1" t="s">
        <v>3747</v>
      </c>
      <c r="E424" s="1" t="s">
        <v>194</v>
      </c>
      <c r="F424" s="1" t="s">
        <v>62</v>
      </c>
      <c r="G424" s="1" t="s">
        <v>63</v>
      </c>
      <c r="H424" s="2">
        <v>1.686E7</v>
      </c>
      <c r="I424" s="1">
        <v>120.0</v>
      </c>
      <c r="J424" s="9" t="s">
        <v>28</v>
      </c>
      <c r="K424" s="5">
        <v>46185.0</v>
      </c>
      <c r="L424" s="11" t="s">
        <v>160</v>
      </c>
      <c r="M424" s="11"/>
      <c r="N424" s="4" t="str">
        <f t="shared" si="1"/>
        <v>Francisca Silva Rodríguez</v>
      </c>
      <c r="O424" s="6" t="str">
        <f t="shared" si="2"/>
        <v>11.855.680-0</v>
      </c>
      <c r="P424" s="6" t="str">
        <f t="shared" si="3"/>
        <v>Las Condes - Santiago - Región Metropolitana</v>
      </c>
      <c r="Q424" s="4" t="str">
        <f t="shared" si="4"/>
        <v>Activo</v>
      </c>
      <c r="R424" s="12" t="str">
        <f t="shared" si="5"/>
        <v>Riesgo Alto</v>
      </c>
    </row>
    <row r="425">
      <c r="A425" s="1" t="s">
        <v>3930</v>
      </c>
      <c r="B425" s="9" t="s">
        <v>3931</v>
      </c>
      <c r="C425" s="9" t="s">
        <v>3932</v>
      </c>
      <c r="D425" s="1" t="s">
        <v>1659</v>
      </c>
      <c r="E425" s="1" t="s">
        <v>25</v>
      </c>
      <c r="F425" s="1" t="s">
        <v>26</v>
      </c>
      <c r="G425" s="1" t="s">
        <v>27</v>
      </c>
      <c r="H425" s="2">
        <v>1490000.0</v>
      </c>
      <c r="I425" s="1">
        <v>0.0</v>
      </c>
      <c r="J425" s="9" t="s">
        <v>20</v>
      </c>
      <c r="K425" s="5">
        <v>46031.0</v>
      </c>
      <c r="L425" s="11" t="s">
        <v>160</v>
      </c>
      <c r="M425" s="11"/>
      <c r="N425" s="4" t="str">
        <f t="shared" si="1"/>
        <v>Francisca Silva Rojas</v>
      </c>
      <c r="O425" s="6" t="str">
        <f t="shared" si="2"/>
        <v>17516727-7</v>
      </c>
      <c r="P425" s="6" t="str">
        <f t="shared" si="3"/>
        <v>Viña del Mar - Valparaíso - Región de Valparaíso</v>
      </c>
      <c r="Q425" s="4" t="str">
        <f t="shared" si="4"/>
        <v>En Revisión</v>
      </c>
      <c r="R425" s="12" t="str">
        <f t="shared" si="5"/>
        <v>Riesgo Medio</v>
      </c>
    </row>
    <row r="426">
      <c r="A426" s="1" t="s">
        <v>3125</v>
      </c>
      <c r="B426" s="9" t="s">
        <v>3126</v>
      </c>
      <c r="C426" s="9" t="s">
        <v>3127</v>
      </c>
      <c r="D426" s="1" t="s">
        <v>3129</v>
      </c>
      <c r="E426" s="1" t="s">
        <v>26</v>
      </c>
      <c r="F426" s="1" t="s">
        <v>26</v>
      </c>
      <c r="G426" s="1" t="s">
        <v>27</v>
      </c>
      <c r="H426" s="2">
        <v>3120000.0</v>
      </c>
      <c r="I426" s="1">
        <v>90.0</v>
      </c>
      <c r="J426" s="9" t="s">
        <v>28</v>
      </c>
      <c r="K426" s="5">
        <v>46050.0</v>
      </c>
      <c r="L426" s="11" t="s">
        <v>181</v>
      </c>
      <c r="M426" s="11"/>
      <c r="N426" s="4" t="str">
        <f t="shared" si="1"/>
        <v>Francisca Silva Valenzuela</v>
      </c>
      <c r="O426" s="6" t="str">
        <f t="shared" si="2"/>
        <v>19.674.606-K</v>
      </c>
      <c r="P426" s="6" t="str">
        <f t="shared" si="3"/>
        <v>Valparaíso - Valparaíso - Región de Valparaíso</v>
      </c>
      <c r="Q426" s="4" t="str">
        <f t="shared" si="4"/>
        <v>Activo</v>
      </c>
      <c r="R426" s="12" t="str">
        <f t="shared" si="5"/>
        <v>Riesgo Alto</v>
      </c>
    </row>
    <row r="427">
      <c r="A427" s="1" t="s">
        <v>41</v>
      </c>
      <c r="B427" s="9" t="s">
        <v>42</v>
      </c>
      <c r="C427" s="9" t="s">
        <v>3938</v>
      </c>
      <c r="D427" s="1" t="s">
        <v>44</v>
      </c>
      <c r="E427" s="1" t="s">
        <v>45</v>
      </c>
      <c r="F427" s="1" t="s">
        <v>45</v>
      </c>
      <c r="G427" s="1" t="s">
        <v>46</v>
      </c>
      <c r="H427" s="2">
        <v>1.145E7</v>
      </c>
      <c r="I427" s="1">
        <v>45.0</v>
      </c>
      <c r="J427" s="9" t="s">
        <v>28</v>
      </c>
      <c r="K427" s="5">
        <v>46098.0</v>
      </c>
      <c r="L427" s="11" t="s">
        <v>160</v>
      </c>
      <c r="M427" s="11"/>
      <c r="N427" s="4" t="str">
        <f t="shared" si="1"/>
        <v>Francisca Soto Soto</v>
      </c>
      <c r="O427" s="6" t="str">
        <f t="shared" si="2"/>
        <v>22320514-8</v>
      </c>
      <c r="P427" s="6" t="str">
        <f t="shared" si="3"/>
        <v>Temuco - Temuco - Región de la Araucanía</v>
      </c>
      <c r="Q427" s="4" t="str">
        <f t="shared" si="4"/>
        <v>Activo</v>
      </c>
      <c r="R427" s="12" t="str">
        <f t="shared" si="5"/>
        <v>Riesgo Medio</v>
      </c>
    </row>
    <row r="428">
      <c r="A428" s="1" t="s">
        <v>3940</v>
      </c>
      <c r="B428" s="9" t="s">
        <v>3942</v>
      </c>
      <c r="C428" s="9" t="s">
        <v>3944</v>
      </c>
      <c r="D428" s="1" t="s">
        <v>3946</v>
      </c>
      <c r="E428" s="1" t="s">
        <v>109</v>
      </c>
      <c r="F428" s="1" t="s">
        <v>62</v>
      </c>
      <c r="G428" s="1" t="s">
        <v>63</v>
      </c>
      <c r="H428" s="2">
        <v>9610000.0</v>
      </c>
      <c r="I428" s="1">
        <v>15.0</v>
      </c>
      <c r="J428" s="9" t="s">
        <v>28</v>
      </c>
      <c r="K428" s="5">
        <v>46082.0</v>
      </c>
      <c r="L428" s="11" t="s">
        <v>160</v>
      </c>
      <c r="M428" s="11"/>
      <c r="N428" s="4" t="str">
        <f t="shared" si="1"/>
        <v>Francisca Tapia González</v>
      </c>
      <c r="O428" s="6" t="str">
        <f t="shared" si="2"/>
        <v>12.065.869-K</v>
      </c>
      <c r="P428" s="6" t="str">
        <f t="shared" si="3"/>
        <v>Ñuñoa - Santiago - Región Metropolitana</v>
      </c>
      <c r="Q428" s="4" t="str">
        <f t="shared" si="4"/>
        <v>Activo</v>
      </c>
      <c r="R428" s="12" t="str">
        <f t="shared" si="5"/>
        <v>Riesgo Bajo</v>
      </c>
    </row>
    <row r="429">
      <c r="A429" s="1" t="s">
        <v>3951</v>
      </c>
      <c r="B429" s="9" t="s">
        <v>3952</v>
      </c>
      <c r="C429" s="9" t="s">
        <v>3953</v>
      </c>
      <c r="D429" s="1" t="s">
        <v>3954</v>
      </c>
      <c r="E429" s="1" t="s">
        <v>18</v>
      </c>
      <c r="F429" s="1" t="s">
        <v>18</v>
      </c>
      <c r="G429" s="1" t="s">
        <v>19</v>
      </c>
      <c r="H429" s="2">
        <v>1.207E7</v>
      </c>
      <c r="I429" s="1">
        <v>45.0</v>
      </c>
      <c r="J429" s="9" t="s">
        <v>28</v>
      </c>
      <c r="K429" s="5">
        <v>46231.0</v>
      </c>
      <c r="L429" s="11" t="s">
        <v>207</v>
      </c>
      <c r="M429" s="11"/>
      <c r="N429" s="4" t="str">
        <f t="shared" si="1"/>
        <v>Francisca Tapia Tapia</v>
      </c>
      <c r="O429" s="6" t="str">
        <f t="shared" si="2"/>
        <v>15.161.567-7</v>
      </c>
      <c r="P429" s="6" t="str">
        <f t="shared" si="3"/>
        <v>La Serena - La Serena - Región de Coquimbo</v>
      </c>
      <c r="Q429" s="4" t="str">
        <f t="shared" si="4"/>
        <v>Activo</v>
      </c>
      <c r="R429" s="12" t="str">
        <f t="shared" si="5"/>
        <v>Riesgo Medio</v>
      </c>
    </row>
    <row r="430">
      <c r="A430" s="1" t="s">
        <v>1310</v>
      </c>
      <c r="B430" s="9" t="s">
        <v>1311</v>
      </c>
      <c r="C430" s="9" t="s">
        <v>1312</v>
      </c>
      <c r="D430" s="1" t="s">
        <v>1313</v>
      </c>
      <c r="E430" s="1" t="s">
        <v>45</v>
      </c>
      <c r="F430" s="1" t="s">
        <v>45</v>
      </c>
      <c r="G430" s="1" t="s">
        <v>46</v>
      </c>
      <c r="H430" s="2">
        <v>1.941E7</v>
      </c>
      <c r="I430" s="1">
        <v>45.0</v>
      </c>
      <c r="J430" s="9" t="s">
        <v>97</v>
      </c>
      <c r="K430" s="5">
        <v>46026.0</v>
      </c>
      <c r="L430" s="11" t="s">
        <v>160</v>
      </c>
      <c r="M430" s="11"/>
      <c r="N430" s="4" t="str">
        <f t="shared" si="1"/>
        <v>Francisca Valenzuela Pérez</v>
      </c>
      <c r="O430" s="6" t="str">
        <f t="shared" si="2"/>
        <v>13.034.986-8</v>
      </c>
      <c r="P430" s="6" t="str">
        <f t="shared" si="3"/>
        <v>Temuco - Temuco - Región de la Araucanía</v>
      </c>
      <c r="Q430" s="4" t="str">
        <f t="shared" si="4"/>
        <v>Inactivo</v>
      </c>
      <c r="R430" s="12" t="str">
        <f t="shared" si="5"/>
        <v>Riesgo Medio</v>
      </c>
    </row>
    <row r="431">
      <c r="A431" s="1" t="s">
        <v>3963</v>
      </c>
      <c r="B431" s="9" t="s">
        <v>3964</v>
      </c>
      <c r="C431" s="9" t="s">
        <v>3965</v>
      </c>
      <c r="D431" s="1" t="s">
        <v>3966</v>
      </c>
      <c r="E431" s="1" t="s">
        <v>25</v>
      </c>
      <c r="F431" s="1" t="s">
        <v>26</v>
      </c>
      <c r="G431" s="1" t="s">
        <v>27</v>
      </c>
      <c r="H431" s="2">
        <v>5940000.0</v>
      </c>
      <c r="I431" s="1">
        <v>45.0</v>
      </c>
      <c r="J431" s="9" t="s">
        <v>97</v>
      </c>
      <c r="K431" s="5">
        <v>46056.0</v>
      </c>
      <c r="L431" s="11" t="s">
        <v>207</v>
      </c>
      <c r="M431" s="11"/>
      <c r="N431" s="4" t="str">
        <f t="shared" si="1"/>
        <v>Francisca Valenzuela Rodríguez</v>
      </c>
      <c r="O431" s="6" t="str">
        <f t="shared" si="2"/>
        <v>11085741-5</v>
      </c>
      <c r="P431" s="6" t="str">
        <f t="shared" si="3"/>
        <v>Viña del Mar - Valparaíso - Región de Valparaíso</v>
      </c>
      <c r="Q431" s="4" t="str">
        <f t="shared" si="4"/>
        <v>Inactivo</v>
      </c>
      <c r="R431" s="12" t="str">
        <f t="shared" si="5"/>
        <v>Riesgo Medio</v>
      </c>
    </row>
    <row r="432">
      <c r="A432" s="1" t="s">
        <v>465</v>
      </c>
      <c r="B432" s="9" t="s">
        <v>466</v>
      </c>
      <c r="C432" s="9" t="s">
        <v>3968</v>
      </c>
      <c r="D432" s="1" t="s">
        <v>468</v>
      </c>
      <c r="E432" s="1" t="s">
        <v>33</v>
      </c>
      <c r="F432" s="1" t="s">
        <v>33</v>
      </c>
      <c r="G432" s="1" t="s">
        <v>34</v>
      </c>
      <c r="H432" s="2">
        <v>6040000.0</v>
      </c>
      <c r="I432" s="1">
        <v>0.0</v>
      </c>
      <c r="J432" s="9" t="s">
        <v>20</v>
      </c>
      <c r="K432" s="5">
        <v>46205.0</v>
      </c>
      <c r="L432" s="11" t="s">
        <v>100</v>
      </c>
      <c r="M432" s="11"/>
      <c r="N432" s="4" t="str">
        <f t="shared" si="1"/>
        <v>Francisca Valenzuela Tapia</v>
      </c>
      <c r="O432" s="6" t="str">
        <f t="shared" si="2"/>
        <v>14.288.488-4</v>
      </c>
      <c r="P432" s="6" t="str">
        <f t="shared" si="3"/>
        <v>Puerto Montt - Puerto Montt - Región de Los Lagos</v>
      </c>
      <c r="Q432" s="4" t="str">
        <f t="shared" si="4"/>
        <v>En Revisión</v>
      </c>
      <c r="R432" s="12" t="str">
        <f t="shared" si="5"/>
        <v>Riesgo Medio</v>
      </c>
    </row>
    <row r="433">
      <c r="A433" s="1" t="s">
        <v>3718</v>
      </c>
      <c r="B433" s="9" t="s">
        <v>3719</v>
      </c>
      <c r="C433" s="9" t="s">
        <v>3973</v>
      </c>
      <c r="D433" s="1" t="s">
        <v>3721</v>
      </c>
      <c r="E433" s="1" t="s">
        <v>61</v>
      </c>
      <c r="F433" s="1" t="s">
        <v>62</v>
      </c>
      <c r="G433" s="1" t="s">
        <v>63</v>
      </c>
      <c r="H433" s="2">
        <v>1.301E7</v>
      </c>
      <c r="I433" s="1">
        <v>60.0</v>
      </c>
      <c r="J433" s="9" t="s">
        <v>20</v>
      </c>
      <c r="K433" s="5">
        <v>46150.0</v>
      </c>
      <c r="L433" s="11" t="s">
        <v>207</v>
      </c>
      <c r="M433" s="11"/>
      <c r="N433" s="4" t="str">
        <f t="shared" si="1"/>
        <v>Francisca Valenzuela Valenzuela</v>
      </c>
      <c r="O433" s="6" t="str">
        <f t="shared" si="2"/>
        <v>19.734.827-9</v>
      </c>
      <c r="P433" s="6" t="str">
        <f t="shared" si="3"/>
        <v>Santiago Centro - Santiago - Región Metropolitana</v>
      </c>
      <c r="Q433" s="4" t="str">
        <f t="shared" si="4"/>
        <v>En Revisión</v>
      </c>
      <c r="R433" s="12" t="str">
        <f t="shared" si="5"/>
        <v>Riesgo Medio</v>
      </c>
    </row>
    <row r="434">
      <c r="A434" s="1" t="s">
        <v>3695</v>
      </c>
      <c r="B434" s="9" t="s">
        <v>3696</v>
      </c>
      <c r="C434" s="9" t="s">
        <v>3697</v>
      </c>
      <c r="D434" s="1" t="s">
        <v>3698</v>
      </c>
      <c r="E434" s="1" t="s">
        <v>158</v>
      </c>
      <c r="F434" s="1" t="s">
        <v>158</v>
      </c>
      <c r="G434" s="1" t="s">
        <v>159</v>
      </c>
      <c r="H434" s="2">
        <v>1.388E7</v>
      </c>
      <c r="I434" s="1">
        <v>0.0</v>
      </c>
      <c r="J434" s="9" t="s">
        <v>20</v>
      </c>
      <c r="K434" s="5">
        <v>46106.0</v>
      </c>
      <c r="L434" s="11" t="s">
        <v>160</v>
      </c>
      <c r="M434" s="11"/>
      <c r="N434" s="4" t="str">
        <f t="shared" si="1"/>
        <v>Francisca Vergara Valenzuela</v>
      </c>
      <c r="O434" s="6" t="str">
        <f t="shared" si="2"/>
        <v>13.968.025-9</v>
      </c>
      <c r="P434" s="6" t="str">
        <f t="shared" si="3"/>
        <v>Antofagasta - Antofagasta - Región de Antofagasta</v>
      </c>
      <c r="Q434" s="4" t="str">
        <f t="shared" si="4"/>
        <v>En Revisión</v>
      </c>
      <c r="R434" s="12" t="str">
        <f t="shared" si="5"/>
        <v>Riesgo Medio</v>
      </c>
    </row>
    <row r="435">
      <c r="A435" s="1" t="s">
        <v>2792</v>
      </c>
      <c r="B435" s="9" t="s">
        <v>2794</v>
      </c>
      <c r="C435" s="9" t="s">
        <v>3982</v>
      </c>
      <c r="D435" s="1" t="s">
        <v>2798</v>
      </c>
      <c r="E435" s="1" t="s">
        <v>158</v>
      </c>
      <c r="F435" s="1" t="s">
        <v>158</v>
      </c>
      <c r="G435" s="1" t="s">
        <v>159</v>
      </c>
      <c r="H435" s="2">
        <v>3970000.0</v>
      </c>
      <c r="I435" s="1">
        <v>30.0</v>
      </c>
      <c r="J435" s="9" t="s">
        <v>28</v>
      </c>
      <c r="K435" s="5">
        <v>46068.0</v>
      </c>
      <c r="L435" s="11" t="s">
        <v>207</v>
      </c>
      <c r="M435" s="11"/>
      <c r="N435" s="4" t="str">
        <f t="shared" si="1"/>
        <v>Gabriel Araya González</v>
      </c>
      <c r="O435" s="6" t="str">
        <f t="shared" si="2"/>
        <v>21.973.771-K</v>
      </c>
      <c r="P435" s="6" t="str">
        <f t="shared" si="3"/>
        <v>Antofagasta - Antofagasta - Región de Antofagasta</v>
      </c>
      <c r="Q435" s="4" t="str">
        <f t="shared" si="4"/>
        <v>Activo</v>
      </c>
      <c r="R435" s="12" t="str">
        <f t="shared" si="5"/>
        <v>Riesgo Bajo</v>
      </c>
    </row>
    <row r="436">
      <c r="A436" s="1" t="s">
        <v>3984</v>
      </c>
      <c r="B436" s="9" t="s">
        <v>3985</v>
      </c>
      <c r="C436" s="9" t="s">
        <v>3986</v>
      </c>
      <c r="D436" s="1" t="s">
        <v>3987</v>
      </c>
      <c r="E436" s="1" t="s">
        <v>118</v>
      </c>
      <c r="F436" s="1" t="s">
        <v>62</v>
      </c>
      <c r="G436" s="1" t="s">
        <v>63</v>
      </c>
      <c r="H436" s="2">
        <v>2.021E7</v>
      </c>
      <c r="I436" s="1">
        <v>120.0</v>
      </c>
      <c r="J436" s="9" t="s">
        <v>28</v>
      </c>
      <c r="K436" s="5">
        <v>46163.0</v>
      </c>
      <c r="L436" s="11" t="s">
        <v>100</v>
      </c>
      <c r="M436" s="11"/>
      <c r="N436" s="4" t="str">
        <f t="shared" si="1"/>
        <v>Gabriel Araya Rojas</v>
      </c>
      <c r="O436" s="6" t="str">
        <f t="shared" si="2"/>
        <v>15623137-7</v>
      </c>
      <c r="P436" s="6" t="str">
        <f t="shared" si="3"/>
        <v>Maipú - Santiago - Región Metropolitana</v>
      </c>
      <c r="Q436" s="4" t="str">
        <f t="shared" si="4"/>
        <v>Activo</v>
      </c>
      <c r="R436" s="12" t="str">
        <f t="shared" si="5"/>
        <v>Riesgo Alto</v>
      </c>
    </row>
    <row r="437">
      <c r="A437" s="1" t="s">
        <v>2896</v>
      </c>
      <c r="B437" s="9" t="s">
        <v>2897</v>
      </c>
      <c r="C437" s="9" t="s">
        <v>2898</v>
      </c>
      <c r="D437" s="1" t="s">
        <v>117</v>
      </c>
      <c r="E437" s="1" t="s">
        <v>25</v>
      </c>
      <c r="F437" s="1" t="s">
        <v>26</v>
      </c>
      <c r="G437" s="1" t="s">
        <v>27</v>
      </c>
      <c r="H437" s="2">
        <v>7860000.0</v>
      </c>
      <c r="I437" s="1">
        <v>60.0</v>
      </c>
      <c r="J437" s="9" t="s">
        <v>28</v>
      </c>
      <c r="K437" s="5">
        <v>46183.0</v>
      </c>
      <c r="L437" s="11" t="s">
        <v>207</v>
      </c>
      <c r="M437" s="11"/>
      <c r="N437" s="4" t="str">
        <f t="shared" si="1"/>
        <v>Gabriel Contreras López</v>
      </c>
      <c r="O437" s="6" t="str">
        <f t="shared" si="2"/>
        <v>21043067-5</v>
      </c>
      <c r="P437" s="6" t="str">
        <f t="shared" si="3"/>
        <v>Viña del Mar - Valparaíso - Región de Valparaíso</v>
      </c>
      <c r="Q437" s="4" t="str">
        <f t="shared" si="4"/>
        <v>Activo</v>
      </c>
      <c r="R437" s="12" t="str">
        <f t="shared" si="5"/>
        <v>Riesgo Medio</v>
      </c>
    </row>
    <row r="438">
      <c r="A438" s="1" t="s">
        <v>3996</v>
      </c>
      <c r="B438" s="9" t="s">
        <v>3998</v>
      </c>
      <c r="C438" s="9" t="s">
        <v>3999</v>
      </c>
      <c r="D438" s="1" t="s">
        <v>117</v>
      </c>
      <c r="E438" s="1" t="s">
        <v>39</v>
      </c>
      <c r="F438" s="1" t="s">
        <v>39</v>
      </c>
      <c r="G438" s="1" t="s">
        <v>40</v>
      </c>
      <c r="H438" s="2">
        <v>2.047E7</v>
      </c>
      <c r="I438" s="1">
        <v>120.0</v>
      </c>
      <c r="J438" s="9" t="s">
        <v>28</v>
      </c>
      <c r="K438" s="5">
        <v>46072.0</v>
      </c>
      <c r="L438" s="11" t="s">
        <v>207</v>
      </c>
      <c r="M438" s="11"/>
      <c r="N438" s="4" t="str">
        <f t="shared" si="1"/>
        <v>Gabriel Contreras Morales</v>
      </c>
      <c r="O438" s="6" t="str">
        <f t="shared" si="2"/>
        <v>22.414.645-5</v>
      </c>
      <c r="P438" s="6" t="str">
        <f t="shared" si="3"/>
        <v>Concepción - Concepción - Región del Biobío</v>
      </c>
      <c r="Q438" s="4" t="str">
        <f t="shared" si="4"/>
        <v>Activo</v>
      </c>
      <c r="R438" s="12" t="str">
        <f t="shared" si="5"/>
        <v>Riesgo Alto</v>
      </c>
    </row>
    <row r="439">
      <c r="A439" s="1" t="s">
        <v>114</v>
      </c>
      <c r="B439" s="9" t="s">
        <v>115</v>
      </c>
      <c r="C439" s="9" t="s">
        <v>4004</v>
      </c>
      <c r="D439" s="1" t="s">
        <v>117</v>
      </c>
      <c r="E439" s="1" t="s">
        <v>118</v>
      </c>
      <c r="F439" s="1" t="s">
        <v>62</v>
      </c>
      <c r="G439" s="1" t="s">
        <v>63</v>
      </c>
      <c r="H439" s="2">
        <v>4000000.0</v>
      </c>
      <c r="I439" s="1">
        <v>15.0</v>
      </c>
      <c r="J439" s="9" t="s">
        <v>20</v>
      </c>
      <c r="K439" s="5">
        <v>46109.0</v>
      </c>
      <c r="L439" s="11" t="s">
        <v>100</v>
      </c>
      <c r="M439" s="11"/>
      <c r="N439" s="4" t="str">
        <f t="shared" si="1"/>
        <v>Gabriel Contreras Soto</v>
      </c>
      <c r="O439" s="6" t="str">
        <f t="shared" si="2"/>
        <v>21.435.970-1</v>
      </c>
      <c r="P439" s="6" t="str">
        <f t="shared" si="3"/>
        <v>Maipú - Santiago - Región Metropolitana</v>
      </c>
      <c r="Q439" s="4" t="str">
        <f t="shared" si="4"/>
        <v>En Revisión</v>
      </c>
      <c r="R439" s="12" t="str">
        <f t="shared" si="5"/>
        <v>Riesgo Medio</v>
      </c>
    </row>
    <row r="440">
      <c r="A440" s="1" t="s">
        <v>4005</v>
      </c>
      <c r="B440" s="9" t="s">
        <v>4006</v>
      </c>
      <c r="C440" s="9" t="s">
        <v>4007</v>
      </c>
      <c r="D440" s="1" t="s">
        <v>4008</v>
      </c>
      <c r="E440" s="1" t="s">
        <v>109</v>
      </c>
      <c r="F440" s="1" t="s">
        <v>62</v>
      </c>
      <c r="G440" s="1" t="s">
        <v>63</v>
      </c>
      <c r="H440" s="2">
        <v>1.561E7</v>
      </c>
      <c r="I440" s="1">
        <v>15.0</v>
      </c>
      <c r="J440" s="9" t="s">
        <v>28</v>
      </c>
      <c r="K440" s="5">
        <v>46096.0</v>
      </c>
      <c r="L440" s="11" t="s">
        <v>207</v>
      </c>
      <c r="M440" s="11"/>
      <c r="N440" s="4" t="str">
        <f t="shared" si="1"/>
        <v>Gabriel Díaz Valenzuela</v>
      </c>
      <c r="O440" s="6" t="str">
        <f t="shared" si="2"/>
        <v>14.033.341-K</v>
      </c>
      <c r="P440" s="6" t="str">
        <f t="shared" si="3"/>
        <v>Ñuñoa - Santiago - Región Metropolitana</v>
      </c>
      <c r="Q440" s="4" t="str">
        <f t="shared" si="4"/>
        <v>Activo</v>
      </c>
      <c r="R440" s="12" t="str">
        <f t="shared" si="5"/>
        <v>Riesgo Bajo</v>
      </c>
    </row>
    <row r="441">
      <c r="A441" s="1" t="s">
        <v>4010</v>
      </c>
      <c r="B441" s="9" t="s">
        <v>4011</v>
      </c>
      <c r="C441" s="9" t="s">
        <v>4012</v>
      </c>
      <c r="D441" s="1" t="s">
        <v>4013</v>
      </c>
      <c r="E441" s="1" t="s">
        <v>194</v>
      </c>
      <c r="F441" s="1" t="s">
        <v>62</v>
      </c>
      <c r="G441" s="1" t="s">
        <v>63</v>
      </c>
      <c r="H441" s="2">
        <v>1.573E7</v>
      </c>
      <c r="I441" s="1">
        <v>0.0</v>
      </c>
      <c r="J441" s="9" t="s">
        <v>20</v>
      </c>
      <c r="K441" s="5">
        <v>46037.0</v>
      </c>
      <c r="L441" s="11" t="s">
        <v>100</v>
      </c>
      <c r="M441" s="11"/>
      <c r="N441" s="4" t="str">
        <f t="shared" si="1"/>
        <v>Gabriel Espinoza Araya</v>
      </c>
      <c r="O441" s="6" t="str">
        <f t="shared" si="2"/>
        <v>13.199.497-2</v>
      </c>
      <c r="P441" s="6" t="str">
        <f t="shared" si="3"/>
        <v>Las Condes - Santiago - Región Metropolitana</v>
      </c>
      <c r="Q441" s="4" t="str">
        <f t="shared" si="4"/>
        <v>En Revisión</v>
      </c>
      <c r="R441" s="12" t="str">
        <f t="shared" si="5"/>
        <v>Riesgo Medio</v>
      </c>
    </row>
    <row r="442">
      <c r="A442" s="1" t="s">
        <v>4017</v>
      </c>
      <c r="B442" s="9" t="s">
        <v>4018</v>
      </c>
      <c r="C442" s="9" t="s">
        <v>4012</v>
      </c>
      <c r="D442" s="1" t="s">
        <v>4019</v>
      </c>
      <c r="E442" s="1" t="s">
        <v>25</v>
      </c>
      <c r="F442" s="1" t="s">
        <v>26</v>
      </c>
      <c r="G442" s="1" t="s">
        <v>27</v>
      </c>
      <c r="H442" s="2">
        <v>1.059E7</v>
      </c>
      <c r="I442" s="1">
        <v>0.0</v>
      </c>
      <c r="J442" s="9" t="s">
        <v>20</v>
      </c>
      <c r="K442" s="5">
        <v>46084.0</v>
      </c>
      <c r="L442" s="11" t="s">
        <v>160</v>
      </c>
      <c r="M442" s="11"/>
      <c r="N442" s="4" t="str">
        <f t="shared" si="1"/>
        <v>Gabriel Espinoza Araya</v>
      </c>
      <c r="O442" s="6" t="str">
        <f t="shared" si="2"/>
        <v>13959448-7</v>
      </c>
      <c r="P442" s="6" t="str">
        <f t="shared" si="3"/>
        <v>Viña del Mar - Valparaíso - Región de Valparaíso</v>
      </c>
      <c r="Q442" s="4" t="str">
        <f t="shared" si="4"/>
        <v>En Revisión</v>
      </c>
      <c r="R442" s="12" t="str">
        <f t="shared" si="5"/>
        <v>Riesgo Medio</v>
      </c>
    </row>
    <row r="443">
      <c r="A443" s="1" t="s">
        <v>4024</v>
      </c>
      <c r="B443" s="9" t="s">
        <v>4025</v>
      </c>
      <c r="C443" s="9" t="s">
        <v>4026</v>
      </c>
      <c r="D443" s="1" t="s">
        <v>4019</v>
      </c>
      <c r="E443" s="1" t="s">
        <v>61</v>
      </c>
      <c r="F443" s="1" t="s">
        <v>62</v>
      </c>
      <c r="G443" s="1" t="s">
        <v>63</v>
      </c>
      <c r="H443" s="2">
        <v>2.008E7</v>
      </c>
      <c r="I443" s="1">
        <v>15.0</v>
      </c>
      <c r="J443" s="9" t="s">
        <v>28</v>
      </c>
      <c r="K443" s="5">
        <v>46117.0</v>
      </c>
      <c r="L443" s="11" t="s">
        <v>181</v>
      </c>
      <c r="M443" s="11"/>
      <c r="N443" s="4" t="str">
        <f t="shared" si="1"/>
        <v>Gabriel Espinoza Vergara</v>
      </c>
      <c r="O443" s="6" t="str">
        <f t="shared" si="2"/>
        <v>15.379.306-8</v>
      </c>
      <c r="P443" s="6" t="str">
        <f t="shared" si="3"/>
        <v>Santiago Centro - Santiago - Región Metropolitana</v>
      </c>
      <c r="Q443" s="4" t="str">
        <f t="shared" si="4"/>
        <v>Activo</v>
      </c>
      <c r="R443" s="12" t="str">
        <f t="shared" si="5"/>
        <v>Riesgo Bajo</v>
      </c>
    </row>
    <row r="444">
      <c r="A444" s="1" t="s">
        <v>3258</v>
      </c>
      <c r="B444" s="9" t="s">
        <v>3259</v>
      </c>
      <c r="C444" s="9" t="s">
        <v>3260</v>
      </c>
      <c r="D444" s="1" t="s">
        <v>3261</v>
      </c>
      <c r="E444" s="1" t="s">
        <v>18</v>
      </c>
      <c r="F444" s="1" t="s">
        <v>18</v>
      </c>
      <c r="G444" s="1" t="s">
        <v>19</v>
      </c>
      <c r="H444" s="2">
        <v>1.836E7</v>
      </c>
      <c r="I444" s="1">
        <v>60.0</v>
      </c>
      <c r="J444" s="9" t="s">
        <v>28</v>
      </c>
      <c r="K444" s="5">
        <v>46215.0</v>
      </c>
      <c r="L444" s="11" t="s">
        <v>199</v>
      </c>
      <c r="M444" s="11"/>
      <c r="N444" s="4" t="str">
        <f t="shared" si="1"/>
        <v>Gabriel González Muñoz</v>
      </c>
      <c r="O444" s="6" t="str">
        <f t="shared" si="2"/>
        <v>19.239.974-8</v>
      </c>
      <c r="P444" s="6" t="str">
        <f t="shared" si="3"/>
        <v>La Serena - La Serena - Región de Coquimbo</v>
      </c>
      <c r="Q444" s="4" t="str">
        <f t="shared" si="4"/>
        <v>Activo</v>
      </c>
      <c r="R444" s="12" t="str">
        <f t="shared" si="5"/>
        <v>Riesgo Medio</v>
      </c>
    </row>
    <row r="445">
      <c r="A445" s="1" t="s">
        <v>4039</v>
      </c>
      <c r="B445" s="9" t="s">
        <v>4040</v>
      </c>
      <c r="C445" s="9" t="s">
        <v>4041</v>
      </c>
      <c r="D445" s="1" t="s">
        <v>4042</v>
      </c>
      <c r="E445" s="1" t="s">
        <v>26</v>
      </c>
      <c r="F445" s="1" t="s">
        <v>26</v>
      </c>
      <c r="G445" s="1" t="s">
        <v>27</v>
      </c>
      <c r="H445" s="2">
        <v>2.07E7</v>
      </c>
      <c r="I445" s="1">
        <v>0.0</v>
      </c>
      <c r="J445" s="9" t="s">
        <v>28</v>
      </c>
      <c r="K445" s="5">
        <v>46145.0</v>
      </c>
      <c r="L445" s="11" t="s">
        <v>207</v>
      </c>
      <c r="M445" s="11"/>
      <c r="N445" s="4" t="str">
        <f t="shared" si="1"/>
        <v>Gabriel González Silva</v>
      </c>
      <c r="O445" s="6" t="str">
        <f t="shared" si="2"/>
        <v>12.811.449-9</v>
      </c>
      <c r="P445" s="6" t="str">
        <f t="shared" si="3"/>
        <v>Valparaíso - Valparaíso - Región de Valparaíso</v>
      </c>
      <c r="Q445" s="4" t="str">
        <f t="shared" si="4"/>
        <v>Activo</v>
      </c>
      <c r="R445" s="12" t="str">
        <f t="shared" si="5"/>
        <v>Riesgo Bajo</v>
      </c>
    </row>
    <row r="446">
      <c r="A446" s="1" t="s">
        <v>4043</v>
      </c>
      <c r="B446" s="9" t="s">
        <v>4044</v>
      </c>
      <c r="C446" s="9" t="s">
        <v>4045</v>
      </c>
      <c r="D446" s="1" t="s">
        <v>4046</v>
      </c>
      <c r="E446" s="1" t="s">
        <v>61</v>
      </c>
      <c r="F446" s="1" t="s">
        <v>62</v>
      </c>
      <c r="G446" s="1" t="s">
        <v>63</v>
      </c>
      <c r="H446" s="2">
        <v>1.291E7</v>
      </c>
      <c r="I446" s="1">
        <v>120.0</v>
      </c>
      <c r="J446" s="9" t="s">
        <v>20</v>
      </c>
      <c r="K446" s="5">
        <v>46220.0</v>
      </c>
      <c r="L446" s="11" t="s">
        <v>160</v>
      </c>
      <c r="M446" s="11"/>
      <c r="N446" s="4" t="str">
        <f t="shared" si="1"/>
        <v>Gabriel González Tapia</v>
      </c>
      <c r="O446" s="6" t="str">
        <f t="shared" si="2"/>
        <v>21.392.014-3</v>
      </c>
      <c r="P446" s="6" t="str">
        <f t="shared" si="3"/>
        <v>Santiago Centro - Santiago - Región Metropolitana</v>
      </c>
      <c r="Q446" s="4" t="str">
        <f t="shared" si="4"/>
        <v>En Revisión</v>
      </c>
      <c r="R446" s="12" t="str">
        <f t="shared" si="5"/>
        <v>Riesgo Medio</v>
      </c>
    </row>
    <row r="447">
      <c r="A447" s="1" t="s">
        <v>1437</v>
      </c>
      <c r="B447" s="9" t="s">
        <v>1439</v>
      </c>
      <c r="C447" s="9" t="s">
        <v>4051</v>
      </c>
      <c r="D447" s="1" t="s">
        <v>1443</v>
      </c>
      <c r="E447" s="1" t="s">
        <v>194</v>
      </c>
      <c r="F447" s="1" t="s">
        <v>62</v>
      </c>
      <c r="G447" s="1" t="s">
        <v>63</v>
      </c>
      <c r="H447" s="2">
        <v>5630000.0</v>
      </c>
      <c r="I447" s="1">
        <v>15.0</v>
      </c>
      <c r="J447" s="9" t="s">
        <v>20</v>
      </c>
      <c r="K447" s="5">
        <v>46226.0</v>
      </c>
      <c r="L447" s="11" t="s">
        <v>100</v>
      </c>
      <c r="M447" s="11"/>
      <c r="N447" s="4" t="str">
        <f t="shared" si="1"/>
        <v>Gabriel López Contreras</v>
      </c>
      <c r="O447" s="6" t="str">
        <f t="shared" si="2"/>
        <v>13.623.382-7</v>
      </c>
      <c r="P447" s="6" t="str">
        <f t="shared" si="3"/>
        <v>Las Condes - Santiago - Región Metropolitana</v>
      </c>
      <c r="Q447" s="4" t="str">
        <f t="shared" si="4"/>
        <v>En Revisión</v>
      </c>
      <c r="R447" s="12" t="str">
        <f t="shared" si="5"/>
        <v>Riesgo Medio</v>
      </c>
    </row>
    <row r="448">
      <c r="A448" s="1" t="s">
        <v>4060</v>
      </c>
      <c r="B448" s="9" t="s">
        <v>4061</v>
      </c>
      <c r="C448" s="9" t="s">
        <v>4062</v>
      </c>
      <c r="D448" s="1" t="s">
        <v>4063</v>
      </c>
      <c r="E448" s="1" t="s">
        <v>56</v>
      </c>
      <c r="F448" s="1" t="s">
        <v>39</v>
      </c>
      <c r="G448" s="1" t="s">
        <v>40</v>
      </c>
      <c r="H448" s="2">
        <v>1.232E7</v>
      </c>
      <c r="I448" s="1">
        <v>0.0</v>
      </c>
      <c r="J448" s="9" t="s">
        <v>28</v>
      </c>
      <c r="K448" s="5">
        <v>46225.0</v>
      </c>
      <c r="L448" s="11" t="s">
        <v>160</v>
      </c>
      <c r="M448" s="11"/>
      <c r="N448" s="4" t="str">
        <f t="shared" si="1"/>
        <v>Gabriel López Rodríguez</v>
      </c>
      <c r="O448" s="6" t="str">
        <f t="shared" si="2"/>
        <v>18.102.378-1</v>
      </c>
      <c r="P448" s="6" t="str">
        <f t="shared" si="3"/>
        <v>Talcahuano - Concepción - Región del Biobío</v>
      </c>
      <c r="Q448" s="4" t="str">
        <f t="shared" si="4"/>
        <v>Activo</v>
      </c>
      <c r="R448" s="12" t="str">
        <f t="shared" si="5"/>
        <v>Riesgo Bajo</v>
      </c>
    </row>
    <row r="449">
      <c r="A449" s="1" t="s">
        <v>4068</v>
      </c>
      <c r="B449" s="9" t="s">
        <v>4069</v>
      </c>
      <c r="C449" s="9" t="s">
        <v>4070</v>
      </c>
      <c r="D449" s="1" t="s">
        <v>1443</v>
      </c>
      <c r="E449" s="1" t="s">
        <v>158</v>
      </c>
      <c r="F449" s="1" t="s">
        <v>158</v>
      </c>
      <c r="G449" s="1" t="s">
        <v>159</v>
      </c>
      <c r="H449" s="2">
        <v>2740000.0</v>
      </c>
      <c r="I449" s="1">
        <v>0.0</v>
      </c>
      <c r="J449" s="9" t="s">
        <v>28</v>
      </c>
      <c r="K449" s="5">
        <v>46086.0</v>
      </c>
      <c r="L449" s="11" t="s">
        <v>160</v>
      </c>
      <c r="M449" s="11"/>
      <c r="N449" s="4" t="str">
        <f t="shared" si="1"/>
        <v>Gabriel López Soto</v>
      </c>
      <c r="O449" s="6" t="str">
        <f t="shared" si="2"/>
        <v>18.005.566-2</v>
      </c>
      <c r="P449" s="6" t="str">
        <f t="shared" si="3"/>
        <v>Antofagasta - Antofagasta - Región de Antofagasta</v>
      </c>
      <c r="Q449" s="4" t="str">
        <f t="shared" si="4"/>
        <v>Activo</v>
      </c>
      <c r="R449" s="12" t="str">
        <f t="shared" si="5"/>
        <v>Riesgo Bajo</v>
      </c>
    </row>
    <row r="450">
      <c r="A450" s="1" t="s">
        <v>424</v>
      </c>
      <c r="B450" s="9" t="s">
        <v>426</v>
      </c>
      <c r="C450" s="9" t="s">
        <v>428</v>
      </c>
      <c r="D450" s="1" t="s">
        <v>429</v>
      </c>
      <c r="E450" s="1" t="s">
        <v>56</v>
      </c>
      <c r="F450" s="1" t="s">
        <v>39</v>
      </c>
      <c r="G450" s="1" t="s">
        <v>40</v>
      </c>
      <c r="H450" s="2">
        <v>1.121E7</v>
      </c>
      <c r="I450" s="1">
        <v>0.0</v>
      </c>
      <c r="J450" s="9" t="s">
        <v>20</v>
      </c>
      <c r="K450" s="5">
        <v>46096.0</v>
      </c>
      <c r="L450" s="11" t="s">
        <v>181</v>
      </c>
      <c r="M450" s="11"/>
      <c r="N450" s="4" t="str">
        <f t="shared" si="1"/>
        <v>Gabriel López Vergara</v>
      </c>
      <c r="O450" s="6" t="str">
        <f t="shared" si="2"/>
        <v>19406750-3</v>
      </c>
      <c r="P450" s="6" t="str">
        <f t="shared" si="3"/>
        <v>Talcahuano - Concepción - Región del Biobío</v>
      </c>
      <c r="Q450" s="4" t="str">
        <f t="shared" si="4"/>
        <v>En Revisión</v>
      </c>
      <c r="R450" s="12" t="str">
        <f t="shared" si="5"/>
        <v>Riesgo Medio</v>
      </c>
    </row>
    <row r="451">
      <c r="A451" s="1" t="s">
        <v>3741</v>
      </c>
      <c r="B451" s="9" t="s">
        <v>3742</v>
      </c>
      <c r="C451" s="9" t="s">
        <v>428</v>
      </c>
      <c r="D451" s="1" t="s">
        <v>1443</v>
      </c>
      <c r="E451" s="1" t="s">
        <v>18</v>
      </c>
      <c r="F451" s="1" t="s">
        <v>18</v>
      </c>
      <c r="G451" s="1" t="s">
        <v>19</v>
      </c>
      <c r="H451" s="2">
        <v>1.814E7</v>
      </c>
      <c r="I451" s="1">
        <v>30.0</v>
      </c>
      <c r="J451" s="9" t="s">
        <v>28</v>
      </c>
      <c r="K451" s="5">
        <v>46224.0</v>
      </c>
      <c r="L451" s="11" t="s">
        <v>160</v>
      </c>
      <c r="M451" s="11"/>
      <c r="N451" s="4" t="str">
        <f t="shared" si="1"/>
        <v>Gabriel López Vergara</v>
      </c>
      <c r="O451" s="6" t="str">
        <f t="shared" si="2"/>
        <v>12.308.398-2</v>
      </c>
      <c r="P451" s="6" t="str">
        <f t="shared" si="3"/>
        <v>La Serena - La Serena - Región de Coquimbo</v>
      </c>
      <c r="Q451" s="4" t="str">
        <f t="shared" si="4"/>
        <v>Activo</v>
      </c>
      <c r="R451" s="12" t="str">
        <f t="shared" si="5"/>
        <v>Riesgo Bajo</v>
      </c>
    </row>
    <row r="452">
      <c r="A452" s="1" t="s">
        <v>2009</v>
      </c>
      <c r="B452" s="9" t="s">
        <v>2011</v>
      </c>
      <c r="C452" s="9" t="s">
        <v>2012</v>
      </c>
      <c r="D452" s="1" t="s">
        <v>2013</v>
      </c>
      <c r="E452" s="1" t="s">
        <v>56</v>
      </c>
      <c r="F452" s="1" t="s">
        <v>39</v>
      </c>
      <c r="G452" s="1" t="s">
        <v>40</v>
      </c>
      <c r="H452" s="2">
        <v>1.707E7</v>
      </c>
      <c r="I452" s="1">
        <v>0.0</v>
      </c>
      <c r="J452" s="9" t="s">
        <v>20</v>
      </c>
      <c r="K452" s="5">
        <v>46115.0</v>
      </c>
      <c r="L452" s="11" t="s">
        <v>160</v>
      </c>
      <c r="M452" s="11"/>
      <c r="N452" s="4" t="str">
        <f t="shared" si="1"/>
        <v>Gabriel Morales Contreras</v>
      </c>
      <c r="O452" s="6" t="str">
        <f t="shared" si="2"/>
        <v>19.331.716-2</v>
      </c>
      <c r="P452" s="6" t="str">
        <f t="shared" si="3"/>
        <v>Talcahuano - Concepción - Región del Biobío</v>
      </c>
      <c r="Q452" s="4" t="str">
        <f t="shared" si="4"/>
        <v>En Revisión</v>
      </c>
      <c r="R452" s="12" t="str">
        <f t="shared" si="5"/>
        <v>Riesgo Medio</v>
      </c>
    </row>
    <row r="453">
      <c r="A453" s="1" t="s">
        <v>3195</v>
      </c>
      <c r="B453" s="9" t="s">
        <v>3196</v>
      </c>
      <c r="C453" s="9" t="s">
        <v>3197</v>
      </c>
      <c r="D453" s="1" t="s">
        <v>3021</v>
      </c>
      <c r="E453" s="1" t="s">
        <v>39</v>
      </c>
      <c r="F453" s="1" t="s">
        <v>39</v>
      </c>
      <c r="G453" s="1" t="s">
        <v>40</v>
      </c>
      <c r="H453" s="2">
        <v>1.693E7</v>
      </c>
      <c r="I453" s="1">
        <v>0.0</v>
      </c>
      <c r="J453" s="9" t="s">
        <v>28</v>
      </c>
      <c r="K453" s="5">
        <v>46136.0</v>
      </c>
      <c r="L453" s="11" t="s">
        <v>207</v>
      </c>
      <c r="M453" s="11"/>
      <c r="N453" s="4" t="str">
        <f t="shared" si="1"/>
        <v>Gabriel Muñoz Araya</v>
      </c>
      <c r="O453" s="6" t="str">
        <f t="shared" si="2"/>
        <v>11.770.984-4</v>
      </c>
      <c r="P453" s="6" t="str">
        <f t="shared" si="3"/>
        <v>Concepción - Concepción - Región del Biobío</v>
      </c>
      <c r="Q453" s="4" t="str">
        <f t="shared" si="4"/>
        <v>Activo</v>
      </c>
      <c r="R453" s="12" t="str">
        <f t="shared" si="5"/>
        <v>Riesgo Bajo</v>
      </c>
    </row>
    <row r="454">
      <c r="A454" s="1" t="s">
        <v>3018</v>
      </c>
      <c r="B454" s="9" t="s">
        <v>3019</v>
      </c>
      <c r="C454" s="9" t="s">
        <v>3020</v>
      </c>
      <c r="D454" s="1" t="s">
        <v>3021</v>
      </c>
      <c r="E454" s="1" t="s">
        <v>72</v>
      </c>
      <c r="F454" s="1" t="s">
        <v>62</v>
      </c>
      <c r="G454" s="1" t="s">
        <v>63</v>
      </c>
      <c r="H454" s="2">
        <v>1.865E7</v>
      </c>
      <c r="I454" s="1">
        <v>45.0</v>
      </c>
      <c r="J454" s="9" t="s">
        <v>20</v>
      </c>
      <c r="K454" s="5">
        <v>46214.0</v>
      </c>
      <c r="L454" s="11" t="s">
        <v>160</v>
      </c>
      <c r="M454" s="11"/>
      <c r="N454" s="4" t="str">
        <f t="shared" si="1"/>
        <v>Gabriel Muñoz Espinoza</v>
      </c>
      <c r="O454" s="6" t="str">
        <f t="shared" si="2"/>
        <v>21.035.069-7</v>
      </c>
      <c r="P454" s="6" t="str">
        <f t="shared" si="3"/>
        <v>Providencia - Santiago - Región Metropolitana</v>
      </c>
      <c r="Q454" s="4" t="str">
        <f t="shared" si="4"/>
        <v>En Revisión</v>
      </c>
      <c r="R454" s="12" t="str">
        <f t="shared" si="5"/>
        <v>Riesgo Medio</v>
      </c>
    </row>
    <row r="455">
      <c r="A455" s="1" t="s">
        <v>774</v>
      </c>
      <c r="B455" s="9" t="s">
        <v>775</v>
      </c>
      <c r="C455" s="9" t="s">
        <v>777</v>
      </c>
      <c r="D455" s="1" t="s">
        <v>778</v>
      </c>
      <c r="E455" s="1" t="s">
        <v>18</v>
      </c>
      <c r="F455" s="1" t="s">
        <v>18</v>
      </c>
      <c r="G455" s="1" t="s">
        <v>19</v>
      </c>
      <c r="H455" s="2">
        <v>1400000.0</v>
      </c>
      <c r="I455" s="1">
        <v>0.0</v>
      </c>
      <c r="J455" s="9" t="s">
        <v>20</v>
      </c>
      <c r="K455" s="5">
        <v>46135.0</v>
      </c>
      <c r="L455" s="11" t="s">
        <v>207</v>
      </c>
      <c r="M455" s="11"/>
      <c r="N455" s="4" t="str">
        <f t="shared" si="1"/>
        <v>Gabriel Muñoz Soto</v>
      </c>
      <c r="O455" s="6" t="str">
        <f t="shared" si="2"/>
        <v>15199395-K</v>
      </c>
      <c r="P455" s="6" t="str">
        <f t="shared" si="3"/>
        <v>La Serena - La Serena - Región de Coquimbo</v>
      </c>
      <c r="Q455" s="4" t="str">
        <f t="shared" si="4"/>
        <v>En Revisión</v>
      </c>
      <c r="R455" s="12" t="str">
        <f t="shared" si="5"/>
        <v>Riesgo Medio</v>
      </c>
    </row>
    <row r="456">
      <c r="A456" s="1" t="s">
        <v>139</v>
      </c>
      <c r="B456" s="9" t="s">
        <v>140</v>
      </c>
      <c r="C456" s="9" t="s">
        <v>4101</v>
      </c>
      <c r="D456" s="1" t="s">
        <v>142</v>
      </c>
      <c r="E456" s="1" t="s">
        <v>45</v>
      </c>
      <c r="F456" s="1" t="s">
        <v>45</v>
      </c>
      <c r="G456" s="1" t="s">
        <v>46</v>
      </c>
      <c r="H456" s="2">
        <v>1.019E7</v>
      </c>
      <c r="I456" s="1">
        <v>0.0</v>
      </c>
      <c r="J456" s="9" t="s">
        <v>97</v>
      </c>
      <c r="K456" s="5">
        <v>46204.0</v>
      </c>
      <c r="L456" s="11" t="s">
        <v>100</v>
      </c>
      <c r="M456" s="11"/>
      <c r="N456" s="4" t="str">
        <f t="shared" si="1"/>
        <v>Gabriel Pérez Morales</v>
      </c>
      <c r="O456" s="6" t="str">
        <f t="shared" si="2"/>
        <v>13.858.633-3</v>
      </c>
      <c r="P456" s="6" t="str">
        <f t="shared" si="3"/>
        <v>Temuco - Temuco - Región de la Araucanía</v>
      </c>
      <c r="Q456" s="4" t="str">
        <f t="shared" si="4"/>
        <v>Inactivo</v>
      </c>
      <c r="R456" s="12" t="str">
        <f t="shared" si="5"/>
        <v>Riesgo Bajo</v>
      </c>
    </row>
    <row r="457">
      <c r="A457" s="1" t="s">
        <v>4110</v>
      </c>
      <c r="B457" s="9" t="s">
        <v>4111</v>
      </c>
      <c r="C457" s="9" t="s">
        <v>4112</v>
      </c>
      <c r="D457" s="1" t="s">
        <v>4113</v>
      </c>
      <c r="E457" s="1" t="s">
        <v>118</v>
      </c>
      <c r="F457" s="1" t="s">
        <v>62</v>
      </c>
      <c r="G457" s="1" t="s">
        <v>63</v>
      </c>
      <c r="H457" s="2">
        <v>7390000.0</v>
      </c>
      <c r="I457" s="1">
        <v>0.0</v>
      </c>
      <c r="J457" s="9" t="s">
        <v>97</v>
      </c>
      <c r="K457" s="5">
        <v>46129.0</v>
      </c>
      <c r="L457" s="11" t="s">
        <v>207</v>
      </c>
      <c r="M457" s="11"/>
      <c r="N457" s="4" t="str">
        <f t="shared" si="1"/>
        <v>Gabriel Rojas Muñoz</v>
      </c>
      <c r="O457" s="6" t="str">
        <f t="shared" si="2"/>
        <v>13.031.041-5</v>
      </c>
      <c r="P457" s="6" t="str">
        <f t="shared" si="3"/>
        <v>Maipú - Santiago - Región Metropolitana</v>
      </c>
      <c r="Q457" s="4" t="str">
        <f t="shared" si="4"/>
        <v>Inactivo</v>
      </c>
      <c r="R457" s="12" t="str">
        <f t="shared" si="5"/>
        <v>Riesgo Bajo</v>
      </c>
    </row>
    <row r="458">
      <c r="A458" s="1" t="s">
        <v>3713</v>
      </c>
      <c r="B458" s="9" t="s">
        <v>3714</v>
      </c>
      <c r="C458" s="9" t="s">
        <v>4119</v>
      </c>
      <c r="D458" s="1" t="s">
        <v>3716</v>
      </c>
      <c r="E458" s="1" t="s">
        <v>26</v>
      </c>
      <c r="F458" s="1" t="s">
        <v>26</v>
      </c>
      <c r="G458" s="1" t="s">
        <v>27</v>
      </c>
      <c r="H458" s="2">
        <v>1.732E7</v>
      </c>
      <c r="I458" s="1">
        <v>15.0</v>
      </c>
      <c r="J458" s="9" t="s">
        <v>28</v>
      </c>
      <c r="K458" s="5">
        <v>46105.0</v>
      </c>
      <c r="L458" s="11" t="s">
        <v>207</v>
      </c>
      <c r="M458" s="11"/>
      <c r="N458" s="4" t="str">
        <f t="shared" si="1"/>
        <v>Gabriel Rojas Rojas</v>
      </c>
      <c r="O458" s="6" t="str">
        <f t="shared" si="2"/>
        <v>11.455.790-3</v>
      </c>
      <c r="P458" s="6" t="str">
        <f t="shared" si="3"/>
        <v>Valparaíso - Valparaíso - Región de Valparaíso</v>
      </c>
      <c r="Q458" s="4" t="str">
        <f t="shared" si="4"/>
        <v>Activo</v>
      </c>
      <c r="R458" s="12" t="str">
        <f t="shared" si="5"/>
        <v>Riesgo Bajo</v>
      </c>
    </row>
    <row r="459">
      <c r="A459" s="1" t="s">
        <v>4124</v>
      </c>
      <c r="B459" s="9" t="s">
        <v>4125</v>
      </c>
      <c r="C459" s="9" t="s">
        <v>4126</v>
      </c>
      <c r="D459" s="1" t="s">
        <v>4127</v>
      </c>
      <c r="E459" s="1" t="s">
        <v>194</v>
      </c>
      <c r="F459" s="1" t="s">
        <v>62</v>
      </c>
      <c r="G459" s="1" t="s">
        <v>63</v>
      </c>
      <c r="H459" s="2">
        <v>5480000.0</v>
      </c>
      <c r="I459" s="1">
        <v>60.0</v>
      </c>
      <c r="J459" s="9" t="s">
        <v>28</v>
      </c>
      <c r="K459" s="5">
        <v>46044.0</v>
      </c>
      <c r="L459" s="11" t="s">
        <v>100</v>
      </c>
      <c r="M459" s="11"/>
      <c r="N459" s="4" t="str">
        <f t="shared" si="1"/>
        <v>Gabriel Rojas Tapia</v>
      </c>
      <c r="O459" s="6" t="str">
        <f t="shared" si="2"/>
        <v>18127374-3</v>
      </c>
      <c r="P459" s="6" t="str">
        <f t="shared" si="3"/>
        <v>Las Condes - Santiago - Región Metropolitana</v>
      </c>
      <c r="Q459" s="4" t="str">
        <f t="shared" si="4"/>
        <v>Activo</v>
      </c>
      <c r="R459" s="12" t="str">
        <f t="shared" si="5"/>
        <v>Riesgo Medio</v>
      </c>
    </row>
    <row r="460">
      <c r="A460" s="1" t="s">
        <v>3474</v>
      </c>
      <c r="B460" s="9" t="s">
        <v>3475</v>
      </c>
      <c r="C460" s="9" t="s">
        <v>3476</v>
      </c>
      <c r="D460" s="1" t="s">
        <v>3477</v>
      </c>
      <c r="E460" s="1" t="s">
        <v>33</v>
      </c>
      <c r="F460" s="1" t="s">
        <v>33</v>
      </c>
      <c r="G460" s="1" t="s">
        <v>34</v>
      </c>
      <c r="H460" s="2">
        <v>5620000.0</v>
      </c>
      <c r="I460" s="1">
        <v>0.0</v>
      </c>
      <c r="J460" s="9" t="s">
        <v>20</v>
      </c>
      <c r="K460" s="5">
        <v>46060.0</v>
      </c>
      <c r="L460" s="11" t="s">
        <v>207</v>
      </c>
      <c r="M460" s="11"/>
      <c r="N460" s="4" t="str">
        <f t="shared" si="1"/>
        <v>Gabriel Sepúlveda Araya</v>
      </c>
      <c r="O460" s="6" t="str">
        <f t="shared" si="2"/>
        <v>17082484-5</v>
      </c>
      <c r="P460" s="6" t="str">
        <f t="shared" si="3"/>
        <v>Puerto Montt - Puerto Montt - Región de Los Lagos</v>
      </c>
      <c r="Q460" s="4" t="str">
        <f t="shared" si="4"/>
        <v>En Revisión</v>
      </c>
      <c r="R460" s="12" t="str">
        <f t="shared" si="5"/>
        <v>Riesgo Medio</v>
      </c>
    </row>
    <row r="461">
      <c r="A461" s="1" t="s">
        <v>4136</v>
      </c>
      <c r="B461" s="9" t="s">
        <v>4137</v>
      </c>
      <c r="C461" s="9" t="s">
        <v>4138</v>
      </c>
      <c r="D461" s="1" t="s">
        <v>4139</v>
      </c>
      <c r="E461" s="1" t="s">
        <v>56</v>
      </c>
      <c r="F461" s="1" t="s">
        <v>39</v>
      </c>
      <c r="G461" s="1" t="s">
        <v>40</v>
      </c>
      <c r="H461" s="2">
        <v>2.189E7</v>
      </c>
      <c r="I461" s="1">
        <v>120.0</v>
      </c>
      <c r="J461" s="9" t="s">
        <v>20</v>
      </c>
      <c r="K461" s="5">
        <v>46212.0</v>
      </c>
      <c r="L461" s="11" t="s">
        <v>100</v>
      </c>
      <c r="M461" s="11"/>
      <c r="N461" s="4" t="str">
        <f t="shared" si="1"/>
        <v>Gabriel Sepúlveda Pérez</v>
      </c>
      <c r="O461" s="6" t="str">
        <f t="shared" si="2"/>
        <v>20.385.314-8</v>
      </c>
      <c r="P461" s="6" t="str">
        <f t="shared" si="3"/>
        <v>Talcahuano - Concepción - Región del Biobío</v>
      </c>
      <c r="Q461" s="4" t="str">
        <f t="shared" si="4"/>
        <v>En Revisión</v>
      </c>
      <c r="R461" s="12" t="str">
        <f t="shared" si="5"/>
        <v>Riesgo Medio</v>
      </c>
    </row>
    <row r="462">
      <c r="A462" s="1" t="s">
        <v>3978</v>
      </c>
      <c r="B462" s="9" t="s">
        <v>3979</v>
      </c>
      <c r="C462" s="9" t="s">
        <v>4148</v>
      </c>
      <c r="D462" s="1" t="s">
        <v>3981</v>
      </c>
      <c r="E462" s="1" t="s">
        <v>118</v>
      </c>
      <c r="F462" s="1" t="s">
        <v>62</v>
      </c>
      <c r="G462" s="1" t="s">
        <v>63</v>
      </c>
      <c r="H462" s="2">
        <v>6900000.0</v>
      </c>
      <c r="I462" s="1">
        <v>15.0</v>
      </c>
      <c r="J462" s="9" t="s">
        <v>97</v>
      </c>
      <c r="K462" s="5">
        <v>46204.0</v>
      </c>
      <c r="L462" s="11" t="s">
        <v>160</v>
      </c>
      <c r="M462" s="11"/>
      <c r="N462" s="4" t="str">
        <f t="shared" si="1"/>
        <v>Gabriel Silva Espinoza</v>
      </c>
      <c r="O462" s="6" t="str">
        <f t="shared" si="2"/>
        <v>14857626-1</v>
      </c>
      <c r="P462" s="6" t="str">
        <f t="shared" si="3"/>
        <v>Maipú - Santiago - Región Metropolitana</v>
      </c>
      <c r="Q462" s="4" t="str">
        <f t="shared" si="4"/>
        <v>Inactivo</v>
      </c>
      <c r="R462" s="12" t="str">
        <f t="shared" si="5"/>
        <v>Riesgo Bajo</v>
      </c>
    </row>
    <row r="463">
      <c r="A463" s="1" t="s">
        <v>4153</v>
      </c>
      <c r="B463" s="9" t="s">
        <v>4154</v>
      </c>
      <c r="C463" s="9" t="s">
        <v>4155</v>
      </c>
      <c r="D463" s="1" t="s">
        <v>3981</v>
      </c>
      <c r="E463" s="1" t="s">
        <v>61</v>
      </c>
      <c r="F463" s="1" t="s">
        <v>62</v>
      </c>
      <c r="G463" s="1" t="s">
        <v>63</v>
      </c>
      <c r="H463" s="2">
        <v>4790000.0</v>
      </c>
      <c r="I463" s="1">
        <v>15.0</v>
      </c>
      <c r="J463" s="9" t="s">
        <v>20</v>
      </c>
      <c r="K463" s="5">
        <v>46078.0</v>
      </c>
      <c r="L463" s="11" t="s">
        <v>181</v>
      </c>
      <c r="M463" s="11"/>
      <c r="N463" s="4" t="str">
        <f t="shared" si="1"/>
        <v>Gabriel Silva Morales</v>
      </c>
      <c r="O463" s="6" t="str">
        <f t="shared" si="2"/>
        <v>18.433.263-3</v>
      </c>
      <c r="P463" s="6" t="str">
        <f t="shared" si="3"/>
        <v>Santiago Centro - Santiago - Región Metropolitana</v>
      </c>
      <c r="Q463" s="4" t="str">
        <f t="shared" si="4"/>
        <v>En Revisión</v>
      </c>
      <c r="R463" s="12" t="str">
        <f t="shared" si="5"/>
        <v>Riesgo Medio</v>
      </c>
    </row>
    <row r="464">
      <c r="A464" s="1" t="s">
        <v>2399</v>
      </c>
      <c r="B464" s="9" t="s">
        <v>2401</v>
      </c>
      <c r="C464" s="9" t="s">
        <v>2402</v>
      </c>
      <c r="D464" s="1" t="s">
        <v>2403</v>
      </c>
      <c r="E464" s="1" t="s">
        <v>39</v>
      </c>
      <c r="F464" s="1" t="s">
        <v>39</v>
      </c>
      <c r="G464" s="1" t="s">
        <v>40</v>
      </c>
      <c r="H464" s="2">
        <v>2.082E7</v>
      </c>
      <c r="I464" s="1">
        <v>45.0</v>
      </c>
      <c r="J464" s="9" t="s">
        <v>20</v>
      </c>
      <c r="K464" s="5">
        <v>46143.0</v>
      </c>
      <c r="L464" s="11" t="s">
        <v>199</v>
      </c>
      <c r="M464" s="11"/>
      <c r="N464" s="4" t="str">
        <f t="shared" si="1"/>
        <v>Gabriel Soto Rojas</v>
      </c>
      <c r="O464" s="6" t="str">
        <f t="shared" si="2"/>
        <v>20.974.505-1</v>
      </c>
      <c r="P464" s="6" t="str">
        <f t="shared" si="3"/>
        <v>Concepción - Concepción - Región del Biobío</v>
      </c>
      <c r="Q464" s="4" t="str">
        <f t="shared" si="4"/>
        <v>En Revisión</v>
      </c>
      <c r="R464" s="12" t="str">
        <f t="shared" si="5"/>
        <v>Riesgo Medio</v>
      </c>
    </row>
    <row r="465">
      <c r="A465" s="1" t="s">
        <v>3635</v>
      </c>
      <c r="B465" s="9" t="s">
        <v>3636</v>
      </c>
      <c r="C465" s="9" t="s">
        <v>4163</v>
      </c>
      <c r="D465" s="1" t="s">
        <v>3638</v>
      </c>
      <c r="E465" s="1" t="s">
        <v>61</v>
      </c>
      <c r="F465" s="1" t="s">
        <v>62</v>
      </c>
      <c r="G465" s="1" t="s">
        <v>63</v>
      </c>
      <c r="H465" s="2">
        <v>5560000.0</v>
      </c>
      <c r="I465" s="1">
        <v>0.0</v>
      </c>
      <c r="J465" s="9" t="s">
        <v>20</v>
      </c>
      <c r="K465" s="5">
        <v>46209.0</v>
      </c>
      <c r="L465" s="11" t="s">
        <v>207</v>
      </c>
      <c r="M465" s="11"/>
      <c r="N465" s="4" t="str">
        <f t="shared" si="1"/>
        <v>Gabriel Soto Valenzuela</v>
      </c>
      <c r="O465" s="6" t="str">
        <f t="shared" si="2"/>
        <v>14.290.806-6</v>
      </c>
      <c r="P465" s="6" t="str">
        <f t="shared" si="3"/>
        <v>Santiago Centro - Santiago - Región Metropolitana</v>
      </c>
      <c r="Q465" s="4" t="str">
        <f t="shared" si="4"/>
        <v>En Revisión</v>
      </c>
      <c r="R465" s="12" t="str">
        <f t="shared" si="5"/>
        <v>Riesgo Medio</v>
      </c>
    </row>
    <row r="466">
      <c r="A466" s="1" t="s">
        <v>1905</v>
      </c>
      <c r="B466" s="9" t="s">
        <v>1907</v>
      </c>
      <c r="C466" s="9" t="s">
        <v>1908</v>
      </c>
      <c r="D466" s="1" t="s">
        <v>1909</v>
      </c>
      <c r="E466" s="1" t="s">
        <v>18</v>
      </c>
      <c r="F466" s="1" t="s">
        <v>18</v>
      </c>
      <c r="G466" s="1" t="s">
        <v>19</v>
      </c>
      <c r="H466" s="2">
        <v>1.728E7</v>
      </c>
      <c r="I466" s="1">
        <v>0.0</v>
      </c>
      <c r="J466" s="9" t="s">
        <v>28</v>
      </c>
      <c r="K466" s="5">
        <v>46109.0</v>
      </c>
      <c r="L466" s="11" t="s">
        <v>160</v>
      </c>
      <c r="M466" s="11"/>
      <c r="N466" s="4" t="str">
        <f t="shared" si="1"/>
        <v>Gabriel Valenzuela Tapia</v>
      </c>
      <c r="O466" s="6" t="str">
        <f t="shared" si="2"/>
        <v>18.671.315-3</v>
      </c>
      <c r="P466" s="6" t="str">
        <f t="shared" si="3"/>
        <v>La Serena - La Serena - Región de Coquimbo</v>
      </c>
      <c r="Q466" s="4" t="str">
        <f t="shared" si="4"/>
        <v>Activo</v>
      </c>
      <c r="R466" s="12" t="str">
        <f t="shared" si="5"/>
        <v>Riesgo Bajo</v>
      </c>
    </row>
    <row r="467">
      <c r="A467" s="1" t="s">
        <v>3557</v>
      </c>
      <c r="B467" s="9" t="s">
        <v>3558</v>
      </c>
      <c r="C467" s="9" t="s">
        <v>3559</v>
      </c>
      <c r="D467" s="1" t="s">
        <v>3560</v>
      </c>
      <c r="E467" s="1" t="s">
        <v>158</v>
      </c>
      <c r="F467" s="1" t="s">
        <v>158</v>
      </c>
      <c r="G467" s="1" t="s">
        <v>159</v>
      </c>
      <c r="H467" s="2">
        <v>5790000.0</v>
      </c>
      <c r="I467" s="1">
        <v>15.0</v>
      </c>
      <c r="J467" s="9" t="s">
        <v>20</v>
      </c>
      <c r="K467" s="5">
        <v>46144.0</v>
      </c>
      <c r="L467" s="11" t="s">
        <v>100</v>
      </c>
      <c r="M467" s="11"/>
      <c r="N467" s="4" t="str">
        <f t="shared" si="1"/>
        <v>Gabriel Vergara Araya</v>
      </c>
      <c r="O467" s="6" t="str">
        <f t="shared" si="2"/>
        <v>13.327.454-4</v>
      </c>
      <c r="P467" s="6" t="str">
        <f t="shared" si="3"/>
        <v>Antofagasta - Antofagasta - Región de Antofagasta</v>
      </c>
      <c r="Q467" s="4" t="str">
        <f t="shared" si="4"/>
        <v>En Revisión</v>
      </c>
      <c r="R467" s="12" t="str">
        <f t="shared" si="5"/>
        <v>Riesgo Medio</v>
      </c>
    </row>
    <row r="468">
      <c r="A468" s="1" t="s">
        <v>3825</v>
      </c>
      <c r="B468" s="9" t="s">
        <v>3826</v>
      </c>
      <c r="C468" s="9" t="s">
        <v>2098</v>
      </c>
      <c r="D468" s="1" t="s">
        <v>3827</v>
      </c>
      <c r="E468" s="1" t="s">
        <v>45</v>
      </c>
      <c r="F468" s="1" t="s">
        <v>45</v>
      </c>
      <c r="G468" s="1" t="s">
        <v>46</v>
      </c>
      <c r="H468" s="2">
        <v>1050000.0</v>
      </c>
      <c r="I468" s="1">
        <v>15.0</v>
      </c>
      <c r="J468" s="9" t="s">
        <v>20</v>
      </c>
      <c r="K468" s="5">
        <v>46182.0</v>
      </c>
      <c r="L468" s="11" t="s">
        <v>160</v>
      </c>
      <c r="M468" s="11"/>
      <c r="N468" s="4" t="str">
        <f t="shared" si="1"/>
        <v>Gonzalo Araya Sepúlveda</v>
      </c>
      <c r="O468" s="6" t="str">
        <f t="shared" si="2"/>
        <v>13.044.924-9</v>
      </c>
      <c r="P468" s="6" t="str">
        <f t="shared" si="3"/>
        <v>Temuco - Temuco - Región de la Araucanía</v>
      </c>
      <c r="Q468" s="4" t="str">
        <f t="shared" si="4"/>
        <v>En Revisión</v>
      </c>
      <c r="R468" s="12" t="str">
        <f t="shared" si="5"/>
        <v>Riesgo Medio</v>
      </c>
    </row>
    <row r="469">
      <c r="A469" s="1" t="s">
        <v>4174</v>
      </c>
      <c r="B469" s="9" t="s">
        <v>4175</v>
      </c>
      <c r="C469" s="9" t="s">
        <v>4176</v>
      </c>
      <c r="D469" s="1" t="s">
        <v>4177</v>
      </c>
      <c r="E469" s="1" t="s">
        <v>158</v>
      </c>
      <c r="F469" s="1" t="s">
        <v>158</v>
      </c>
      <c r="G469" s="1" t="s">
        <v>159</v>
      </c>
      <c r="H469" s="2">
        <v>1.93E7</v>
      </c>
      <c r="I469" s="1">
        <v>45.0</v>
      </c>
      <c r="J469" s="9" t="s">
        <v>20</v>
      </c>
      <c r="K469" s="5">
        <v>46061.0</v>
      </c>
      <c r="L469" s="11" t="s">
        <v>160</v>
      </c>
      <c r="M469" s="11"/>
      <c r="N469" s="4" t="str">
        <f t="shared" si="1"/>
        <v>Gonzalo Contreras González</v>
      </c>
      <c r="O469" s="6" t="str">
        <f t="shared" si="2"/>
        <v>21921753-0</v>
      </c>
      <c r="P469" s="6" t="str">
        <f t="shared" si="3"/>
        <v>Antofagasta - Antofagasta - Región de Antofagasta</v>
      </c>
      <c r="Q469" s="4" t="str">
        <f t="shared" si="4"/>
        <v>En Revisión</v>
      </c>
      <c r="R469" s="12" t="str">
        <f t="shared" si="5"/>
        <v>Riesgo Medio</v>
      </c>
    </row>
    <row r="470">
      <c r="A470" s="1" t="s">
        <v>4185</v>
      </c>
      <c r="B470" s="9" t="s">
        <v>4186</v>
      </c>
      <c r="C470" s="9" t="s">
        <v>4187</v>
      </c>
      <c r="D470" s="1" t="s">
        <v>4188</v>
      </c>
      <c r="E470" s="1" t="s">
        <v>18</v>
      </c>
      <c r="F470" s="1" t="s">
        <v>18</v>
      </c>
      <c r="G470" s="1" t="s">
        <v>19</v>
      </c>
      <c r="H470" s="2">
        <v>2.171E7</v>
      </c>
      <c r="I470" s="1">
        <v>60.0</v>
      </c>
      <c r="J470" s="9" t="s">
        <v>28</v>
      </c>
      <c r="K470" s="5">
        <v>46128.0</v>
      </c>
      <c r="L470" s="11" t="s">
        <v>181</v>
      </c>
      <c r="M470" s="11"/>
      <c r="N470" s="4" t="str">
        <f t="shared" si="1"/>
        <v>Gonzalo Díaz Tapia</v>
      </c>
      <c r="O470" s="6" t="str">
        <f t="shared" si="2"/>
        <v>14557116-9</v>
      </c>
      <c r="P470" s="6" t="str">
        <f t="shared" si="3"/>
        <v>La Serena - La Serena - Región de Coquimbo</v>
      </c>
      <c r="Q470" s="4" t="str">
        <f t="shared" si="4"/>
        <v>Activo</v>
      </c>
      <c r="R470" s="12" t="str">
        <f t="shared" si="5"/>
        <v>Riesgo Medio</v>
      </c>
    </row>
    <row r="471">
      <c r="A471" s="1" t="s">
        <v>3343</v>
      </c>
      <c r="B471" s="9" t="s">
        <v>3344</v>
      </c>
      <c r="C471" s="9" t="s">
        <v>3345</v>
      </c>
      <c r="D471" s="1" t="s">
        <v>3346</v>
      </c>
      <c r="E471" s="1" t="s">
        <v>118</v>
      </c>
      <c r="F471" s="1" t="s">
        <v>62</v>
      </c>
      <c r="G471" s="1" t="s">
        <v>63</v>
      </c>
      <c r="H471" s="2">
        <v>1090000.0</v>
      </c>
      <c r="I471" s="1">
        <v>90.0</v>
      </c>
      <c r="J471" s="9" t="s">
        <v>28</v>
      </c>
      <c r="K471" s="5">
        <v>46041.0</v>
      </c>
      <c r="L471" s="11" t="s">
        <v>160</v>
      </c>
      <c r="M471" s="11"/>
      <c r="N471" s="4" t="str">
        <f t="shared" si="1"/>
        <v>Gonzalo Espinoza Rojas</v>
      </c>
      <c r="O471" s="6" t="str">
        <f t="shared" si="2"/>
        <v>19.321.865-5</v>
      </c>
      <c r="P471" s="6" t="str">
        <f t="shared" si="3"/>
        <v>Maipú - Santiago - Región Metropolitana</v>
      </c>
      <c r="Q471" s="4" t="str">
        <f t="shared" si="4"/>
        <v>Activo</v>
      </c>
      <c r="R471" s="12" t="str">
        <f t="shared" si="5"/>
        <v>Riesgo Alto</v>
      </c>
    </row>
    <row r="472">
      <c r="A472" s="1" t="s">
        <v>4000</v>
      </c>
      <c r="B472" s="9" t="s">
        <v>4001</v>
      </c>
      <c r="C472" s="9" t="s">
        <v>4197</v>
      </c>
      <c r="D472" s="1" t="s">
        <v>4003</v>
      </c>
      <c r="E472" s="1" t="s">
        <v>158</v>
      </c>
      <c r="F472" s="1" t="s">
        <v>158</v>
      </c>
      <c r="G472" s="1" t="s">
        <v>159</v>
      </c>
      <c r="H472" s="2">
        <v>6650000.0</v>
      </c>
      <c r="I472" s="1">
        <v>90.0</v>
      </c>
      <c r="J472" s="9" t="s">
        <v>20</v>
      </c>
      <c r="K472" s="5">
        <v>46140.0</v>
      </c>
      <c r="L472" s="11" t="s">
        <v>160</v>
      </c>
      <c r="M472" s="11"/>
      <c r="N472" s="4" t="str">
        <f t="shared" si="1"/>
        <v>Gonzalo Espinoza Vergara</v>
      </c>
      <c r="O472" s="6" t="str">
        <f t="shared" si="2"/>
        <v>21.648.841-5</v>
      </c>
      <c r="P472" s="6" t="str">
        <f t="shared" si="3"/>
        <v>Antofagasta - Antofagasta - Región de Antofagasta</v>
      </c>
      <c r="Q472" s="4" t="str">
        <f t="shared" si="4"/>
        <v>En Revisión</v>
      </c>
      <c r="R472" s="12" t="str">
        <f t="shared" si="5"/>
        <v>Riesgo Medio</v>
      </c>
    </row>
    <row r="473">
      <c r="A473" s="1" t="s">
        <v>4205</v>
      </c>
      <c r="B473" s="9" t="s">
        <v>4206</v>
      </c>
      <c r="C473" s="9" t="s">
        <v>4207</v>
      </c>
      <c r="D473" s="1" t="s">
        <v>4208</v>
      </c>
      <c r="E473" s="1" t="s">
        <v>158</v>
      </c>
      <c r="F473" s="1" t="s">
        <v>158</v>
      </c>
      <c r="G473" s="1" t="s">
        <v>159</v>
      </c>
      <c r="H473" s="2">
        <v>1.119E7</v>
      </c>
      <c r="I473" s="1">
        <v>0.0</v>
      </c>
      <c r="J473" s="9" t="s">
        <v>20</v>
      </c>
      <c r="K473" s="5">
        <v>46023.0</v>
      </c>
      <c r="L473" s="11" t="s">
        <v>207</v>
      </c>
      <c r="M473" s="11"/>
      <c r="N473" s="4" t="str">
        <f t="shared" si="1"/>
        <v>Gonzalo Fuentes Silva</v>
      </c>
      <c r="O473" s="6" t="str">
        <f t="shared" si="2"/>
        <v>19606324-6</v>
      </c>
      <c r="P473" s="6" t="str">
        <f t="shared" si="3"/>
        <v>Antofagasta - Antofagasta - Región de Antofagasta</v>
      </c>
      <c r="Q473" s="4" t="str">
        <f t="shared" si="4"/>
        <v>En Revisión</v>
      </c>
      <c r="R473" s="12" t="str">
        <f t="shared" si="5"/>
        <v>Riesgo Medio</v>
      </c>
    </row>
    <row r="474">
      <c r="A474" s="1" t="s">
        <v>2056</v>
      </c>
      <c r="B474" s="9" t="s">
        <v>2058</v>
      </c>
      <c r="C474" s="9" t="s">
        <v>2059</v>
      </c>
      <c r="D474" s="1" t="s">
        <v>2060</v>
      </c>
      <c r="E474" s="1" t="s">
        <v>194</v>
      </c>
      <c r="F474" s="1" t="s">
        <v>62</v>
      </c>
      <c r="G474" s="1" t="s">
        <v>63</v>
      </c>
      <c r="H474" s="2">
        <v>9630000.0</v>
      </c>
      <c r="I474" s="1">
        <v>0.0</v>
      </c>
      <c r="J474" s="9" t="s">
        <v>20</v>
      </c>
      <c r="K474" s="5">
        <v>46076.0</v>
      </c>
      <c r="L474" s="11" t="s">
        <v>160</v>
      </c>
      <c r="M474" s="11"/>
      <c r="N474" s="4" t="str">
        <f t="shared" si="1"/>
        <v>Gonzalo Fuentes Tapia</v>
      </c>
      <c r="O474" s="6" t="str">
        <f t="shared" si="2"/>
        <v>15.944.823-1</v>
      </c>
      <c r="P474" s="6" t="str">
        <f t="shared" si="3"/>
        <v>Las Condes - Santiago - Región Metropolitana</v>
      </c>
      <c r="Q474" s="4" t="str">
        <f t="shared" si="4"/>
        <v>En Revisión</v>
      </c>
      <c r="R474" s="12" t="str">
        <f t="shared" si="5"/>
        <v>Riesgo Medio</v>
      </c>
    </row>
    <row r="475">
      <c r="A475" s="1" t="s">
        <v>1713</v>
      </c>
      <c r="B475" s="9" t="s">
        <v>1714</v>
      </c>
      <c r="C475" s="9" t="s">
        <v>1716</v>
      </c>
      <c r="D475" s="1" t="s">
        <v>1717</v>
      </c>
      <c r="E475" s="1" t="s">
        <v>56</v>
      </c>
      <c r="F475" s="1" t="s">
        <v>39</v>
      </c>
      <c r="G475" s="1" t="s">
        <v>40</v>
      </c>
      <c r="H475" s="2">
        <v>1.469E7</v>
      </c>
      <c r="I475" s="1">
        <v>60.0</v>
      </c>
      <c r="J475" s="9" t="s">
        <v>97</v>
      </c>
      <c r="K475" s="5">
        <v>46214.0</v>
      </c>
      <c r="L475" s="11" t="s">
        <v>207</v>
      </c>
      <c r="M475" s="11"/>
      <c r="N475" s="4" t="str">
        <f t="shared" si="1"/>
        <v>Gonzalo López Muñoz</v>
      </c>
      <c r="O475" s="6" t="str">
        <f t="shared" si="2"/>
        <v>18.906.949-2</v>
      </c>
      <c r="P475" s="6" t="str">
        <f t="shared" si="3"/>
        <v>Talcahuano - Concepción - Región del Biobío</v>
      </c>
      <c r="Q475" s="4" t="str">
        <f t="shared" si="4"/>
        <v>Inactivo</v>
      </c>
      <c r="R475" s="12" t="str">
        <f t="shared" si="5"/>
        <v>Riesgo Medio</v>
      </c>
    </row>
    <row r="476">
      <c r="A476" s="1" t="s">
        <v>3354</v>
      </c>
      <c r="B476" s="9" t="s">
        <v>3355</v>
      </c>
      <c r="C476" s="9" t="s">
        <v>3356</v>
      </c>
      <c r="D476" s="1" t="s">
        <v>3357</v>
      </c>
      <c r="E476" s="1" t="s">
        <v>45</v>
      </c>
      <c r="F476" s="1" t="s">
        <v>45</v>
      </c>
      <c r="G476" s="1" t="s">
        <v>46</v>
      </c>
      <c r="H476" s="2">
        <v>2.038E7</v>
      </c>
      <c r="I476" s="1">
        <v>30.0</v>
      </c>
      <c r="J476" s="9" t="s">
        <v>28</v>
      </c>
      <c r="K476" s="5">
        <v>46143.0</v>
      </c>
      <c r="L476" s="11" t="s">
        <v>100</v>
      </c>
      <c r="M476" s="11"/>
      <c r="N476" s="4" t="str">
        <f t="shared" si="1"/>
        <v>Gonzalo López Vergara</v>
      </c>
      <c r="O476" s="6" t="str">
        <f t="shared" si="2"/>
        <v>17.556.280-2</v>
      </c>
      <c r="P476" s="6" t="str">
        <f t="shared" si="3"/>
        <v>Temuco - Temuco - Región de la Araucanía</v>
      </c>
      <c r="Q476" s="4" t="str">
        <f t="shared" si="4"/>
        <v>Activo</v>
      </c>
      <c r="R476" s="12" t="str">
        <f t="shared" si="5"/>
        <v>Riesgo Bajo</v>
      </c>
    </row>
    <row r="477">
      <c r="A477" s="1" t="s">
        <v>4031</v>
      </c>
      <c r="B477" s="9" t="s">
        <v>4032</v>
      </c>
      <c r="C477" s="9" t="s">
        <v>4033</v>
      </c>
      <c r="D477" s="1" t="s">
        <v>4034</v>
      </c>
      <c r="E477" s="1" t="s">
        <v>39</v>
      </c>
      <c r="F477" s="1" t="s">
        <v>39</v>
      </c>
      <c r="G477" s="1" t="s">
        <v>40</v>
      </c>
      <c r="H477" s="2">
        <v>6430000.0</v>
      </c>
      <c r="I477" s="1">
        <v>45.0</v>
      </c>
      <c r="J477" s="9" t="s">
        <v>20</v>
      </c>
      <c r="K477" s="5">
        <v>46145.0</v>
      </c>
      <c r="L477" s="11" t="s">
        <v>207</v>
      </c>
      <c r="M477" s="11"/>
      <c r="N477" s="4" t="str">
        <f t="shared" si="1"/>
        <v>Gonzalo Muñoz Sepúlveda</v>
      </c>
      <c r="O477" s="6" t="str">
        <f t="shared" si="2"/>
        <v>11.590.111-7</v>
      </c>
      <c r="P477" s="6" t="str">
        <f t="shared" si="3"/>
        <v>Concepción - Concepción - Región del Biobío</v>
      </c>
      <c r="Q477" s="4" t="str">
        <f t="shared" si="4"/>
        <v>En Revisión</v>
      </c>
      <c r="R477" s="12" t="str">
        <f t="shared" si="5"/>
        <v>Riesgo Medio</v>
      </c>
    </row>
    <row r="478">
      <c r="A478" s="1" t="s">
        <v>3532</v>
      </c>
      <c r="B478" s="9" t="s">
        <v>3533</v>
      </c>
      <c r="C478" s="9" t="s">
        <v>4224</v>
      </c>
      <c r="D478" s="1" t="s">
        <v>3535</v>
      </c>
      <c r="E478" s="1" t="s">
        <v>26</v>
      </c>
      <c r="F478" s="1" t="s">
        <v>26</v>
      </c>
      <c r="G478" s="1" t="s">
        <v>27</v>
      </c>
      <c r="H478" s="2">
        <v>1.82E7</v>
      </c>
      <c r="I478" s="1">
        <v>0.0</v>
      </c>
      <c r="J478" s="9" t="s">
        <v>20</v>
      </c>
      <c r="K478" s="5">
        <v>46210.0</v>
      </c>
      <c r="L478" s="11" t="s">
        <v>207</v>
      </c>
      <c r="M478" s="11"/>
      <c r="N478" s="4" t="str">
        <f t="shared" si="1"/>
        <v>Gonzalo Pérez Díaz</v>
      </c>
      <c r="O478" s="6" t="str">
        <f t="shared" si="2"/>
        <v>13.317.013-0</v>
      </c>
      <c r="P478" s="6" t="str">
        <f t="shared" si="3"/>
        <v>Valparaíso - Valparaíso - Región de Valparaíso</v>
      </c>
      <c r="Q478" s="4" t="str">
        <f t="shared" si="4"/>
        <v>En Revisión</v>
      </c>
      <c r="R478" s="12" t="str">
        <f t="shared" si="5"/>
        <v>Riesgo Medio</v>
      </c>
    </row>
    <row r="479">
      <c r="A479" s="1" t="s">
        <v>1120</v>
      </c>
      <c r="B479" s="9" t="s">
        <v>1123</v>
      </c>
      <c r="C479" s="9" t="s">
        <v>4229</v>
      </c>
      <c r="D479" s="1" t="s">
        <v>1125</v>
      </c>
      <c r="E479" s="1" t="s">
        <v>45</v>
      </c>
      <c r="F479" s="1" t="s">
        <v>45</v>
      </c>
      <c r="G479" s="1" t="s">
        <v>46</v>
      </c>
      <c r="H479" s="2">
        <v>1.155E7</v>
      </c>
      <c r="I479" s="1">
        <v>0.0</v>
      </c>
      <c r="J479" s="9" t="s">
        <v>97</v>
      </c>
      <c r="K479" s="5">
        <v>46041.0</v>
      </c>
      <c r="L479" s="11" t="s">
        <v>100</v>
      </c>
      <c r="M479" s="11"/>
      <c r="N479" s="4" t="str">
        <f t="shared" si="1"/>
        <v>Gonzalo Pérez Morales</v>
      </c>
      <c r="O479" s="6" t="str">
        <f t="shared" si="2"/>
        <v>14.640.218-2</v>
      </c>
      <c r="P479" s="6" t="str">
        <f t="shared" si="3"/>
        <v>Temuco - Temuco - Región de la Araucanía</v>
      </c>
      <c r="Q479" s="4" t="str">
        <f t="shared" si="4"/>
        <v>Inactivo</v>
      </c>
      <c r="R479" s="12" t="str">
        <f t="shared" si="5"/>
        <v>Riesgo Bajo</v>
      </c>
    </row>
    <row r="480">
      <c r="A480" s="1" t="s">
        <v>4230</v>
      </c>
      <c r="B480" s="9" t="s">
        <v>4231</v>
      </c>
      <c r="C480" s="9" t="s">
        <v>4232</v>
      </c>
      <c r="D480" s="1" t="s">
        <v>4233</v>
      </c>
      <c r="E480" s="1" t="s">
        <v>118</v>
      </c>
      <c r="F480" s="1" t="s">
        <v>62</v>
      </c>
      <c r="G480" s="1" t="s">
        <v>63</v>
      </c>
      <c r="H480" s="2">
        <v>2400000.0</v>
      </c>
      <c r="I480" s="1">
        <v>0.0</v>
      </c>
      <c r="J480" s="9" t="s">
        <v>97</v>
      </c>
      <c r="K480" s="5">
        <v>46210.0</v>
      </c>
      <c r="L480" s="11" t="s">
        <v>181</v>
      </c>
      <c r="M480" s="11"/>
      <c r="N480" s="4" t="str">
        <f t="shared" si="1"/>
        <v>Gonzalo Rojas Fuentes</v>
      </c>
      <c r="O480" s="6" t="str">
        <f t="shared" si="2"/>
        <v>14.269.683-0</v>
      </c>
      <c r="P480" s="6" t="str">
        <f t="shared" si="3"/>
        <v>Maipú - Santiago - Región Metropolitana</v>
      </c>
      <c r="Q480" s="4" t="str">
        <f t="shared" si="4"/>
        <v>Inactivo</v>
      </c>
      <c r="R480" s="12" t="str">
        <f t="shared" si="5"/>
        <v>Riesgo Bajo</v>
      </c>
    </row>
    <row r="481">
      <c r="A481" s="1" t="s">
        <v>2517</v>
      </c>
      <c r="B481" s="9" t="s">
        <v>2518</v>
      </c>
      <c r="C481" s="9" t="s">
        <v>4237</v>
      </c>
      <c r="D481" s="1" t="s">
        <v>2520</v>
      </c>
      <c r="E481" s="1" t="s">
        <v>61</v>
      </c>
      <c r="F481" s="1" t="s">
        <v>62</v>
      </c>
      <c r="G481" s="1" t="s">
        <v>63</v>
      </c>
      <c r="H481" s="2">
        <v>7240000.0</v>
      </c>
      <c r="I481" s="1">
        <v>45.0</v>
      </c>
      <c r="J481" s="9" t="s">
        <v>20</v>
      </c>
      <c r="K481" s="5">
        <v>46038.0</v>
      </c>
      <c r="L481" s="11" t="s">
        <v>100</v>
      </c>
      <c r="M481" s="11"/>
      <c r="N481" s="4" t="str">
        <f t="shared" si="1"/>
        <v>Gonzalo Rojas Soto</v>
      </c>
      <c r="O481" s="6" t="str">
        <f t="shared" si="2"/>
        <v>11.565.633-2</v>
      </c>
      <c r="P481" s="6" t="str">
        <f t="shared" si="3"/>
        <v>Santiago Centro - Santiago - Región Metropolitana</v>
      </c>
      <c r="Q481" s="4" t="str">
        <f t="shared" si="4"/>
        <v>En Revisión</v>
      </c>
      <c r="R481" s="12" t="str">
        <f t="shared" si="5"/>
        <v>Riesgo Medio</v>
      </c>
    </row>
    <row r="482">
      <c r="A482" s="1" t="s">
        <v>3784</v>
      </c>
      <c r="B482" s="9" t="s">
        <v>3786</v>
      </c>
      <c r="C482" s="9" t="s">
        <v>4058</v>
      </c>
      <c r="D482" s="1" t="s">
        <v>3790</v>
      </c>
      <c r="E482" s="1" t="s">
        <v>39</v>
      </c>
      <c r="F482" s="1" t="s">
        <v>39</v>
      </c>
      <c r="G482" s="1" t="s">
        <v>40</v>
      </c>
      <c r="H482" s="2">
        <v>9260000.0</v>
      </c>
      <c r="I482" s="1">
        <v>120.0</v>
      </c>
      <c r="J482" s="9" t="s">
        <v>28</v>
      </c>
      <c r="K482" s="5">
        <v>46075.0</v>
      </c>
      <c r="L482" s="11" t="s">
        <v>207</v>
      </c>
      <c r="M482" s="11"/>
      <c r="N482" s="4" t="str">
        <f t="shared" si="1"/>
        <v>Gonzalo Silva Silva</v>
      </c>
      <c r="O482" s="6" t="str">
        <f t="shared" si="2"/>
        <v>13.503.749-2</v>
      </c>
      <c r="P482" s="6" t="str">
        <f t="shared" si="3"/>
        <v>Concepción - Concepción - Región del Biobío</v>
      </c>
      <c r="Q482" s="4" t="str">
        <f t="shared" si="4"/>
        <v>Activo</v>
      </c>
      <c r="R482" s="12" t="str">
        <f t="shared" si="5"/>
        <v>Riesgo Alto</v>
      </c>
    </row>
    <row r="483">
      <c r="A483" s="1" t="s">
        <v>4056</v>
      </c>
      <c r="B483" s="9" t="s">
        <v>4057</v>
      </c>
      <c r="C483" s="9" t="s">
        <v>4058</v>
      </c>
      <c r="D483" s="1" t="s">
        <v>4059</v>
      </c>
      <c r="E483" s="1" t="s">
        <v>56</v>
      </c>
      <c r="F483" s="1" t="s">
        <v>39</v>
      </c>
      <c r="G483" s="1" t="s">
        <v>40</v>
      </c>
      <c r="H483" s="2">
        <v>1.724E7</v>
      </c>
      <c r="I483" s="1">
        <v>90.0</v>
      </c>
      <c r="J483" s="9" t="s">
        <v>28</v>
      </c>
      <c r="K483" s="5">
        <v>46228.0</v>
      </c>
      <c r="L483" s="11" t="s">
        <v>160</v>
      </c>
      <c r="M483" s="11"/>
      <c r="N483" s="4" t="str">
        <f t="shared" si="1"/>
        <v>Gonzalo Silva Silva</v>
      </c>
      <c r="O483" s="6" t="str">
        <f t="shared" si="2"/>
        <v>18.314.224-8</v>
      </c>
      <c r="P483" s="6" t="str">
        <f t="shared" si="3"/>
        <v>Talcahuano - Concepción - Región del Biobío</v>
      </c>
      <c r="Q483" s="4" t="str">
        <f t="shared" si="4"/>
        <v>Activo</v>
      </c>
      <c r="R483" s="12" t="str">
        <f t="shared" si="5"/>
        <v>Riesgo Alto</v>
      </c>
    </row>
    <row r="484">
      <c r="A484" s="1" t="s">
        <v>4249</v>
      </c>
      <c r="B484" s="9" t="s">
        <v>4250</v>
      </c>
      <c r="C484" s="9" t="s">
        <v>4251</v>
      </c>
      <c r="D484" s="1" t="s">
        <v>4252</v>
      </c>
      <c r="E484" s="1" t="s">
        <v>61</v>
      </c>
      <c r="F484" s="1" t="s">
        <v>62</v>
      </c>
      <c r="G484" s="1" t="s">
        <v>63</v>
      </c>
      <c r="H484" s="2">
        <v>8830000.0</v>
      </c>
      <c r="I484" s="1">
        <v>0.0</v>
      </c>
      <c r="J484" s="9" t="s">
        <v>28</v>
      </c>
      <c r="K484" s="5">
        <v>46197.0</v>
      </c>
      <c r="L484" s="11" t="s">
        <v>160</v>
      </c>
      <c r="M484" s="11"/>
      <c r="N484" s="4" t="str">
        <f t="shared" si="1"/>
        <v>Gonzalo Soto Pérez</v>
      </c>
      <c r="O484" s="6" t="str">
        <f t="shared" si="2"/>
        <v>11515221-6</v>
      </c>
      <c r="P484" s="6" t="str">
        <f t="shared" si="3"/>
        <v>Santiago Centro - Santiago - Región Metropolitana</v>
      </c>
      <c r="Q484" s="4" t="str">
        <f t="shared" si="4"/>
        <v>Activo</v>
      </c>
      <c r="R484" s="12" t="str">
        <f t="shared" si="5"/>
        <v>Riesgo Bajo</v>
      </c>
    </row>
    <row r="485">
      <c r="A485" s="1" t="s">
        <v>4254</v>
      </c>
      <c r="B485" s="9" t="s">
        <v>4255</v>
      </c>
      <c r="C485" s="9" t="s">
        <v>4256</v>
      </c>
      <c r="D485" s="1" t="s">
        <v>4257</v>
      </c>
      <c r="E485" s="1" t="s">
        <v>39</v>
      </c>
      <c r="F485" s="1" t="s">
        <v>39</v>
      </c>
      <c r="G485" s="1" t="s">
        <v>40</v>
      </c>
      <c r="H485" s="2">
        <v>4570000.0</v>
      </c>
      <c r="I485" s="1">
        <v>90.0</v>
      </c>
      <c r="J485" s="9" t="s">
        <v>28</v>
      </c>
      <c r="K485" s="5">
        <v>46180.0</v>
      </c>
      <c r="L485" s="11" t="s">
        <v>181</v>
      </c>
      <c r="M485" s="11"/>
      <c r="N485" s="4" t="str">
        <f t="shared" si="1"/>
        <v>Gonzalo Soto Soto</v>
      </c>
      <c r="O485" s="6" t="str">
        <f t="shared" si="2"/>
        <v>19.070.577-K</v>
      </c>
      <c r="P485" s="6" t="str">
        <f t="shared" si="3"/>
        <v>Concepción - Concepción - Región del Biobío</v>
      </c>
      <c r="Q485" s="4" t="str">
        <f t="shared" si="4"/>
        <v>Activo</v>
      </c>
      <c r="R485" s="12" t="str">
        <f t="shared" si="5"/>
        <v>Riesgo Alto</v>
      </c>
    </row>
    <row r="486">
      <c r="A486" s="1" t="s">
        <v>2498</v>
      </c>
      <c r="B486" s="9" t="s">
        <v>2499</v>
      </c>
      <c r="C486" s="9" t="s">
        <v>2500</v>
      </c>
      <c r="D486" s="1" t="s">
        <v>2501</v>
      </c>
      <c r="E486" s="1" t="s">
        <v>25</v>
      </c>
      <c r="F486" s="1" t="s">
        <v>26</v>
      </c>
      <c r="G486" s="1" t="s">
        <v>27</v>
      </c>
      <c r="H486" s="2">
        <v>9750000.0</v>
      </c>
      <c r="I486" s="1">
        <v>0.0</v>
      </c>
      <c r="J486" s="9" t="s">
        <v>28</v>
      </c>
      <c r="K486" s="5">
        <v>46028.0</v>
      </c>
      <c r="L486" s="11" t="s">
        <v>160</v>
      </c>
      <c r="M486" s="11"/>
      <c r="N486" s="4" t="str">
        <f t="shared" si="1"/>
        <v>Gonzalo Valenzuela Rodríguez</v>
      </c>
      <c r="O486" s="6" t="str">
        <f t="shared" si="2"/>
        <v>13.496.683-7</v>
      </c>
      <c r="P486" s="6" t="str">
        <f t="shared" si="3"/>
        <v>Viña del Mar - Valparaíso - Región de Valparaíso</v>
      </c>
      <c r="Q486" s="4" t="str">
        <f t="shared" si="4"/>
        <v>Activo</v>
      </c>
      <c r="R486" s="12" t="str">
        <f t="shared" si="5"/>
        <v>Riesgo Bajo</v>
      </c>
    </row>
    <row r="487">
      <c r="A487" s="1" t="s">
        <v>4270</v>
      </c>
      <c r="B487" s="9" t="s">
        <v>4271</v>
      </c>
      <c r="C487" s="9" t="s">
        <v>4272</v>
      </c>
      <c r="D487" s="1" t="s">
        <v>4273</v>
      </c>
      <c r="E487" s="1" t="s">
        <v>18</v>
      </c>
      <c r="F487" s="1" t="s">
        <v>18</v>
      </c>
      <c r="G487" s="1" t="s">
        <v>19</v>
      </c>
      <c r="H487" s="2">
        <v>1.249E7</v>
      </c>
      <c r="I487" s="1">
        <v>15.0</v>
      </c>
      <c r="J487" s="9" t="s">
        <v>97</v>
      </c>
      <c r="K487" s="5">
        <v>46113.0</v>
      </c>
      <c r="L487" s="11" t="s">
        <v>160</v>
      </c>
      <c r="M487" s="11"/>
      <c r="N487" s="4" t="str">
        <f t="shared" si="1"/>
        <v>Gonzalo Vergara Araya</v>
      </c>
      <c r="O487" s="6" t="str">
        <f t="shared" si="2"/>
        <v>19.972.651-K</v>
      </c>
      <c r="P487" s="6" t="str">
        <f t="shared" si="3"/>
        <v>La Serena - La Serena - Región de Coquimbo</v>
      </c>
      <c r="Q487" s="4" t="str">
        <f t="shared" si="4"/>
        <v>Inactivo</v>
      </c>
      <c r="R487" s="12" t="str">
        <f t="shared" si="5"/>
        <v>Riesgo Bajo</v>
      </c>
    </row>
    <row r="488">
      <c r="A488" s="1" t="s">
        <v>3806</v>
      </c>
      <c r="B488" s="9" t="s">
        <v>3807</v>
      </c>
      <c r="C488" s="9" t="s">
        <v>4277</v>
      </c>
      <c r="D488" s="1" t="s">
        <v>3809</v>
      </c>
      <c r="E488" s="1" t="s">
        <v>72</v>
      </c>
      <c r="F488" s="1" t="s">
        <v>62</v>
      </c>
      <c r="G488" s="1" t="s">
        <v>63</v>
      </c>
      <c r="H488" s="2">
        <v>1.732E7</v>
      </c>
      <c r="I488" s="1">
        <v>0.0</v>
      </c>
      <c r="J488" s="9" t="s">
        <v>20</v>
      </c>
      <c r="K488" s="5">
        <v>46091.0</v>
      </c>
      <c r="L488" s="11" t="s">
        <v>207</v>
      </c>
      <c r="M488" s="11"/>
      <c r="N488" s="4" t="str">
        <f t="shared" si="1"/>
        <v>Gonzalo Vergara Rojas</v>
      </c>
      <c r="O488" s="6" t="str">
        <f t="shared" si="2"/>
        <v>19427433-5</v>
      </c>
      <c r="P488" s="6" t="str">
        <f t="shared" si="3"/>
        <v>Providencia - Santiago - Región Metropolitana</v>
      </c>
      <c r="Q488" s="4" t="str">
        <f t="shared" si="4"/>
        <v>En Revisión</v>
      </c>
      <c r="R488" s="12" t="str">
        <f t="shared" si="5"/>
        <v>Riesgo Medio</v>
      </c>
    </row>
    <row r="489">
      <c r="A489" s="1" t="s">
        <v>905</v>
      </c>
      <c r="B489" s="9" t="s">
        <v>906</v>
      </c>
      <c r="C489" s="9" t="s">
        <v>907</v>
      </c>
      <c r="D489" s="1" t="s">
        <v>908</v>
      </c>
      <c r="E489" s="1" t="s">
        <v>39</v>
      </c>
      <c r="F489" s="1" t="s">
        <v>39</v>
      </c>
      <c r="G489" s="1" t="s">
        <v>40</v>
      </c>
      <c r="H489" s="2">
        <v>1.253E7</v>
      </c>
      <c r="I489" s="1">
        <v>45.0</v>
      </c>
      <c r="J489" s="9" t="s">
        <v>20</v>
      </c>
      <c r="K489" s="5">
        <v>46066.0</v>
      </c>
      <c r="L489" s="11" t="s">
        <v>160</v>
      </c>
      <c r="M489" s="11"/>
      <c r="N489" s="4" t="str">
        <f t="shared" si="1"/>
        <v>Gonzalo Vergara Sepúlveda</v>
      </c>
      <c r="O489" s="6" t="str">
        <f t="shared" si="2"/>
        <v>15189603-3</v>
      </c>
      <c r="P489" s="6" t="str">
        <f t="shared" si="3"/>
        <v>Concepción - Concepción - Región del Biobío</v>
      </c>
      <c r="Q489" s="4" t="str">
        <f t="shared" si="4"/>
        <v>En Revisión</v>
      </c>
      <c r="R489" s="12" t="str">
        <f t="shared" si="5"/>
        <v>Riesgo Medio</v>
      </c>
    </row>
    <row r="490">
      <c r="A490" s="1" t="s">
        <v>4282</v>
      </c>
      <c r="B490" s="9" t="s">
        <v>4283</v>
      </c>
      <c r="C490" s="9" t="s">
        <v>4284</v>
      </c>
      <c r="D490" s="1" t="s">
        <v>4285</v>
      </c>
      <c r="E490" s="1" t="s">
        <v>26</v>
      </c>
      <c r="F490" s="1" t="s">
        <v>26</v>
      </c>
      <c r="G490" s="1" t="s">
        <v>27</v>
      </c>
      <c r="H490" s="2">
        <v>610000.0</v>
      </c>
      <c r="I490" s="1">
        <v>30.0</v>
      </c>
      <c r="J490" s="9" t="s">
        <v>97</v>
      </c>
      <c r="K490" s="5">
        <v>46206.0</v>
      </c>
      <c r="L490" s="11" t="s">
        <v>207</v>
      </c>
      <c r="M490" s="11"/>
      <c r="N490" s="4" t="str">
        <f t="shared" si="1"/>
        <v>Hernán Araya Fuentes</v>
      </c>
      <c r="O490" s="6" t="str">
        <f t="shared" si="2"/>
        <v>21.702.391-4</v>
      </c>
      <c r="P490" s="6" t="str">
        <f t="shared" si="3"/>
        <v>Valparaíso - Valparaíso - Región de Valparaíso</v>
      </c>
      <c r="Q490" s="4" t="str">
        <f t="shared" si="4"/>
        <v>Inactivo</v>
      </c>
      <c r="R490" s="12" t="str">
        <f t="shared" si="5"/>
        <v>Riesgo Bajo</v>
      </c>
    </row>
    <row r="491">
      <c r="A491" s="1" t="s">
        <v>4287</v>
      </c>
      <c r="B491" s="9" t="s">
        <v>4288</v>
      </c>
      <c r="C491" s="9" t="s">
        <v>4289</v>
      </c>
      <c r="D491" s="1" t="s">
        <v>4290</v>
      </c>
      <c r="E491" s="1" t="s">
        <v>158</v>
      </c>
      <c r="F491" s="1" t="s">
        <v>158</v>
      </c>
      <c r="G491" s="1" t="s">
        <v>159</v>
      </c>
      <c r="H491" s="2">
        <v>5340000.0</v>
      </c>
      <c r="I491" s="1">
        <v>90.0</v>
      </c>
      <c r="J491" s="9" t="s">
        <v>20</v>
      </c>
      <c r="K491" s="5">
        <v>46080.0</v>
      </c>
      <c r="L491" s="11" t="s">
        <v>100</v>
      </c>
      <c r="M491" s="11"/>
      <c r="N491" s="4" t="str">
        <f t="shared" si="1"/>
        <v>Hernán Araya Silva</v>
      </c>
      <c r="O491" s="6" t="str">
        <f t="shared" si="2"/>
        <v>16460400-8</v>
      </c>
      <c r="P491" s="6" t="str">
        <f t="shared" si="3"/>
        <v>Antofagasta - Antofagasta - Región de Antofagasta</v>
      </c>
      <c r="Q491" s="4" t="str">
        <f t="shared" si="4"/>
        <v>En Revisión</v>
      </c>
      <c r="R491" s="12" t="str">
        <f t="shared" si="5"/>
        <v>Riesgo Medio</v>
      </c>
    </row>
    <row r="492">
      <c r="A492" s="1" t="s">
        <v>4295</v>
      </c>
      <c r="B492" s="9" t="s">
        <v>4296</v>
      </c>
      <c r="C492" s="9" t="s">
        <v>4297</v>
      </c>
      <c r="D492" s="1" t="s">
        <v>4298</v>
      </c>
      <c r="E492" s="1" t="s">
        <v>72</v>
      </c>
      <c r="F492" s="1" t="s">
        <v>62</v>
      </c>
      <c r="G492" s="1" t="s">
        <v>63</v>
      </c>
      <c r="H492" s="2">
        <v>2180000.0</v>
      </c>
      <c r="I492" s="1">
        <v>45.0</v>
      </c>
      <c r="J492" s="9" t="s">
        <v>20</v>
      </c>
      <c r="K492" s="5">
        <v>46131.0</v>
      </c>
      <c r="L492" s="11" t="s">
        <v>207</v>
      </c>
      <c r="M492" s="11"/>
      <c r="N492" s="4" t="str">
        <f t="shared" si="1"/>
        <v>Hernán Araya Vergara</v>
      </c>
      <c r="O492" s="6" t="str">
        <f t="shared" si="2"/>
        <v>19.291.077-K</v>
      </c>
      <c r="P492" s="6" t="str">
        <f t="shared" si="3"/>
        <v>Providencia - Santiago - Región Metropolitana</v>
      </c>
      <c r="Q492" s="4" t="str">
        <f t="shared" si="4"/>
        <v>En Revisión</v>
      </c>
      <c r="R492" s="12" t="str">
        <f t="shared" si="5"/>
        <v>Riesgo Medio</v>
      </c>
    </row>
    <row r="493">
      <c r="A493" s="1" t="s">
        <v>977</v>
      </c>
      <c r="B493" s="9" t="s">
        <v>978</v>
      </c>
      <c r="C493" s="9" t="s">
        <v>4302</v>
      </c>
      <c r="D493" s="1" t="s">
        <v>980</v>
      </c>
      <c r="E493" s="1" t="s">
        <v>109</v>
      </c>
      <c r="F493" s="1" t="s">
        <v>62</v>
      </c>
      <c r="G493" s="1" t="s">
        <v>63</v>
      </c>
      <c r="H493" s="2">
        <v>8850000.0</v>
      </c>
      <c r="I493" s="1">
        <v>45.0</v>
      </c>
      <c r="J493" s="9" t="s">
        <v>97</v>
      </c>
      <c r="K493" s="5">
        <v>46192.0</v>
      </c>
      <c r="L493" s="11" t="s">
        <v>160</v>
      </c>
      <c r="M493" s="11"/>
      <c r="N493" s="4" t="str">
        <f t="shared" si="1"/>
        <v>Hernán Contreras Vergara</v>
      </c>
      <c r="O493" s="6" t="str">
        <f t="shared" si="2"/>
        <v>13.697.302-7</v>
      </c>
      <c r="P493" s="6" t="str">
        <f t="shared" si="3"/>
        <v>Ñuñoa - Santiago - Región Metropolitana</v>
      </c>
      <c r="Q493" s="4" t="str">
        <f t="shared" si="4"/>
        <v>Inactivo</v>
      </c>
      <c r="R493" s="12" t="str">
        <f t="shared" si="5"/>
        <v>Riesgo Medio</v>
      </c>
    </row>
    <row r="494">
      <c r="A494" s="1" t="s">
        <v>4305</v>
      </c>
      <c r="B494" s="9" t="s">
        <v>4307</v>
      </c>
      <c r="C494" s="9" t="s">
        <v>4309</v>
      </c>
      <c r="D494" s="1" t="s">
        <v>4311</v>
      </c>
      <c r="E494" s="1" t="s">
        <v>33</v>
      </c>
      <c r="F494" s="1" t="s">
        <v>33</v>
      </c>
      <c r="G494" s="1" t="s">
        <v>34</v>
      </c>
      <c r="H494" s="2">
        <v>2.003E7</v>
      </c>
      <c r="I494" s="1">
        <v>30.0</v>
      </c>
      <c r="J494" s="9" t="s">
        <v>28</v>
      </c>
      <c r="K494" s="5">
        <v>46094.0</v>
      </c>
      <c r="L494" s="11" t="s">
        <v>207</v>
      </c>
      <c r="M494" s="11"/>
      <c r="N494" s="4" t="str">
        <f t="shared" si="1"/>
        <v>Hernán Díaz Tapia</v>
      </c>
      <c r="O494" s="6" t="str">
        <f t="shared" si="2"/>
        <v>15.399.824-1</v>
      </c>
      <c r="P494" s="6" t="str">
        <f t="shared" si="3"/>
        <v>Puerto Montt - Puerto Montt - Región de Los Lagos</v>
      </c>
      <c r="Q494" s="4" t="str">
        <f t="shared" si="4"/>
        <v>Activo</v>
      </c>
      <c r="R494" s="12" t="str">
        <f t="shared" si="5"/>
        <v>Riesgo Bajo</v>
      </c>
    </row>
    <row r="495">
      <c r="A495" s="1" t="s">
        <v>3699</v>
      </c>
      <c r="B495" s="9" t="s">
        <v>3700</v>
      </c>
      <c r="C495" s="9" t="s">
        <v>4316</v>
      </c>
      <c r="D495" s="1" t="s">
        <v>3702</v>
      </c>
      <c r="E495" s="1" t="s">
        <v>56</v>
      </c>
      <c r="F495" s="1" t="s">
        <v>39</v>
      </c>
      <c r="G495" s="1" t="s">
        <v>40</v>
      </c>
      <c r="H495" s="2">
        <v>4600000.0</v>
      </c>
      <c r="I495" s="1">
        <v>0.0</v>
      </c>
      <c r="J495" s="9" t="s">
        <v>28</v>
      </c>
      <c r="K495" s="5">
        <v>46161.0</v>
      </c>
      <c r="L495" s="11" t="s">
        <v>100</v>
      </c>
      <c r="M495" s="11"/>
      <c r="N495" s="4" t="str">
        <f t="shared" si="1"/>
        <v>Hernán Espinoza Soto</v>
      </c>
      <c r="O495" s="6" t="str">
        <f t="shared" si="2"/>
        <v>18798805-9</v>
      </c>
      <c r="P495" s="6" t="str">
        <f t="shared" si="3"/>
        <v>Talcahuano - Concepción - Región del Biobío</v>
      </c>
      <c r="Q495" s="4" t="str">
        <f t="shared" si="4"/>
        <v>Activo</v>
      </c>
      <c r="R495" s="12" t="str">
        <f t="shared" si="5"/>
        <v>Riesgo Bajo</v>
      </c>
    </row>
    <row r="496">
      <c r="A496" s="1" t="s">
        <v>3097</v>
      </c>
      <c r="B496" s="9" t="s">
        <v>3099</v>
      </c>
      <c r="C496" s="9" t="s">
        <v>4319</v>
      </c>
      <c r="D496" s="1" t="s">
        <v>3104</v>
      </c>
      <c r="E496" s="1" t="s">
        <v>158</v>
      </c>
      <c r="F496" s="1" t="s">
        <v>158</v>
      </c>
      <c r="G496" s="1" t="s">
        <v>159</v>
      </c>
      <c r="H496" s="2">
        <v>6250000.0</v>
      </c>
      <c r="I496" s="1">
        <v>120.0</v>
      </c>
      <c r="J496" s="9" t="s">
        <v>28</v>
      </c>
      <c r="K496" s="5">
        <v>46055.0</v>
      </c>
      <c r="L496" s="11" t="s">
        <v>207</v>
      </c>
      <c r="M496" s="11"/>
      <c r="N496" s="4" t="str">
        <f t="shared" si="1"/>
        <v>Hernán Fuentes Valenzuela</v>
      </c>
      <c r="O496" s="6" t="str">
        <f t="shared" si="2"/>
        <v>11768224-1</v>
      </c>
      <c r="P496" s="6" t="str">
        <f t="shared" si="3"/>
        <v>Antofagasta - Antofagasta - Región de Antofagasta</v>
      </c>
      <c r="Q496" s="4" t="str">
        <f t="shared" si="4"/>
        <v>Activo</v>
      </c>
      <c r="R496" s="12" t="str">
        <f t="shared" si="5"/>
        <v>Riesgo Alto</v>
      </c>
    </row>
    <row r="497">
      <c r="A497" s="1" t="s">
        <v>3117</v>
      </c>
      <c r="B497" s="9" t="s">
        <v>3118</v>
      </c>
      <c r="C497" s="9" t="s">
        <v>4321</v>
      </c>
      <c r="D497" s="1" t="s">
        <v>3121</v>
      </c>
      <c r="E497" s="1" t="s">
        <v>118</v>
      </c>
      <c r="F497" s="1" t="s">
        <v>62</v>
      </c>
      <c r="G497" s="1" t="s">
        <v>63</v>
      </c>
      <c r="H497" s="2">
        <v>1.353E7</v>
      </c>
      <c r="I497" s="1">
        <v>120.0</v>
      </c>
      <c r="J497" s="9" t="s">
        <v>28</v>
      </c>
      <c r="K497" s="5">
        <v>46219.0</v>
      </c>
      <c r="L497" s="11" t="s">
        <v>207</v>
      </c>
      <c r="M497" s="11"/>
      <c r="N497" s="4" t="str">
        <f t="shared" si="1"/>
        <v>Hernán González Contreras</v>
      </c>
      <c r="O497" s="6" t="str">
        <f t="shared" si="2"/>
        <v>17.952.914-2</v>
      </c>
      <c r="P497" s="6" t="str">
        <f t="shared" si="3"/>
        <v>Maipú - Santiago - Región Metropolitana</v>
      </c>
      <c r="Q497" s="4" t="str">
        <f t="shared" si="4"/>
        <v>Activo</v>
      </c>
      <c r="R497" s="12" t="str">
        <f t="shared" si="5"/>
        <v>Riesgo Alto</v>
      </c>
    </row>
    <row r="498">
      <c r="A498" s="1" t="s">
        <v>1828</v>
      </c>
      <c r="B498" s="9" t="s">
        <v>1829</v>
      </c>
      <c r="C498" s="9" t="s">
        <v>4328</v>
      </c>
      <c r="D498" s="1" t="s">
        <v>1831</v>
      </c>
      <c r="E498" s="1" t="s">
        <v>26</v>
      </c>
      <c r="F498" s="1" t="s">
        <v>26</v>
      </c>
      <c r="G498" s="1" t="s">
        <v>27</v>
      </c>
      <c r="H498" s="2">
        <v>1.554E7</v>
      </c>
      <c r="I498" s="1">
        <v>30.0</v>
      </c>
      <c r="J498" s="9" t="s">
        <v>97</v>
      </c>
      <c r="K498" s="5">
        <v>46190.0</v>
      </c>
      <c r="L498" s="11" t="s">
        <v>100</v>
      </c>
      <c r="M498" s="11"/>
      <c r="N498" s="4" t="str">
        <f t="shared" si="1"/>
        <v>Hernán González Pérez</v>
      </c>
      <c r="O498" s="6" t="str">
        <f t="shared" si="2"/>
        <v>13.602.416-2</v>
      </c>
      <c r="P498" s="6" t="str">
        <f t="shared" si="3"/>
        <v>Valparaíso - Valparaíso - Región de Valparaíso</v>
      </c>
      <c r="Q498" s="4" t="str">
        <f t="shared" si="4"/>
        <v>Inactivo</v>
      </c>
      <c r="R498" s="12" t="str">
        <f t="shared" si="5"/>
        <v>Riesgo Bajo</v>
      </c>
    </row>
    <row r="499">
      <c r="A499" s="1" t="s">
        <v>3091</v>
      </c>
      <c r="B499" s="9" t="s">
        <v>3092</v>
      </c>
      <c r="C499" s="9" t="s">
        <v>3093</v>
      </c>
      <c r="D499" s="1" t="s">
        <v>3094</v>
      </c>
      <c r="E499" s="1" t="s">
        <v>33</v>
      </c>
      <c r="F499" s="1" t="s">
        <v>33</v>
      </c>
      <c r="G499" s="1" t="s">
        <v>34</v>
      </c>
      <c r="H499" s="2">
        <v>1.574E7</v>
      </c>
      <c r="I499" s="1">
        <v>15.0</v>
      </c>
      <c r="J499" s="9" t="s">
        <v>20</v>
      </c>
      <c r="K499" s="5">
        <v>46126.0</v>
      </c>
      <c r="L499" s="11" t="s">
        <v>207</v>
      </c>
      <c r="M499" s="11"/>
      <c r="N499" s="4" t="str">
        <f t="shared" si="1"/>
        <v>Hernán López Contreras</v>
      </c>
      <c r="O499" s="6" t="str">
        <f t="shared" si="2"/>
        <v>19.719.398-K</v>
      </c>
      <c r="P499" s="6" t="str">
        <f t="shared" si="3"/>
        <v>Puerto Montt - Puerto Montt - Región de Los Lagos</v>
      </c>
      <c r="Q499" s="4" t="str">
        <f t="shared" si="4"/>
        <v>En Revisión</v>
      </c>
      <c r="R499" s="12" t="str">
        <f t="shared" si="5"/>
        <v>Riesgo Medio</v>
      </c>
    </row>
    <row r="500">
      <c r="A500" s="1" t="s">
        <v>1493</v>
      </c>
      <c r="B500" s="9" t="s">
        <v>1495</v>
      </c>
      <c r="C500" s="9" t="s">
        <v>1497</v>
      </c>
      <c r="D500" s="1" t="s">
        <v>1499</v>
      </c>
      <c r="E500" s="1" t="s">
        <v>56</v>
      </c>
      <c r="F500" s="1" t="s">
        <v>39</v>
      </c>
      <c r="G500" s="1" t="s">
        <v>40</v>
      </c>
      <c r="H500" s="2">
        <v>6220000.0</v>
      </c>
      <c r="I500" s="1">
        <v>90.0</v>
      </c>
      <c r="J500" s="9" t="s">
        <v>28</v>
      </c>
      <c r="K500" s="5">
        <v>46220.0</v>
      </c>
      <c r="L500" s="11" t="s">
        <v>100</v>
      </c>
      <c r="M500" s="11"/>
      <c r="N500" s="4" t="str">
        <f t="shared" si="1"/>
        <v>Hernán López Rodríguez</v>
      </c>
      <c r="O500" s="6" t="str">
        <f t="shared" si="2"/>
        <v>21.072.670-4</v>
      </c>
      <c r="P500" s="6" t="str">
        <f t="shared" si="3"/>
        <v>Talcahuano - Concepción - Región del Biobío</v>
      </c>
      <c r="Q500" s="4" t="str">
        <f t="shared" si="4"/>
        <v>Activo</v>
      </c>
      <c r="R500" s="12" t="str">
        <f t="shared" si="5"/>
        <v>Riesgo Alto</v>
      </c>
    </row>
    <row r="501">
      <c r="A501" s="1" t="s">
        <v>1529</v>
      </c>
      <c r="B501" s="9" t="s">
        <v>1530</v>
      </c>
      <c r="C501" s="9" t="s">
        <v>1531</v>
      </c>
      <c r="D501" s="1" t="s">
        <v>1532</v>
      </c>
      <c r="E501" s="1" t="s">
        <v>118</v>
      </c>
      <c r="F501" s="1" t="s">
        <v>62</v>
      </c>
      <c r="G501" s="1" t="s">
        <v>63</v>
      </c>
      <c r="H501" s="2">
        <v>1.933E7</v>
      </c>
      <c r="I501" s="1">
        <v>15.0</v>
      </c>
      <c r="J501" s="9" t="s">
        <v>28</v>
      </c>
      <c r="K501" s="5">
        <v>46078.0</v>
      </c>
      <c r="L501" s="11" t="s">
        <v>160</v>
      </c>
      <c r="M501" s="11"/>
      <c r="N501" s="4" t="str">
        <f t="shared" si="1"/>
        <v>Hernán Morales Contreras</v>
      </c>
      <c r="O501" s="6" t="str">
        <f t="shared" si="2"/>
        <v>18.284.772-7</v>
      </c>
      <c r="P501" s="6" t="str">
        <f t="shared" si="3"/>
        <v>Maipú - Santiago - Región Metropolitana</v>
      </c>
      <c r="Q501" s="4" t="str">
        <f t="shared" si="4"/>
        <v>Activo</v>
      </c>
      <c r="R501" s="12" t="str">
        <f t="shared" si="5"/>
        <v>Riesgo Bajo</v>
      </c>
    </row>
    <row r="502">
      <c r="A502" s="1" t="s">
        <v>248</v>
      </c>
      <c r="B502" s="9" t="s">
        <v>249</v>
      </c>
      <c r="C502" s="9" t="s">
        <v>4341</v>
      </c>
      <c r="D502" s="1" t="s">
        <v>252</v>
      </c>
      <c r="E502" s="1" t="s">
        <v>118</v>
      </c>
      <c r="F502" s="1" t="s">
        <v>62</v>
      </c>
      <c r="G502" s="1" t="s">
        <v>63</v>
      </c>
      <c r="H502" s="2">
        <v>1.124E7</v>
      </c>
      <c r="I502" s="1">
        <v>120.0</v>
      </c>
      <c r="J502" s="9" t="s">
        <v>20</v>
      </c>
      <c r="K502" s="5">
        <v>46062.0</v>
      </c>
      <c r="L502" s="11" t="s">
        <v>181</v>
      </c>
      <c r="M502" s="11"/>
      <c r="N502" s="4" t="str">
        <f t="shared" si="1"/>
        <v>Hernán Muñoz Valenzuela</v>
      </c>
      <c r="O502" s="6" t="str">
        <f t="shared" si="2"/>
        <v>22.280.617-7</v>
      </c>
      <c r="P502" s="6" t="str">
        <f t="shared" si="3"/>
        <v>Maipú - Santiago - Región Metropolitana</v>
      </c>
      <c r="Q502" s="4" t="str">
        <f t="shared" si="4"/>
        <v>En Revisión</v>
      </c>
      <c r="R502" s="12" t="str">
        <f t="shared" si="5"/>
        <v>Riesgo Medio</v>
      </c>
    </row>
    <row r="503">
      <c r="A503" s="1" t="s">
        <v>2525</v>
      </c>
      <c r="B503" s="9" t="s">
        <v>2526</v>
      </c>
      <c r="C503" s="9" t="s">
        <v>2527</v>
      </c>
      <c r="D503" s="1" t="s">
        <v>2528</v>
      </c>
      <c r="E503" s="1" t="s">
        <v>194</v>
      </c>
      <c r="F503" s="1" t="s">
        <v>62</v>
      </c>
      <c r="G503" s="1" t="s">
        <v>63</v>
      </c>
      <c r="H503" s="2">
        <v>2870000.0</v>
      </c>
      <c r="I503" s="1">
        <v>45.0</v>
      </c>
      <c r="J503" s="9" t="s">
        <v>28</v>
      </c>
      <c r="K503" s="5">
        <v>46204.0</v>
      </c>
      <c r="L503" s="11" t="s">
        <v>199</v>
      </c>
      <c r="M503" s="11"/>
      <c r="N503" s="4" t="str">
        <f t="shared" si="1"/>
        <v>Hernán Pérez López</v>
      </c>
      <c r="O503" s="6" t="str">
        <f t="shared" si="2"/>
        <v>20.807.597-0</v>
      </c>
      <c r="P503" s="6" t="str">
        <f t="shared" si="3"/>
        <v>Las Condes - Santiago - Región Metropolitana</v>
      </c>
      <c r="Q503" s="4" t="str">
        <f t="shared" si="4"/>
        <v>Activo</v>
      </c>
      <c r="R503" s="12" t="str">
        <f t="shared" si="5"/>
        <v>Riesgo Medio</v>
      </c>
    </row>
    <row r="504">
      <c r="A504" s="1" t="s">
        <v>3315</v>
      </c>
      <c r="B504" s="9" t="s">
        <v>3316</v>
      </c>
      <c r="C504" s="9" t="s">
        <v>4349</v>
      </c>
      <c r="D504" s="1" t="s">
        <v>3322</v>
      </c>
      <c r="E504" s="1" t="s">
        <v>56</v>
      </c>
      <c r="F504" s="1" t="s">
        <v>39</v>
      </c>
      <c r="G504" s="1" t="s">
        <v>40</v>
      </c>
      <c r="H504" s="2">
        <v>9240000.0</v>
      </c>
      <c r="I504" s="1">
        <v>0.0</v>
      </c>
      <c r="J504" s="9" t="s">
        <v>20</v>
      </c>
      <c r="K504" s="5">
        <v>46183.0</v>
      </c>
      <c r="L504" s="11" t="s">
        <v>207</v>
      </c>
      <c r="M504" s="11"/>
      <c r="N504" s="4" t="str">
        <f t="shared" si="1"/>
        <v>Hernán Pérez Sepúlveda</v>
      </c>
      <c r="O504" s="6" t="str">
        <f t="shared" si="2"/>
        <v>12813546-K</v>
      </c>
      <c r="P504" s="6" t="str">
        <f t="shared" si="3"/>
        <v>Talcahuano - Concepción - Región del Biobío</v>
      </c>
      <c r="Q504" s="4" t="str">
        <f t="shared" si="4"/>
        <v>En Revisión</v>
      </c>
      <c r="R504" s="12" t="str">
        <f t="shared" si="5"/>
        <v>Riesgo Medio</v>
      </c>
    </row>
    <row r="505">
      <c r="A505" s="1" t="s">
        <v>4120</v>
      </c>
      <c r="B505" s="9" t="s">
        <v>4121</v>
      </c>
      <c r="C505" s="9" t="s">
        <v>4122</v>
      </c>
      <c r="D505" s="1" t="s">
        <v>4123</v>
      </c>
      <c r="E505" s="1" t="s">
        <v>72</v>
      </c>
      <c r="F505" s="1" t="s">
        <v>62</v>
      </c>
      <c r="G505" s="1" t="s">
        <v>63</v>
      </c>
      <c r="H505" s="2">
        <v>7050000.0</v>
      </c>
      <c r="I505" s="1">
        <v>60.0</v>
      </c>
      <c r="J505" s="9" t="s">
        <v>97</v>
      </c>
      <c r="K505" s="5">
        <v>46196.0</v>
      </c>
      <c r="L505" s="11" t="s">
        <v>160</v>
      </c>
      <c r="M505" s="11"/>
      <c r="N505" s="4" t="str">
        <f t="shared" si="1"/>
        <v>Hernán Rodríguez Contreras</v>
      </c>
      <c r="O505" s="6" t="str">
        <f t="shared" si="2"/>
        <v>14.557.496-K</v>
      </c>
      <c r="P505" s="6" t="str">
        <f t="shared" si="3"/>
        <v>Providencia - Santiago - Región Metropolitana</v>
      </c>
      <c r="Q505" s="4" t="str">
        <f t="shared" si="4"/>
        <v>Inactivo</v>
      </c>
      <c r="R505" s="12" t="str">
        <f t="shared" si="5"/>
        <v>Riesgo Medio</v>
      </c>
    </row>
    <row r="506">
      <c r="A506" s="1" t="s">
        <v>1516</v>
      </c>
      <c r="B506" s="9" t="s">
        <v>1517</v>
      </c>
      <c r="C506" s="9" t="s">
        <v>4361</v>
      </c>
      <c r="D506" s="1" t="s">
        <v>1519</v>
      </c>
      <c r="E506" s="1" t="s">
        <v>26</v>
      </c>
      <c r="F506" s="1" t="s">
        <v>26</v>
      </c>
      <c r="G506" s="1" t="s">
        <v>27</v>
      </c>
      <c r="H506" s="2">
        <v>1.685E7</v>
      </c>
      <c r="I506" s="1">
        <v>15.0</v>
      </c>
      <c r="J506" s="9" t="s">
        <v>28</v>
      </c>
      <c r="K506" s="5">
        <v>46184.0</v>
      </c>
      <c r="L506" s="11" t="s">
        <v>100</v>
      </c>
      <c r="M506" s="11"/>
      <c r="N506" s="4" t="str">
        <f t="shared" si="1"/>
        <v>Hernán Rodríguez González</v>
      </c>
      <c r="O506" s="6" t="str">
        <f t="shared" si="2"/>
        <v>14.040.606-9</v>
      </c>
      <c r="P506" s="6" t="str">
        <f t="shared" si="3"/>
        <v>Valparaíso - Valparaíso - Región de Valparaíso</v>
      </c>
      <c r="Q506" s="4" t="str">
        <f t="shared" si="4"/>
        <v>Activo</v>
      </c>
      <c r="R506" s="12" t="str">
        <f t="shared" si="5"/>
        <v>Riesgo Bajo</v>
      </c>
    </row>
    <row r="507">
      <c r="A507" s="1" t="s">
        <v>1839</v>
      </c>
      <c r="B507" s="9" t="s">
        <v>1840</v>
      </c>
      <c r="C507" s="9" t="s">
        <v>1841</v>
      </c>
      <c r="D507" s="1" t="s">
        <v>1842</v>
      </c>
      <c r="E507" s="1" t="s">
        <v>56</v>
      </c>
      <c r="F507" s="1" t="s">
        <v>39</v>
      </c>
      <c r="G507" s="1" t="s">
        <v>40</v>
      </c>
      <c r="H507" s="2">
        <v>1290000.0</v>
      </c>
      <c r="I507" s="1">
        <v>60.0</v>
      </c>
      <c r="J507" s="9" t="s">
        <v>97</v>
      </c>
      <c r="K507" s="5">
        <v>46122.0</v>
      </c>
      <c r="L507" s="11" t="s">
        <v>160</v>
      </c>
      <c r="M507" s="11"/>
      <c r="N507" s="4" t="str">
        <f t="shared" si="1"/>
        <v>Hernán Rojas Vergara</v>
      </c>
      <c r="O507" s="6" t="str">
        <f t="shared" si="2"/>
        <v>21710510-7</v>
      </c>
      <c r="P507" s="6" t="str">
        <f t="shared" si="3"/>
        <v>Talcahuano - Concepción - Región del Biobío</v>
      </c>
      <c r="Q507" s="4" t="str">
        <f t="shared" si="4"/>
        <v>Inactivo</v>
      </c>
      <c r="R507" s="12" t="str">
        <f t="shared" si="5"/>
        <v>Riesgo Medio</v>
      </c>
    </row>
    <row r="508">
      <c r="A508" s="1" t="s">
        <v>4374</v>
      </c>
      <c r="B508" s="9" t="s">
        <v>4377</v>
      </c>
      <c r="C508" s="9" t="s">
        <v>1841</v>
      </c>
      <c r="D508" s="1" t="s">
        <v>4380</v>
      </c>
      <c r="E508" s="1" t="s">
        <v>61</v>
      </c>
      <c r="F508" s="1" t="s">
        <v>62</v>
      </c>
      <c r="G508" s="1" t="s">
        <v>63</v>
      </c>
      <c r="H508" s="2">
        <v>1.321E7</v>
      </c>
      <c r="I508" s="1">
        <v>45.0</v>
      </c>
      <c r="J508" s="9" t="s">
        <v>28</v>
      </c>
      <c r="K508" s="5">
        <v>46030.0</v>
      </c>
      <c r="L508" s="11" t="s">
        <v>160</v>
      </c>
      <c r="M508" s="11"/>
      <c r="N508" s="4" t="str">
        <f t="shared" si="1"/>
        <v>Hernán Rojas Vergara</v>
      </c>
      <c r="O508" s="6" t="str">
        <f t="shared" si="2"/>
        <v>13.398.324-7</v>
      </c>
      <c r="P508" s="6" t="str">
        <f t="shared" si="3"/>
        <v>Santiago Centro - Santiago - Región Metropolitana</v>
      </c>
      <c r="Q508" s="4" t="str">
        <f t="shared" si="4"/>
        <v>Activo</v>
      </c>
      <c r="R508" s="12" t="str">
        <f t="shared" si="5"/>
        <v>Riesgo Medio</v>
      </c>
    </row>
    <row r="509">
      <c r="A509" s="1" t="s">
        <v>3549</v>
      </c>
      <c r="B509" s="9" t="s">
        <v>3550</v>
      </c>
      <c r="C509" s="9" t="s">
        <v>3551</v>
      </c>
      <c r="D509" s="1" t="s">
        <v>3552</v>
      </c>
      <c r="E509" s="1" t="s">
        <v>109</v>
      </c>
      <c r="F509" s="1" t="s">
        <v>62</v>
      </c>
      <c r="G509" s="1" t="s">
        <v>63</v>
      </c>
      <c r="H509" s="2">
        <v>5330000.0</v>
      </c>
      <c r="I509" s="1">
        <v>0.0</v>
      </c>
      <c r="J509" s="9" t="s">
        <v>28</v>
      </c>
      <c r="K509" s="5">
        <v>46220.0</v>
      </c>
      <c r="L509" s="11" t="s">
        <v>181</v>
      </c>
      <c r="M509" s="11"/>
      <c r="N509" s="4" t="str">
        <f t="shared" si="1"/>
        <v>Hernán Silva Muñoz</v>
      </c>
      <c r="O509" s="6" t="str">
        <f t="shared" si="2"/>
        <v>17.187.426-6</v>
      </c>
      <c r="P509" s="6" t="str">
        <f t="shared" si="3"/>
        <v>Ñuñoa - Santiago - Región Metropolitana</v>
      </c>
      <c r="Q509" s="4" t="str">
        <f t="shared" si="4"/>
        <v>Activo</v>
      </c>
      <c r="R509" s="12" t="str">
        <f t="shared" si="5"/>
        <v>Riesgo Bajo</v>
      </c>
    </row>
    <row r="510">
      <c r="A510" s="1" t="s">
        <v>1789</v>
      </c>
      <c r="B510" s="9" t="s">
        <v>1790</v>
      </c>
      <c r="C510" s="9" t="s">
        <v>4381</v>
      </c>
      <c r="D510" s="1" t="s">
        <v>1792</v>
      </c>
      <c r="E510" s="1" t="s">
        <v>25</v>
      </c>
      <c r="F510" s="1" t="s">
        <v>26</v>
      </c>
      <c r="G510" s="1" t="s">
        <v>27</v>
      </c>
      <c r="H510" s="2">
        <v>2.118E7</v>
      </c>
      <c r="I510" s="1">
        <v>60.0</v>
      </c>
      <c r="J510" s="9" t="s">
        <v>28</v>
      </c>
      <c r="K510" s="5">
        <v>46029.0</v>
      </c>
      <c r="L510" s="11" t="s">
        <v>160</v>
      </c>
      <c r="M510" s="11"/>
      <c r="N510" s="4" t="str">
        <f t="shared" si="1"/>
        <v>Hernán Soto Muñoz</v>
      </c>
      <c r="O510" s="6" t="str">
        <f t="shared" si="2"/>
        <v>14.126.254-8</v>
      </c>
      <c r="P510" s="6" t="str">
        <f t="shared" si="3"/>
        <v>Viña del Mar - Valparaíso - Región de Valparaíso</v>
      </c>
      <c r="Q510" s="4" t="str">
        <f t="shared" si="4"/>
        <v>Activo</v>
      </c>
      <c r="R510" s="12" t="str">
        <f t="shared" si="5"/>
        <v>Riesgo Medio</v>
      </c>
    </row>
    <row r="511">
      <c r="A511" s="1" t="s">
        <v>4385</v>
      </c>
      <c r="B511" s="9" t="s">
        <v>4386</v>
      </c>
      <c r="C511" s="9" t="s">
        <v>4387</v>
      </c>
      <c r="D511" s="1" t="s">
        <v>4389</v>
      </c>
      <c r="E511" s="1" t="s">
        <v>61</v>
      </c>
      <c r="F511" s="1" t="s">
        <v>62</v>
      </c>
      <c r="G511" s="1" t="s">
        <v>63</v>
      </c>
      <c r="H511" s="2">
        <v>1.992E7</v>
      </c>
      <c r="I511" s="1">
        <v>45.0</v>
      </c>
      <c r="J511" s="9" t="s">
        <v>20</v>
      </c>
      <c r="K511" s="5">
        <v>46143.0</v>
      </c>
      <c r="L511" s="11" t="s">
        <v>160</v>
      </c>
      <c r="M511" s="11"/>
      <c r="N511" s="4" t="str">
        <f t="shared" si="1"/>
        <v>Hernán Soto Pérez</v>
      </c>
      <c r="O511" s="6" t="str">
        <f t="shared" si="2"/>
        <v>19.859.067-1</v>
      </c>
      <c r="P511" s="6" t="str">
        <f t="shared" si="3"/>
        <v>Santiago Centro - Santiago - Región Metropolitana</v>
      </c>
      <c r="Q511" s="4" t="str">
        <f t="shared" si="4"/>
        <v>En Revisión</v>
      </c>
      <c r="R511" s="12" t="str">
        <f t="shared" si="5"/>
        <v>Riesgo Medio</v>
      </c>
    </row>
    <row r="512">
      <c r="A512" s="1" t="s">
        <v>3405</v>
      </c>
      <c r="B512" s="9" t="s">
        <v>3406</v>
      </c>
      <c r="C512" s="9" t="s">
        <v>3407</v>
      </c>
      <c r="D512" s="1" t="s">
        <v>1305</v>
      </c>
      <c r="E512" s="1" t="s">
        <v>61</v>
      </c>
      <c r="F512" s="1" t="s">
        <v>62</v>
      </c>
      <c r="G512" s="1" t="s">
        <v>63</v>
      </c>
      <c r="H512" s="2">
        <v>3170000.0</v>
      </c>
      <c r="I512" s="1">
        <v>0.0</v>
      </c>
      <c r="J512" s="9" t="s">
        <v>28</v>
      </c>
      <c r="K512" s="5">
        <v>46068.0</v>
      </c>
      <c r="L512" s="11" t="s">
        <v>207</v>
      </c>
      <c r="M512" s="11"/>
      <c r="N512" s="4" t="str">
        <f t="shared" si="1"/>
        <v>Hernán Tapia Espinoza</v>
      </c>
      <c r="O512" s="6" t="str">
        <f t="shared" si="2"/>
        <v>21.727.277-4</v>
      </c>
      <c r="P512" s="6" t="str">
        <f t="shared" si="3"/>
        <v>Santiago Centro - Santiago - Región Metropolitana</v>
      </c>
      <c r="Q512" s="4" t="str">
        <f t="shared" si="4"/>
        <v>Activo</v>
      </c>
      <c r="R512" s="12" t="str">
        <f t="shared" si="5"/>
        <v>Riesgo Bajo</v>
      </c>
    </row>
    <row r="513">
      <c r="A513" s="1" t="s">
        <v>1300</v>
      </c>
      <c r="B513" s="9" t="s">
        <v>1301</v>
      </c>
      <c r="C513" s="9" t="s">
        <v>1303</v>
      </c>
      <c r="D513" s="1" t="s">
        <v>1305</v>
      </c>
      <c r="E513" s="1" t="s">
        <v>109</v>
      </c>
      <c r="F513" s="1" t="s">
        <v>62</v>
      </c>
      <c r="G513" s="1" t="s">
        <v>63</v>
      </c>
      <c r="H513" s="2">
        <v>1.052E7</v>
      </c>
      <c r="I513" s="1">
        <v>0.0</v>
      </c>
      <c r="J513" s="9" t="s">
        <v>97</v>
      </c>
      <c r="K513" s="5">
        <v>46197.0</v>
      </c>
      <c r="L513" s="11" t="s">
        <v>160</v>
      </c>
      <c r="M513" s="11"/>
      <c r="N513" s="4" t="str">
        <f t="shared" si="1"/>
        <v>Hernán Tapia Muñoz</v>
      </c>
      <c r="O513" s="6" t="str">
        <f t="shared" si="2"/>
        <v>21.587.796-6</v>
      </c>
      <c r="P513" s="6" t="str">
        <f t="shared" si="3"/>
        <v>Ñuñoa - Santiago - Región Metropolitana</v>
      </c>
      <c r="Q513" s="4" t="str">
        <f t="shared" si="4"/>
        <v>Inactivo</v>
      </c>
      <c r="R513" s="12" t="str">
        <f t="shared" si="5"/>
        <v>Riesgo Bajo</v>
      </c>
    </row>
    <row r="514">
      <c r="A514" s="1" t="s">
        <v>3216</v>
      </c>
      <c r="B514" s="9" t="s">
        <v>3217</v>
      </c>
      <c r="C514" s="9" t="s">
        <v>3218</v>
      </c>
      <c r="D514" s="1" t="s">
        <v>3219</v>
      </c>
      <c r="E514" s="1" t="s">
        <v>33</v>
      </c>
      <c r="F514" s="1" t="s">
        <v>33</v>
      </c>
      <c r="G514" s="1" t="s">
        <v>34</v>
      </c>
      <c r="H514" s="2">
        <v>1.455E7</v>
      </c>
      <c r="I514" s="1">
        <v>120.0</v>
      </c>
      <c r="J514" s="9" t="s">
        <v>20</v>
      </c>
      <c r="K514" s="5">
        <v>46228.0</v>
      </c>
      <c r="L514" s="11" t="s">
        <v>207</v>
      </c>
      <c r="M514" s="11"/>
      <c r="N514" s="4" t="str">
        <f t="shared" si="1"/>
        <v>Hernán Valenzuela Rodríguez</v>
      </c>
      <c r="O514" s="6" t="str">
        <f t="shared" si="2"/>
        <v>20.676.953-3</v>
      </c>
      <c r="P514" s="6" t="str">
        <f t="shared" si="3"/>
        <v>Puerto Montt - Puerto Montt - Región de Los Lagos</v>
      </c>
      <c r="Q514" s="4" t="str">
        <f t="shared" si="4"/>
        <v>En Revisión</v>
      </c>
      <c r="R514" s="12" t="str">
        <f t="shared" si="5"/>
        <v>Riesgo Medio</v>
      </c>
    </row>
    <row r="515">
      <c r="A515" s="1" t="s">
        <v>4404</v>
      </c>
      <c r="B515" s="9" t="s">
        <v>4406</v>
      </c>
      <c r="C515" s="9" t="s">
        <v>4408</v>
      </c>
      <c r="D515" s="1" t="s">
        <v>4410</v>
      </c>
      <c r="E515" s="1" t="s">
        <v>194</v>
      </c>
      <c r="F515" s="1" t="s">
        <v>62</v>
      </c>
      <c r="G515" s="1" t="s">
        <v>63</v>
      </c>
      <c r="H515" s="2">
        <v>1.496E7</v>
      </c>
      <c r="I515" s="1">
        <v>90.0</v>
      </c>
      <c r="J515" s="9" t="s">
        <v>28</v>
      </c>
      <c r="K515" s="5">
        <v>46187.0</v>
      </c>
      <c r="L515" s="11" t="s">
        <v>100</v>
      </c>
      <c r="M515" s="11"/>
      <c r="N515" s="4" t="str">
        <f t="shared" si="1"/>
        <v>Hernán Vergara Tapia</v>
      </c>
      <c r="O515" s="6" t="str">
        <f t="shared" si="2"/>
        <v>15.283.259-1</v>
      </c>
      <c r="P515" s="6" t="str">
        <f t="shared" si="3"/>
        <v>Las Condes - Santiago - Región Metropolitana</v>
      </c>
      <c r="Q515" s="4" t="str">
        <f t="shared" si="4"/>
        <v>Activo</v>
      </c>
      <c r="R515" s="12" t="str">
        <f t="shared" si="5"/>
        <v>Riesgo Alto</v>
      </c>
    </row>
    <row r="516">
      <c r="A516" s="1" t="s">
        <v>1187</v>
      </c>
      <c r="B516" s="9" t="s">
        <v>1189</v>
      </c>
      <c r="C516" s="9" t="s">
        <v>4412</v>
      </c>
      <c r="D516" s="1" t="s">
        <v>1193</v>
      </c>
      <c r="E516" s="1" t="s">
        <v>61</v>
      </c>
      <c r="F516" s="1" t="s">
        <v>62</v>
      </c>
      <c r="G516" s="1" t="s">
        <v>63</v>
      </c>
      <c r="H516" s="2">
        <v>7810000.0</v>
      </c>
      <c r="I516" s="1">
        <v>30.0</v>
      </c>
      <c r="J516" s="9" t="s">
        <v>20</v>
      </c>
      <c r="K516" s="5">
        <v>46071.0</v>
      </c>
      <c r="L516" s="11" t="s">
        <v>207</v>
      </c>
      <c r="M516" s="11"/>
      <c r="N516" s="4" t="str">
        <f t="shared" si="1"/>
        <v>Ignacio Araya Pérez</v>
      </c>
      <c r="O516" s="6" t="str">
        <f t="shared" si="2"/>
        <v>13.947.751-1</v>
      </c>
      <c r="P516" s="6" t="str">
        <f t="shared" si="3"/>
        <v>Santiago Centro - Santiago - Región Metropolitana</v>
      </c>
      <c r="Q516" s="4" t="str">
        <f t="shared" si="4"/>
        <v>En Revisión</v>
      </c>
      <c r="R516" s="12" t="str">
        <f t="shared" si="5"/>
        <v>Riesgo Medio</v>
      </c>
    </row>
    <row r="517">
      <c r="A517" s="1" t="s">
        <v>3835</v>
      </c>
      <c r="B517" s="9" t="s">
        <v>3837</v>
      </c>
      <c r="C517" s="9" t="s">
        <v>3838</v>
      </c>
      <c r="D517" s="1" t="s">
        <v>3839</v>
      </c>
      <c r="E517" s="1" t="s">
        <v>72</v>
      </c>
      <c r="F517" s="1" t="s">
        <v>62</v>
      </c>
      <c r="G517" s="1" t="s">
        <v>63</v>
      </c>
      <c r="H517" s="2">
        <v>8600000.0</v>
      </c>
      <c r="I517" s="1">
        <v>45.0</v>
      </c>
      <c r="J517" s="9" t="s">
        <v>20</v>
      </c>
      <c r="K517" s="5">
        <v>46189.0</v>
      </c>
      <c r="L517" s="11" t="s">
        <v>207</v>
      </c>
      <c r="M517" s="11"/>
      <c r="N517" s="4" t="str">
        <f t="shared" si="1"/>
        <v>Ignacio Araya Rojas</v>
      </c>
      <c r="O517" s="6" t="str">
        <f t="shared" si="2"/>
        <v>18.519.776-2</v>
      </c>
      <c r="P517" s="6" t="str">
        <f t="shared" si="3"/>
        <v>Providencia - Santiago - Región Metropolitana</v>
      </c>
      <c r="Q517" s="4" t="str">
        <f t="shared" si="4"/>
        <v>En Revisión</v>
      </c>
      <c r="R517" s="12" t="str">
        <f t="shared" si="5"/>
        <v>Riesgo Medio</v>
      </c>
    </row>
    <row r="518">
      <c r="A518" s="1" t="s">
        <v>1941</v>
      </c>
      <c r="B518" s="9" t="s">
        <v>1942</v>
      </c>
      <c r="C518" s="9" t="s">
        <v>1943</v>
      </c>
      <c r="D518" s="1" t="s">
        <v>1944</v>
      </c>
      <c r="E518" s="1" t="s">
        <v>26</v>
      </c>
      <c r="F518" s="1" t="s">
        <v>26</v>
      </c>
      <c r="G518" s="1" t="s">
        <v>27</v>
      </c>
      <c r="H518" s="2">
        <v>1.568E7</v>
      </c>
      <c r="I518" s="1">
        <v>0.0</v>
      </c>
      <c r="J518" s="9" t="s">
        <v>97</v>
      </c>
      <c r="K518" s="5">
        <v>46056.0</v>
      </c>
      <c r="L518" s="11" t="s">
        <v>100</v>
      </c>
      <c r="M518" s="11"/>
      <c r="N518" s="4" t="str">
        <f t="shared" si="1"/>
        <v>Ignacio Araya Soto</v>
      </c>
      <c r="O518" s="6" t="str">
        <f t="shared" si="2"/>
        <v>21015512-3</v>
      </c>
      <c r="P518" s="6" t="str">
        <f t="shared" si="3"/>
        <v>Valparaíso - Valparaíso - Región de Valparaíso</v>
      </c>
      <c r="Q518" s="4" t="str">
        <f t="shared" si="4"/>
        <v>Inactivo</v>
      </c>
      <c r="R518" s="12" t="str">
        <f t="shared" si="5"/>
        <v>Riesgo Bajo</v>
      </c>
    </row>
    <row r="519">
      <c r="A519" s="1" t="s">
        <v>327</v>
      </c>
      <c r="B519" s="9" t="s">
        <v>328</v>
      </c>
      <c r="C519" s="9" t="s">
        <v>4417</v>
      </c>
      <c r="D519" s="1" t="s">
        <v>332</v>
      </c>
      <c r="E519" s="1" t="s">
        <v>45</v>
      </c>
      <c r="F519" s="1" t="s">
        <v>45</v>
      </c>
      <c r="G519" s="1" t="s">
        <v>46</v>
      </c>
      <c r="H519" s="2">
        <v>8600000.0</v>
      </c>
      <c r="I519" s="1">
        <v>0.0</v>
      </c>
      <c r="J519" s="9" t="s">
        <v>20</v>
      </c>
      <c r="K519" s="5">
        <v>46192.0</v>
      </c>
      <c r="L519" s="11" t="s">
        <v>207</v>
      </c>
      <c r="M519" s="11"/>
      <c r="N519" s="4" t="str">
        <f t="shared" si="1"/>
        <v>Ignacio Contreras Díaz</v>
      </c>
      <c r="O519" s="6" t="str">
        <f t="shared" si="2"/>
        <v>13.054.944-6</v>
      </c>
      <c r="P519" s="6" t="str">
        <f t="shared" si="3"/>
        <v>Temuco - Temuco - Región de la Araucanía</v>
      </c>
      <c r="Q519" s="4" t="str">
        <f t="shared" si="4"/>
        <v>En Revisión</v>
      </c>
      <c r="R519" s="12" t="str">
        <f t="shared" si="5"/>
        <v>Riesgo Medio</v>
      </c>
    </row>
    <row r="520">
      <c r="A520" s="1" t="s">
        <v>2540</v>
      </c>
      <c r="B520" s="9" t="s">
        <v>2541</v>
      </c>
      <c r="C520" s="9" t="s">
        <v>2542</v>
      </c>
      <c r="D520" s="1" t="s">
        <v>2543</v>
      </c>
      <c r="E520" s="1" t="s">
        <v>61</v>
      </c>
      <c r="F520" s="1" t="s">
        <v>62</v>
      </c>
      <c r="G520" s="1" t="s">
        <v>63</v>
      </c>
      <c r="H520" s="2">
        <v>9310000.0</v>
      </c>
      <c r="I520" s="1">
        <v>45.0</v>
      </c>
      <c r="J520" s="9" t="s">
        <v>28</v>
      </c>
      <c r="K520" s="5">
        <v>46196.0</v>
      </c>
      <c r="L520" s="11" t="s">
        <v>100</v>
      </c>
      <c r="M520" s="11"/>
      <c r="N520" s="4" t="str">
        <f t="shared" si="1"/>
        <v>Ignacio Contreras Pérez</v>
      </c>
      <c r="O520" s="6" t="str">
        <f t="shared" si="2"/>
        <v>11.920.183-K</v>
      </c>
      <c r="P520" s="6" t="str">
        <f t="shared" si="3"/>
        <v>Santiago Centro - Santiago - Región Metropolitana</v>
      </c>
      <c r="Q520" s="4" t="str">
        <f t="shared" si="4"/>
        <v>Activo</v>
      </c>
      <c r="R520" s="12" t="str">
        <f t="shared" si="5"/>
        <v>Riesgo Medio</v>
      </c>
    </row>
    <row r="521">
      <c r="A521" s="1" t="s">
        <v>3231</v>
      </c>
      <c r="B521" s="9" t="s">
        <v>3232</v>
      </c>
      <c r="C521" s="9" t="s">
        <v>4431</v>
      </c>
      <c r="D521" s="1" t="s">
        <v>3234</v>
      </c>
      <c r="E521" s="1" t="s">
        <v>39</v>
      </c>
      <c r="F521" s="1" t="s">
        <v>39</v>
      </c>
      <c r="G521" s="1" t="s">
        <v>40</v>
      </c>
      <c r="H521" s="2">
        <v>1.801E7</v>
      </c>
      <c r="I521" s="1">
        <v>30.0</v>
      </c>
      <c r="J521" s="9" t="s">
        <v>20</v>
      </c>
      <c r="K521" s="5">
        <v>46124.0</v>
      </c>
      <c r="L521" s="11" t="s">
        <v>160</v>
      </c>
      <c r="M521" s="11"/>
      <c r="N521" s="4" t="str">
        <f t="shared" si="1"/>
        <v>Ignacio Contreras Silva</v>
      </c>
      <c r="O521" s="6" t="str">
        <f t="shared" si="2"/>
        <v>12444565-7</v>
      </c>
      <c r="P521" s="6" t="str">
        <f t="shared" si="3"/>
        <v>Concepción - Concepción - Región del Biobío</v>
      </c>
      <c r="Q521" s="4" t="str">
        <f t="shared" si="4"/>
        <v>En Revisión</v>
      </c>
      <c r="R521" s="12" t="str">
        <f t="shared" si="5"/>
        <v>Riesgo Medio</v>
      </c>
    </row>
    <row r="522">
      <c r="A522" s="1" t="s">
        <v>4140</v>
      </c>
      <c r="B522" s="9" t="s">
        <v>4141</v>
      </c>
      <c r="C522" s="9" t="s">
        <v>4436</v>
      </c>
      <c r="D522" s="1" t="s">
        <v>4143</v>
      </c>
      <c r="E522" s="1" t="s">
        <v>72</v>
      </c>
      <c r="F522" s="1" t="s">
        <v>62</v>
      </c>
      <c r="G522" s="1" t="s">
        <v>63</v>
      </c>
      <c r="H522" s="2">
        <v>1.126E7</v>
      </c>
      <c r="I522" s="1">
        <v>0.0</v>
      </c>
      <c r="J522" s="9" t="s">
        <v>20</v>
      </c>
      <c r="K522" s="5">
        <v>46062.0</v>
      </c>
      <c r="L522" s="11" t="s">
        <v>181</v>
      </c>
      <c r="M522" s="11"/>
      <c r="N522" s="4" t="str">
        <f t="shared" si="1"/>
        <v>Ignacio Díaz Contreras</v>
      </c>
      <c r="O522" s="6" t="str">
        <f t="shared" si="2"/>
        <v>15.566.692-2</v>
      </c>
      <c r="P522" s="6" t="str">
        <f t="shared" si="3"/>
        <v>Providencia - Santiago - Región Metropolitana</v>
      </c>
      <c r="Q522" s="4" t="str">
        <f t="shared" si="4"/>
        <v>En Revisión</v>
      </c>
      <c r="R522" s="12" t="str">
        <f t="shared" si="5"/>
        <v>Riesgo Medio</v>
      </c>
    </row>
    <row r="523">
      <c r="A523" s="1" t="s">
        <v>3989</v>
      </c>
      <c r="B523" s="9" t="s">
        <v>3990</v>
      </c>
      <c r="C523" s="9" t="s">
        <v>3991</v>
      </c>
      <c r="D523" s="1" t="s">
        <v>3992</v>
      </c>
      <c r="E523" s="1" t="s">
        <v>194</v>
      </c>
      <c r="F523" s="1" t="s">
        <v>62</v>
      </c>
      <c r="G523" s="1" t="s">
        <v>63</v>
      </c>
      <c r="H523" s="2">
        <v>1.423E7</v>
      </c>
      <c r="I523" s="1">
        <v>90.0</v>
      </c>
      <c r="J523" s="9" t="s">
        <v>97</v>
      </c>
      <c r="K523" s="5">
        <v>46224.0</v>
      </c>
      <c r="L523" s="11" t="s">
        <v>199</v>
      </c>
      <c r="M523" s="11"/>
      <c r="N523" s="4" t="str">
        <f t="shared" si="1"/>
        <v>Ignacio Díaz González</v>
      </c>
      <c r="O523" s="6" t="str">
        <f t="shared" si="2"/>
        <v>20639838-0</v>
      </c>
      <c r="P523" s="6" t="str">
        <f t="shared" si="3"/>
        <v>Las Condes - Santiago - Región Metropolitana</v>
      </c>
      <c r="Q523" s="4" t="str">
        <f t="shared" si="4"/>
        <v>Inactivo</v>
      </c>
      <c r="R523" s="12" t="str">
        <f t="shared" si="5"/>
        <v>Riesgo Medio</v>
      </c>
    </row>
    <row r="524">
      <c r="A524" s="1" t="s">
        <v>664</v>
      </c>
      <c r="B524" s="9" t="s">
        <v>665</v>
      </c>
      <c r="C524" s="9" t="s">
        <v>4447</v>
      </c>
      <c r="D524" s="1" t="s">
        <v>667</v>
      </c>
      <c r="E524" s="1" t="s">
        <v>25</v>
      </c>
      <c r="F524" s="1" t="s">
        <v>26</v>
      </c>
      <c r="G524" s="1" t="s">
        <v>27</v>
      </c>
      <c r="H524" s="2">
        <v>2.01E7</v>
      </c>
      <c r="I524" s="1">
        <v>30.0</v>
      </c>
      <c r="J524" s="9" t="s">
        <v>20</v>
      </c>
      <c r="K524" s="5">
        <v>46147.0</v>
      </c>
      <c r="L524" s="11" t="s">
        <v>207</v>
      </c>
      <c r="M524" s="11"/>
      <c r="N524" s="4" t="str">
        <f t="shared" si="1"/>
        <v>Ignacio Díaz López</v>
      </c>
      <c r="O524" s="6" t="str">
        <f t="shared" si="2"/>
        <v>17.942.818-3</v>
      </c>
      <c r="P524" s="6" t="str">
        <f t="shared" si="3"/>
        <v>Viña del Mar - Valparaíso - Región de Valparaíso</v>
      </c>
      <c r="Q524" s="4" t="str">
        <f t="shared" si="4"/>
        <v>En Revisión</v>
      </c>
      <c r="R524" s="12" t="str">
        <f t="shared" si="5"/>
        <v>Riesgo Medio</v>
      </c>
    </row>
    <row r="525">
      <c r="A525" s="1" t="s">
        <v>584</v>
      </c>
      <c r="B525" s="9" t="s">
        <v>585</v>
      </c>
      <c r="C525" s="9" t="s">
        <v>587</v>
      </c>
      <c r="D525" s="1" t="s">
        <v>588</v>
      </c>
      <c r="E525" s="1" t="s">
        <v>56</v>
      </c>
      <c r="F525" s="1" t="s">
        <v>39</v>
      </c>
      <c r="G525" s="1" t="s">
        <v>40</v>
      </c>
      <c r="H525" s="2">
        <v>1.787E7</v>
      </c>
      <c r="I525" s="1">
        <v>15.0</v>
      </c>
      <c r="J525" s="9" t="s">
        <v>97</v>
      </c>
      <c r="K525" s="5">
        <v>46047.0</v>
      </c>
      <c r="L525" s="11" t="s">
        <v>160</v>
      </c>
      <c r="M525" s="11"/>
      <c r="N525" s="4" t="str">
        <f t="shared" si="1"/>
        <v>Ignacio Espinoza Araya</v>
      </c>
      <c r="O525" s="6" t="str">
        <f t="shared" si="2"/>
        <v>21.681.359-7</v>
      </c>
      <c r="P525" s="6" t="str">
        <f t="shared" si="3"/>
        <v>Talcahuano - Concepción - Región del Biobío</v>
      </c>
      <c r="Q525" s="4" t="str">
        <f t="shared" si="4"/>
        <v>Inactivo</v>
      </c>
      <c r="R525" s="12" t="str">
        <f t="shared" si="5"/>
        <v>Riesgo Bajo</v>
      </c>
    </row>
    <row r="526">
      <c r="A526" s="1" t="s">
        <v>4312</v>
      </c>
      <c r="B526" s="9" t="s">
        <v>4313</v>
      </c>
      <c r="C526" s="9" t="s">
        <v>4314</v>
      </c>
      <c r="D526" s="1" t="s">
        <v>4315</v>
      </c>
      <c r="E526" s="1" t="s">
        <v>18</v>
      </c>
      <c r="F526" s="1" t="s">
        <v>18</v>
      </c>
      <c r="G526" s="1" t="s">
        <v>19</v>
      </c>
      <c r="H526" s="2">
        <v>1.45E7</v>
      </c>
      <c r="I526" s="1">
        <v>0.0</v>
      </c>
      <c r="J526" s="9" t="s">
        <v>20</v>
      </c>
      <c r="K526" s="5">
        <v>46095.0</v>
      </c>
      <c r="L526" s="11" t="s">
        <v>100</v>
      </c>
      <c r="M526" s="11"/>
      <c r="N526" s="4" t="str">
        <f t="shared" si="1"/>
        <v>Ignacio Espinoza Contreras</v>
      </c>
      <c r="O526" s="6" t="str">
        <f t="shared" si="2"/>
        <v>21343443-K</v>
      </c>
      <c r="P526" s="6" t="str">
        <f t="shared" si="3"/>
        <v>La Serena - La Serena - Región de Coquimbo</v>
      </c>
      <c r="Q526" s="4" t="str">
        <f t="shared" si="4"/>
        <v>En Revisión</v>
      </c>
      <c r="R526" s="12" t="str">
        <f t="shared" si="5"/>
        <v>Riesgo Medio</v>
      </c>
    </row>
    <row r="527">
      <c r="A527" s="1" t="s">
        <v>4454</v>
      </c>
      <c r="B527" s="9" t="s">
        <v>4455</v>
      </c>
      <c r="C527" s="9" t="s">
        <v>4456</v>
      </c>
      <c r="D527" s="1" t="s">
        <v>4457</v>
      </c>
      <c r="E527" s="1" t="s">
        <v>118</v>
      </c>
      <c r="F527" s="1" t="s">
        <v>62</v>
      </c>
      <c r="G527" s="1" t="s">
        <v>63</v>
      </c>
      <c r="H527" s="2">
        <v>3140000.0</v>
      </c>
      <c r="I527" s="1">
        <v>0.0</v>
      </c>
      <c r="J527" s="9" t="s">
        <v>28</v>
      </c>
      <c r="K527" s="5">
        <v>46144.0</v>
      </c>
      <c r="L527" s="11" t="s">
        <v>160</v>
      </c>
      <c r="M527" s="11"/>
      <c r="N527" s="4" t="str">
        <f t="shared" si="1"/>
        <v>Ignacio Fuentes Morales</v>
      </c>
      <c r="O527" s="6" t="str">
        <f t="shared" si="2"/>
        <v>17.644.890-8</v>
      </c>
      <c r="P527" s="6" t="str">
        <f t="shared" si="3"/>
        <v>Maipú - Santiago - Región Metropolitana</v>
      </c>
      <c r="Q527" s="4" t="str">
        <f t="shared" si="4"/>
        <v>Activo</v>
      </c>
      <c r="R527" s="12" t="str">
        <f t="shared" si="5"/>
        <v>Riesgo Bajo</v>
      </c>
    </row>
    <row r="528">
      <c r="A528" s="1" t="s">
        <v>836</v>
      </c>
      <c r="B528" s="9" t="s">
        <v>837</v>
      </c>
      <c r="C528" s="9" t="s">
        <v>4462</v>
      </c>
      <c r="D528" s="1" t="s">
        <v>839</v>
      </c>
      <c r="E528" s="1" t="s">
        <v>61</v>
      </c>
      <c r="F528" s="1" t="s">
        <v>62</v>
      </c>
      <c r="G528" s="1" t="s">
        <v>63</v>
      </c>
      <c r="H528" s="2">
        <v>1.189E7</v>
      </c>
      <c r="I528" s="1">
        <v>15.0</v>
      </c>
      <c r="J528" s="9" t="s">
        <v>20</v>
      </c>
      <c r="K528" s="5">
        <v>46194.0</v>
      </c>
      <c r="L528" s="11" t="s">
        <v>160</v>
      </c>
      <c r="M528" s="11"/>
      <c r="N528" s="4" t="str">
        <f t="shared" si="1"/>
        <v>Ignacio Fuentes Sepúlveda</v>
      </c>
      <c r="O528" s="6" t="str">
        <f t="shared" si="2"/>
        <v>20.597.692-K</v>
      </c>
      <c r="P528" s="6" t="str">
        <f t="shared" si="3"/>
        <v>Santiago Centro - Santiago - Región Metropolitana</v>
      </c>
      <c r="Q528" s="4" t="str">
        <f t="shared" si="4"/>
        <v>En Revisión</v>
      </c>
      <c r="R528" s="12" t="str">
        <f t="shared" si="5"/>
        <v>Riesgo Medio</v>
      </c>
    </row>
    <row r="529">
      <c r="A529" s="1" t="s">
        <v>169</v>
      </c>
      <c r="B529" s="9" t="s">
        <v>170</v>
      </c>
      <c r="C529" s="9" t="s">
        <v>171</v>
      </c>
      <c r="D529" s="1" t="s">
        <v>172</v>
      </c>
      <c r="E529" s="1" t="s">
        <v>109</v>
      </c>
      <c r="F529" s="1" t="s">
        <v>62</v>
      </c>
      <c r="G529" s="1" t="s">
        <v>63</v>
      </c>
      <c r="H529" s="2">
        <v>4690000.0</v>
      </c>
      <c r="I529" s="1">
        <v>0.0</v>
      </c>
      <c r="J529" s="9" t="s">
        <v>20</v>
      </c>
      <c r="K529" s="5">
        <v>46127.0</v>
      </c>
      <c r="L529" s="11" t="s">
        <v>181</v>
      </c>
      <c r="M529" s="11"/>
      <c r="N529" s="4" t="str">
        <f t="shared" si="1"/>
        <v>Ignacio Fuentes Silva</v>
      </c>
      <c r="O529" s="6" t="str">
        <f t="shared" si="2"/>
        <v>15782346-2</v>
      </c>
      <c r="P529" s="6" t="str">
        <f t="shared" si="3"/>
        <v>Ñuñoa - Santiago - Región Metropolitana</v>
      </c>
      <c r="Q529" s="4" t="str">
        <f t="shared" si="4"/>
        <v>En Revisión</v>
      </c>
      <c r="R529" s="12" t="str">
        <f t="shared" si="5"/>
        <v>Riesgo Medio</v>
      </c>
    </row>
    <row r="530">
      <c r="A530" s="1" t="s">
        <v>3748</v>
      </c>
      <c r="B530" s="9" t="s">
        <v>3749</v>
      </c>
      <c r="C530" s="9" t="s">
        <v>4478</v>
      </c>
      <c r="D530" s="1" t="s">
        <v>3751</v>
      </c>
      <c r="E530" s="1" t="s">
        <v>18</v>
      </c>
      <c r="F530" s="1" t="s">
        <v>18</v>
      </c>
      <c r="G530" s="1" t="s">
        <v>19</v>
      </c>
      <c r="H530" s="2">
        <v>1.821E7</v>
      </c>
      <c r="I530" s="1">
        <v>0.0</v>
      </c>
      <c r="J530" s="9" t="s">
        <v>20</v>
      </c>
      <c r="K530" s="5">
        <v>46131.0</v>
      </c>
      <c r="L530" s="11" t="s">
        <v>160</v>
      </c>
      <c r="M530" s="11"/>
      <c r="N530" s="4" t="str">
        <f t="shared" si="1"/>
        <v>Ignacio González Fuentes</v>
      </c>
      <c r="O530" s="6" t="str">
        <f t="shared" si="2"/>
        <v>22262140-4</v>
      </c>
      <c r="P530" s="6" t="str">
        <f t="shared" si="3"/>
        <v>La Serena - La Serena - Región de Coquimbo</v>
      </c>
      <c r="Q530" s="4" t="str">
        <f t="shared" si="4"/>
        <v>En Revisión</v>
      </c>
      <c r="R530" s="12" t="str">
        <f t="shared" si="5"/>
        <v>Riesgo Medio</v>
      </c>
    </row>
    <row r="531">
      <c r="A531" s="1" t="s">
        <v>4427</v>
      </c>
      <c r="B531" s="9" t="s">
        <v>4428</v>
      </c>
      <c r="C531" s="9" t="s">
        <v>4480</v>
      </c>
      <c r="D531" s="1" t="s">
        <v>4430</v>
      </c>
      <c r="E531" s="1" t="s">
        <v>39</v>
      </c>
      <c r="F531" s="1" t="s">
        <v>39</v>
      </c>
      <c r="G531" s="1" t="s">
        <v>40</v>
      </c>
      <c r="H531" s="2">
        <v>2.036E7</v>
      </c>
      <c r="I531" s="1">
        <v>15.0</v>
      </c>
      <c r="J531" s="9" t="s">
        <v>97</v>
      </c>
      <c r="K531" s="5">
        <v>46060.0</v>
      </c>
      <c r="L531" s="11" t="s">
        <v>160</v>
      </c>
      <c r="M531" s="11"/>
      <c r="N531" s="4" t="str">
        <f t="shared" si="1"/>
        <v>Ignacio González Rojas</v>
      </c>
      <c r="O531" s="6" t="str">
        <f t="shared" si="2"/>
        <v>18.689.610-6</v>
      </c>
      <c r="P531" s="6" t="str">
        <f t="shared" si="3"/>
        <v>Concepción - Concepción - Región del Biobío</v>
      </c>
      <c r="Q531" s="4" t="str">
        <f t="shared" si="4"/>
        <v>Inactivo</v>
      </c>
      <c r="R531" s="12" t="str">
        <f t="shared" si="5"/>
        <v>Riesgo Bajo</v>
      </c>
    </row>
    <row r="532">
      <c r="A532" s="1" t="s">
        <v>3934</v>
      </c>
      <c r="B532" s="9" t="s">
        <v>3935</v>
      </c>
      <c r="C532" s="9" t="s">
        <v>4488</v>
      </c>
      <c r="D532" s="1" t="s">
        <v>3937</v>
      </c>
      <c r="E532" s="1" t="s">
        <v>39</v>
      </c>
      <c r="F532" s="1" t="s">
        <v>39</v>
      </c>
      <c r="G532" s="1" t="s">
        <v>40</v>
      </c>
      <c r="H532" s="2">
        <v>9690000.0</v>
      </c>
      <c r="I532" s="1">
        <v>120.0</v>
      </c>
      <c r="J532" s="9" t="s">
        <v>28</v>
      </c>
      <c r="K532" s="5">
        <v>46043.0</v>
      </c>
      <c r="L532" s="11" t="s">
        <v>207</v>
      </c>
      <c r="M532" s="11"/>
      <c r="N532" s="4" t="str">
        <f t="shared" si="1"/>
        <v>Ignacio López Morales</v>
      </c>
      <c r="O532" s="6" t="str">
        <f t="shared" si="2"/>
        <v>15.835.786-0</v>
      </c>
      <c r="P532" s="6" t="str">
        <f t="shared" si="3"/>
        <v>Concepción - Concepción - Región del Biobío</v>
      </c>
      <c r="Q532" s="4" t="str">
        <f t="shared" si="4"/>
        <v>Activo</v>
      </c>
      <c r="R532" s="12" t="str">
        <f t="shared" si="5"/>
        <v>Riesgo Alto</v>
      </c>
    </row>
    <row r="533">
      <c r="A533" s="1" t="s">
        <v>4084</v>
      </c>
      <c r="B533" s="9" t="s">
        <v>4085</v>
      </c>
      <c r="C533" s="9" t="s">
        <v>4086</v>
      </c>
      <c r="D533" s="1" t="s">
        <v>4087</v>
      </c>
      <c r="E533" s="1" t="s">
        <v>72</v>
      </c>
      <c r="F533" s="1" t="s">
        <v>62</v>
      </c>
      <c r="G533" s="1" t="s">
        <v>63</v>
      </c>
      <c r="H533" s="2">
        <v>3880000.0</v>
      </c>
      <c r="I533" s="1">
        <v>0.0</v>
      </c>
      <c r="J533" s="9" t="s">
        <v>97</v>
      </c>
      <c r="K533" s="5">
        <v>46131.0</v>
      </c>
      <c r="L533" s="11" t="s">
        <v>160</v>
      </c>
      <c r="M533" s="11"/>
      <c r="N533" s="4" t="str">
        <f t="shared" si="1"/>
        <v>Ignacio López Soto</v>
      </c>
      <c r="O533" s="6" t="str">
        <f t="shared" si="2"/>
        <v>21.472.222-2</v>
      </c>
      <c r="P533" s="6" t="str">
        <f t="shared" si="3"/>
        <v>Providencia - Santiago - Región Metropolitana</v>
      </c>
      <c r="Q533" s="4" t="str">
        <f t="shared" si="4"/>
        <v>Inactivo</v>
      </c>
      <c r="R533" s="12" t="str">
        <f t="shared" si="5"/>
        <v>Riesgo Bajo</v>
      </c>
    </row>
    <row r="534">
      <c r="A534" s="1" t="s">
        <v>4325</v>
      </c>
      <c r="B534" s="9" t="s">
        <v>4326</v>
      </c>
      <c r="C534" s="9" t="s">
        <v>4500</v>
      </c>
      <c r="D534" s="1" t="s">
        <v>2989</v>
      </c>
      <c r="E534" s="1" t="s">
        <v>45</v>
      </c>
      <c r="F534" s="1" t="s">
        <v>45</v>
      </c>
      <c r="G534" s="1" t="s">
        <v>46</v>
      </c>
      <c r="H534" s="2">
        <v>1.793E7</v>
      </c>
      <c r="I534" s="1">
        <v>90.0</v>
      </c>
      <c r="J534" s="9" t="s">
        <v>97</v>
      </c>
      <c r="K534" s="5">
        <v>46150.0</v>
      </c>
      <c r="L534" s="11" t="s">
        <v>207</v>
      </c>
      <c r="M534" s="11"/>
      <c r="N534" s="4" t="str">
        <f t="shared" si="1"/>
        <v>Ignacio Pérez Muñoz</v>
      </c>
      <c r="O534" s="6" t="str">
        <f t="shared" si="2"/>
        <v>17181860-9</v>
      </c>
      <c r="P534" s="6" t="str">
        <f t="shared" si="3"/>
        <v>Temuco - Temuco - Región de la Araucanía</v>
      </c>
      <c r="Q534" s="4" t="str">
        <f t="shared" si="4"/>
        <v>Inactivo</v>
      </c>
      <c r="R534" s="12" t="str">
        <f t="shared" si="5"/>
        <v>Riesgo Medio</v>
      </c>
    </row>
    <row r="535">
      <c r="A535" s="1" t="s">
        <v>4347</v>
      </c>
      <c r="B535" s="9" t="s">
        <v>4348</v>
      </c>
      <c r="C535" s="9" t="s">
        <v>4350</v>
      </c>
      <c r="D535" s="1" t="s">
        <v>4351</v>
      </c>
      <c r="E535" s="1" t="s">
        <v>25</v>
      </c>
      <c r="F535" s="1" t="s">
        <v>26</v>
      </c>
      <c r="G535" s="1" t="s">
        <v>27</v>
      </c>
      <c r="H535" s="2">
        <v>2.061E7</v>
      </c>
      <c r="I535" s="1">
        <v>90.0</v>
      </c>
      <c r="J535" s="9" t="s">
        <v>97</v>
      </c>
      <c r="K535" s="5">
        <v>46227.0</v>
      </c>
      <c r="L535" s="11" t="s">
        <v>100</v>
      </c>
      <c r="M535" s="11"/>
      <c r="N535" s="4" t="str">
        <f t="shared" si="1"/>
        <v>Ignacio Pérez Rodríguez</v>
      </c>
      <c r="O535" s="6" t="str">
        <f t="shared" si="2"/>
        <v>11.394.486-4</v>
      </c>
      <c r="P535" s="6" t="str">
        <f t="shared" si="3"/>
        <v>Viña del Mar - Valparaíso - Región de Valparaíso</v>
      </c>
      <c r="Q535" s="4" t="str">
        <f t="shared" si="4"/>
        <v>Inactivo</v>
      </c>
      <c r="R535" s="12" t="str">
        <f t="shared" si="5"/>
        <v>Riesgo Medio</v>
      </c>
    </row>
    <row r="536">
      <c r="A536" s="1" t="s">
        <v>3620</v>
      </c>
      <c r="B536" s="9" t="s">
        <v>3622</v>
      </c>
      <c r="C536" s="9" t="s">
        <v>3624</v>
      </c>
      <c r="D536" s="1" t="s">
        <v>3626</v>
      </c>
      <c r="E536" s="1" t="s">
        <v>109</v>
      </c>
      <c r="F536" s="1" t="s">
        <v>62</v>
      </c>
      <c r="G536" s="1" t="s">
        <v>63</v>
      </c>
      <c r="H536" s="2">
        <v>4810000.0</v>
      </c>
      <c r="I536" s="1">
        <v>15.0</v>
      </c>
      <c r="J536" s="9" t="s">
        <v>20</v>
      </c>
      <c r="K536" s="5">
        <v>46028.0</v>
      </c>
      <c r="L536" s="11" t="s">
        <v>207</v>
      </c>
      <c r="M536" s="11"/>
      <c r="N536" s="4" t="str">
        <f t="shared" si="1"/>
        <v>Ignacio Pérez Tapia</v>
      </c>
      <c r="O536" s="6" t="str">
        <f t="shared" si="2"/>
        <v>11.685.287-7</v>
      </c>
      <c r="P536" s="6" t="str">
        <f t="shared" si="3"/>
        <v>Ñuñoa - Santiago - Región Metropolitana</v>
      </c>
      <c r="Q536" s="4" t="str">
        <f t="shared" si="4"/>
        <v>En Revisión</v>
      </c>
      <c r="R536" s="12" t="str">
        <f t="shared" si="5"/>
        <v>Riesgo Medio</v>
      </c>
    </row>
    <row r="537">
      <c r="A537" s="1" t="s">
        <v>2844</v>
      </c>
      <c r="B537" s="9" t="s">
        <v>2845</v>
      </c>
      <c r="C537" s="9" t="s">
        <v>2988</v>
      </c>
      <c r="D537" s="1" t="s">
        <v>2847</v>
      </c>
      <c r="E537" s="1" t="s">
        <v>118</v>
      </c>
      <c r="F537" s="1" t="s">
        <v>62</v>
      </c>
      <c r="G537" s="1" t="s">
        <v>63</v>
      </c>
      <c r="H537" s="2">
        <v>9380000.0</v>
      </c>
      <c r="I537" s="1">
        <v>0.0</v>
      </c>
      <c r="J537" s="9" t="s">
        <v>28</v>
      </c>
      <c r="K537" s="5">
        <v>46030.0</v>
      </c>
      <c r="L537" s="11" t="s">
        <v>207</v>
      </c>
      <c r="M537" s="11"/>
      <c r="N537" s="4" t="str">
        <f t="shared" si="1"/>
        <v>Ignacio Pérez Vergara</v>
      </c>
      <c r="O537" s="6" t="str">
        <f t="shared" si="2"/>
        <v>14.134.648-9</v>
      </c>
      <c r="P537" s="6" t="str">
        <f t="shared" si="3"/>
        <v>Maipú - Santiago - Región Metropolitana</v>
      </c>
      <c r="Q537" s="4" t="str">
        <f t="shared" si="4"/>
        <v>Activo</v>
      </c>
      <c r="R537" s="12" t="str">
        <f t="shared" si="5"/>
        <v>Riesgo Bajo</v>
      </c>
    </row>
    <row r="538">
      <c r="A538" s="1" t="s">
        <v>2985</v>
      </c>
      <c r="B538" s="9" t="s">
        <v>2987</v>
      </c>
      <c r="C538" s="9" t="s">
        <v>2988</v>
      </c>
      <c r="D538" s="1" t="s">
        <v>2989</v>
      </c>
      <c r="E538" s="1" t="s">
        <v>109</v>
      </c>
      <c r="F538" s="1" t="s">
        <v>62</v>
      </c>
      <c r="G538" s="1" t="s">
        <v>63</v>
      </c>
      <c r="H538" s="2">
        <v>9310000.0</v>
      </c>
      <c r="I538" s="1">
        <v>0.0</v>
      </c>
      <c r="J538" s="9" t="s">
        <v>20</v>
      </c>
      <c r="K538" s="5">
        <v>46059.0</v>
      </c>
      <c r="L538" s="11" t="s">
        <v>100</v>
      </c>
      <c r="M538" s="11"/>
      <c r="N538" s="4" t="str">
        <f t="shared" si="1"/>
        <v>Ignacio Pérez Vergara</v>
      </c>
      <c r="O538" s="6" t="str">
        <f t="shared" si="2"/>
        <v>13.686.668-5</v>
      </c>
      <c r="P538" s="6" t="str">
        <f t="shared" si="3"/>
        <v>Ñuñoa - Santiago - Región Metropolitana</v>
      </c>
      <c r="Q538" s="4" t="str">
        <f t="shared" si="4"/>
        <v>En Revisión</v>
      </c>
      <c r="R538" s="12" t="str">
        <f t="shared" si="5"/>
        <v>Riesgo Medio</v>
      </c>
    </row>
    <row r="539">
      <c r="A539" s="1" t="s">
        <v>3661</v>
      </c>
      <c r="B539" s="9" t="s">
        <v>3662</v>
      </c>
      <c r="C539" s="9" t="s">
        <v>2988</v>
      </c>
      <c r="D539" s="1" t="s">
        <v>3626</v>
      </c>
      <c r="E539" s="1" t="s">
        <v>45</v>
      </c>
      <c r="F539" s="1" t="s">
        <v>45</v>
      </c>
      <c r="G539" s="1" t="s">
        <v>46</v>
      </c>
      <c r="H539" s="2">
        <v>2.066E7</v>
      </c>
      <c r="I539" s="1">
        <v>90.0</v>
      </c>
      <c r="J539" s="9" t="s">
        <v>97</v>
      </c>
      <c r="K539" s="5">
        <v>46228.0</v>
      </c>
      <c r="L539" s="11" t="s">
        <v>181</v>
      </c>
      <c r="M539" s="11"/>
      <c r="N539" s="4" t="str">
        <f t="shared" si="1"/>
        <v>Ignacio Pérez Vergara</v>
      </c>
      <c r="O539" s="6" t="str">
        <f t="shared" si="2"/>
        <v>16.734.602-0</v>
      </c>
      <c r="P539" s="6" t="str">
        <f t="shared" si="3"/>
        <v>Temuco - Temuco - Región de la Araucanía</v>
      </c>
      <c r="Q539" s="4" t="str">
        <f t="shared" si="4"/>
        <v>Inactivo</v>
      </c>
      <c r="R539" s="12" t="str">
        <f t="shared" si="5"/>
        <v>Riesgo Medio</v>
      </c>
    </row>
    <row r="540">
      <c r="A540" s="1" t="s">
        <v>3959</v>
      </c>
      <c r="B540" s="9" t="s">
        <v>3960</v>
      </c>
      <c r="C540" s="9" t="s">
        <v>3961</v>
      </c>
      <c r="D540" s="1" t="s">
        <v>3962</v>
      </c>
      <c r="E540" s="1" t="s">
        <v>18</v>
      </c>
      <c r="F540" s="1" t="s">
        <v>18</v>
      </c>
      <c r="G540" s="1" t="s">
        <v>19</v>
      </c>
      <c r="H540" s="2">
        <v>1.241E7</v>
      </c>
      <c r="I540" s="1">
        <v>0.0</v>
      </c>
      <c r="J540" s="9" t="s">
        <v>20</v>
      </c>
      <c r="K540" s="5">
        <v>46145.0</v>
      </c>
      <c r="L540" s="11" t="s">
        <v>100</v>
      </c>
      <c r="M540" s="11"/>
      <c r="N540" s="4" t="str">
        <f t="shared" si="1"/>
        <v>Ignacio Rodríguez Araya</v>
      </c>
      <c r="O540" s="6" t="str">
        <f t="shared" si="2"/>
        <v>16.363.883-7</v>
      </c>
      <c r="P540" s="6" t="str">
        <f t="shared" si="3"/>
        <v>La Serena - La Serena - Región de Coquimbo</v>
      </c>
      <c r="Q540" s="4" t="str">
        <f t="shared" si="4"/>
        <v>En Revisión</v>
      </c>
      <c r="R540" s="12" t="str">
        <f t="shared" si="5"/>
        <v>Riesgo Medio</v>
      </c>
    </row>
    <row r="541">
      <c r="A541" s="1" t="s">
        <v>4114</v>
      </c>
      <c r="B541" s="9" t="s">
        <v>4115</v>
      </c>
      <c r="C541" s="9" t="s">
        <v>2160</v>
      </c>
      <c r="D541" s="1" t="s">
        <v>3962</v>
      </c>
      <c r="E541" s="1" t="s">
        <v>118</v>
      </c>
      <c r="F541" s="1" t="s">
        <v>62</v>
      </c>
      <c r="G541" s="1" t="s">
        <v>63</v>
      </c>
      <c r="H541" s="2">
        <v>2140000.0</v>
      </c>
      <c r="I541" s="1">
        <v>0.0</v>
      </c>
      <c r="J541" s="9" t="s">
        <v>97</v>
      </c>
      <c r="K541" s="5">
        <v>46166.0</v>
      </c>
      <c r="L541" s="11" t="s">
        <v>207</v>
      </c>
      <c r="M541" s="11"/>
      <c r="N541" s="4" t="str">
        <f t="shared" si="1"/>
        <v>Ignacio Rodríguez Contreras</v>
      </c>
      <c r="O541" s="6" t="str">
        <f t="shared" si="2"/>
        <v>17.267.663-1</v>
      </c>
      <c r="P541" s="6" t="str">
        <f t="shared" si="3"/>
        <v>Maipú - Santiago - Región Metropolitana</v>
      </c>
      <c r="Q541" s="4" t="str">
        <f t="shared" si="4"/>
        <v>Inactivo</v>
      </c>
      <c r="R541" s="12" t="str">
        <f t="shared" si="5"/>
        <v>Riesgo Bajo</v>
      </c>
    </row>
    <row r="542">
      <c r="A542" s="1" t="s">
        <v>35</v>
      </c>
      <c r="B542" s="9" t="s">
        <v>36</v>
      </c>
      <c r="C542" s="9" t="s">
        <v>4528</v>
      </c>
      <c r="D542" s="1" t="s">
        <v>38</v>
      </c>
      <c r="E542" s="1" t="s">
        <v>39</v>
      </c>
      <c r="F542" s="1" t="s">
        <v>39</v>
      </c>
      <c r="G542" s="1" t="s">
        <v>40</v>
      </c>
      <c r="H542" s="2">
        <v>8180000.0</v>
      </c>
      <c r="I542" s="1">
        <v>30.0</v>
      </c>
      <c r="J542" s="9" t="s">
        <v>28</v>
      </c>
      <c r="K542" s="5">
        <v>46178.0</v>
      </c>
      <c r="L542" s="11" t="s">
        <v>160</v>
      </c>
      <c r="M542" s="11"/>
      <c r="N542" s="4" t="str">
        <f t="shared" si="1"/>
        <v>Ignacio Rojas Espinoza</v>
      </c>
      <c r="O542" s="6" t="str">
        <f t="shared" si="2"/>
        <v>21.059.002-8</v>
      </c>
      <c r="P542" s="6" t="str">
        <f t="shared" si="3"/>
        <v>Concepción - Concepción - Región del Biobío</v>
      </c>
      <c r="Q542" s="4" t="str">
        <f t="shared" si="4"/>
        <v>Activo</v>
      </c>
      <c r="R542" s="12" t="str">
        <f t="shared" si="5"/>
        <v>Riesgo Bajo</v>
      </c>
    </row>
    <row r="543">
      <c r="A543" s="1" t="s">
        <v>4160</v>
      </c>
      <c r="B543" s="9" t="s">
        <v>4161</v>
      </c>
      <c r="C543" s="9" t="s">
        <v>4162</v>
      </c>
      <c r="D543" s="1" t="s">
        <v>2759</v>
      </c>
      <c r="E543" s="1" t="s">
        <v>118</v>
      </c>
      <c r="F543" s="1" t="s">
        <v>62</v>
      </c>
      <c r="G543" s="1" t="s">
        <v>63</v>
      </c>
      <c r="H543" s="2">
        <v>1.056E7</v>
      </c>
      <c r="I543" s="1">
        <v>15.0</v>
      </c>
      <c r="J543" s="9" t="s">
        <v>28</v>
      </c>
      <c r="K543" s="5">
        <v>46169.0</v>
      </c>
      <c r="L543" s="11" t="s">
        <v>160</v>
      </c>
      <c r="M543" s="11"/>
      <c r="N543" s="4" t="str">
        <f t="shared" si="1"/>
        <v>Ignacio Silva Díaz</v>
      </c>
      <c r="O543" s="6" t="str">
        <f t="shared" si="2"/>
        <v>11.347.095-9</v>
      </c>
      <c r="P543" s="6" t="str">
        <f t="shared" si="3"/>
        <v>Maipú - Santiago - Región Metropolitana</v>
      </c>
      <c r="Q543" s="4" t="str">
        <f t="shared" si="4"/>
        <v>Activo</v>
      </c>
      <c r="R543" s="12" t="str">
        <f t="shared" si="5"/>
        <v>Riesgo Bajo</v>
      </c>
    </row>
    <row r="544">
      <c r="A544" s="1" t="s">
        <v>1639</v>
      </c>
      <c r="B544" s="9" t="s">
        <v>1640</v>
      </c>
      <c r="C544" s="9" t="s">
        <v>4534</v>
      </c>
      <c r="D544" s="1" t="s">
        <v>1642</v>
      </c>
      <c r="E544" s="1" t="s">
        <v>39</v>
      </c>
      <c r="F544" s="1" t="s">
        <v>39</v>
      </c>
      <c r="G544" s="1" t="s">
        <v>40</v>
      </c>
      <c r="H544" s="2">
        <v>1.937E7</v>
      </c>
      <c r="I544" s="1">
        <v>120.0</v>
      </c>
      <c r="J544" s="9" t="s">
        <v>28</v>
      </c>
      <c r="K544" s="5">
        <v>46225.0</v>
      </c>
      <c r="L544" s="11" t="s">
        <v>181</v>
      </c>
      <c r="M544" s="11"/>
      <c r="N544" s="4" t="str">
        <f t="shared" si="1"/>
        <v>Ignacio Silva Espinoza</v>
      </c>
      <c r="O544" s="6" t="str">
        <f t="shared" si="2"/>
        <v>15.417.614-1</v>
      </c>
      <c r="P544" s="6" t="str">
        <f t="shared" si="3"/>
        <v>Concepción - Concepción - Región del Biobío</v>
      </c>
      <c r="Q544" s="4" t="str">
        <f t="shared" si="4"/>
        <v>Activo</v>
      </c>
      <c r="R544" s="12" t="str">
        <f t="shared" si="5"/>
        <v>Riesgo Alto</v>
      </c>
    </row>
    <row r="545">
      <c r="A545" s="1" t="s">
        <v>2756</v>
      </c>
      <c r="B545" s="9" t="s">
        <v>2757</v>
      </c>
      <c r="C545" s="9" t="s">
        <v>2758</v>
      </c>
      <c r="D545" s="1" t="s">
        <v>2759</v>
      </c>
      <c r="E545" s="1" t="s">
        <v>194</v>
      </c>
      <c r="F545" s="1" t="s">
        <v>62</v>
      </c>
      <c r="G545" s="1" t="s">
        <v>63</v>
      </c>
      <c r="H545" s="2">
        <v>5480000.0</v>
      </c>
      <c r="I545" s="1">
        <v>0.0</v>
      </c>
      <c r="J545" s="9" t="s">
        <v>97</v>
      </c>
      <c r="K545" s="5">
        <v>46140.0</v>
      </c>
      <c r="L545" s="11" t="s">
        <v>160</v>
      </c>
      <c r="M545" s="11"/>
      <c r="N545" s="4" t="str">
        <f t="shared" si="1"/>
        <v>Ignacio Silva Muñoz</v>
      </c>
      <c r="O545" s="6" t="str">
        <f t="shared" si="2"/>
        <v>11.385.229-7</v>
      </c>
      <c r="P545" s="6" t="str">
        <f t="shared" si="3"/>
        <v>Las Condes - Santiago - Región Metropolitana</v>
      </c>
      <c r="Q545" s="4" t="str">
        <f t="shared" si="4"/>
        <v>Inactivo</v>
      </c>
      <c r="R545" s="12" t="str">
        <f t="shared" si="5"/>
        <v>Riesgo Bajo</v>
      </c>
    </row>
    <row r="546">
      <c r="A546" s="1" t="s">
        <v>1723</v>
      </c>
      <c r="B546" s="9" t="s">
        <v>1724</v>
      </c>
      <c r="C546" s="9" t="s">
        <v>4547</v>
      </c>
      <c r="D546" s="1" t="s">
        <v>1727</v>
      </c>
      <c r="E546" s="1" t="s">
        <v>39</v>
      </c>
      <c r="F546" s="1" t="s">
        <v>39</v>
      </c>
      <c r="G546" s="1" t="s">
        <v>40</v>
      </c>
      <c r="H546" s="2">
        <v>6640000.0</v>
      </c>
      <c r="I546" s="1">
        <v>0.0</v>
      </c>
      <c r="J546" s="9" t="s">
        <v>97</v>
      </c>
      <c r="K546" s="5">
        <v>46134.0</v>
      </c>
      <c r="L546" s="11" t="s">
        <v>160</v>
      </c>
      <c r="M546" s="11"/>
      <c r="N546" s="4" t="str">
        <f t="shared" si="1"/>
        <v>Ignacio Soto Espinoza</v>
      </c>
      <c r="O546" s="6" t="str">
        <f t="shared" si="2"/>
        <v>12.577.238-5</v>
      </c>
      <c r="P546" s="6" t="str">
        <f t="shared" si="3"/>
        <v>Concepción - Concepción - Región del Biobío</v>
      </c>
      <c r="Q546" s="4" t="str">
        <f t="shared" si="4"/>
        <v>Inactivo</v>
      </c>
      <c r="R546" s="12" t="str">
        <f t="shared" si="5"/>
        <v>Riesgo Bajo</v>
      </c>
    </row>
    <row r="547">
      <c r="A547" s="1" t="s">
        <v>1990</v>
      </c>
      <c r="B547" s="9" t="s">
        <v>1991</v>
      </c>
      <c r="C547" s="9" t="s">
        <v>1992</v>
      </c>
      <c r="D547" s="1" t="s">
        <v>1727</v>
      </c>
      <c r="E547" s="1" t="s">
        <v>18</v>
      </c>
      <c r="F547" s="1" t="s">
        <v>18</v>
      </c>
      <c r="G547" s="1" t="s">
        <v>19</v>
      </c>
      <c r="H547" s="2">
        <v>8840000.0</v>
      </c>
      <c r="I547" s="1">
        <v>15.0</v>
      </c>
      <c r="J547" s="9" t="s">
        <v>20</v>
      </c>
      <c r="K547" s="5">
        <v>46136.0</v>
      </c>
      <c r="L547" s="11" t="s">
        <v>207</v>
      </c>
      <c r="M547" s="11"/>
      <c r="N547" s="4" t="str">
        <f t="shared" si="1"/>
        <v>Ignacio Soto Morales</v>
      </c>
      <c r="O547" s="6" t="str">
        <f t="shared" si="2"/>
        <v>17.723.690-1</v>
      </c>
      <c r="P547" s="6" t="str">
        <f t="shared" si="3"/>
        <v>La Serena - La Serena - Región de Coquimbo</v>
      </c>
      <c r="Q547" s="4" t="str">
        <f t="shared" si="4"/>
        <v>En Revisión</v>
      </c>
      <c r="R547" s="12" t="str">
        <f t="shared" si="5"/>
        <v>Riesgo Medio</v>
      </c>
    </row>
    <row r="548">
      <c r="A548" s="1" t="s">
        <v>3274</v>
      </c>
      <c r="B548" s="9" t="s">
        <v>3275</v>
      </c>
      <c r="C548" s="9" t="s">
        <v>3277</v>
      </c>
      <c r="D548" s="1" t="s">
        <v>3280</v>
      </c>
      <c r="E548" s="1" t="s">
        <v>18</v>
      </c>
      <c r="F548" s="1" t="s">
        <v>18</v>
      </c>
      <c r="G548" s="1" t="s">
        <v>19</v>
      </c>
      <c r="H548" s="2">
        <v>3260000.0</v>
      </c>
      <c r="I548" s="1">
        <v>60.0</v>
      </c>
      <c r="J548" s="9" t="s">
        <v>20</v>
      </c>
      <c r="K548" s="5">
        <v>46205.0</v>
      </c>
      <c r="L548" s="11" t="s">
        <v>160</v>
      </c>
      <c r="M548" s="11"/>
      <c r="N548" s="4" t="str">
        <f t="shared" si="1"/>
        <v>Ignacio Soto Pérez</v>
      </c>
      <c r="O548" s="6" t="str">
        <f t="shared" si="2"/>
        <v>12.592.377-0</v>
      </c>
      <c r="P548" s="6" t="str">
        <f t="shared" si="3"/>
        <v>La Serena - La Serena - Región de Coquimbo</v>
      </c>
      <c r="Q548" s="4" t="str">
        <f t="shared" si="4"/>
        <v>En Revisión</v>
      </c>
      <c r="R548" s="12" t="str">
        <f t="shared" si="5"/>
        <v>Riesgo Medio</v>
      </c>
    </row>
    <row r="549">
      <c r="A549" s="1" t="s">
        <v>147</v>
      </c>
      <c r="B549" s="9" t="s">
        <v>148</v>
      </c>
      <c r="C549" s="9" t="s">
        <v>4559</v>
      </c>
      <c r="D549" s="1" t="s">
        <v>51</v>
      </c>
      <c r="E549" s="1" t="s">
        <v>26</v>
      </c>
      <c r="F549" s="1" t="s">
        <v>26</v>
      </c>
      <c r="G549" s="1" t="s">
        <v>27</v>
      </c>
      <c r="H549" s="2">
        <v>7360000.0</v>
      </c>
      <c r="I549" s="1">
        <v>0.0</v>
      </c>
      <c r="J549" s="9" t="s">
        <v>20</v>
      </c>
      <c r="K549" s="5">
        <v>46037.0</v>
      </c>
      <c r="L549" s="11" t="s">
        <v>207</v>
      </c>
      <c r="M549" s="11"/>
      <c r="N549" s="4" t="str">
        <f t="shared" si="1"/>
        <v>Ignacio Soto Rojas</v>
      </c>
      <c r="O549" s="6" t="str">
        <f t="shared" si="2"/>
        <v>13205217-8</v>
      </c>
      <c r="P549" s="6" t="str">
        <f t="shared" si="3"/>
        <v>Valparaíso - Valparaíso - Región de Valparaíso</v>
      </c>
      <c r="Q549" s="4" t="str">
        <f t="shared" si="4"/>
        <v>En Revisión</v>
      </c>
      <c r="R549" s="12" t="str">
        <f t="shared" si="5"/>
        <v>Riesgo Medio</v>
      </c>
    </row>
    <row r="550">
      <c r="A550" s="1" t="s">
        <v>48</v>
      </c>
      <c r="B550" s="9" t="s">
        <v>49</v>
      </c>
      <c r="C550" s="9" t="s">
        <v>50</v>
      </c>
      <c r="D550" s="1" t="s">
        <v>51</v>
      </c>
      <c r="E550" s="1" t="s">
        <v>33</v>
      </c>
      <c r="F550" s="1" t="s">
        <v>33</v>
      </c>
      <c r="G550" s="1" t="s">
        <v>34</v>
      </c>
      <c r="H550" s="2">
        <v>1.393E7</v>
      </c>
      <c r="I550" s="1">
        <v>30.0</v>
      </c>
      <c r="J550" s="9" t="s">
        <v>28</v>
      </c>
      <c r="K550" s="5">
        <v>46170.0</v>
      </c>
      <c r="L550" s="11" t="s">
        <v>100</v>
      </c>
      <c r="M550" s="11"/>
      <c r="N550" s="4" t="str">
        <f t="shared" si="1"/>
        <v>Ignacio Soto Vergara</v>
      </c>
      <c r="O550" s="6" t="str">
        <f t="shared" si="2"/>
        <v>11.045.450-1</v>
      </c>
      <c r="P550" s="6" t="str">
        <f t="shared" si="3"/>
        <v>Puerto Montt - Puerto Montt - Región de Los Lagos</v>
      </c>
      <c r="Q550" s="4" t="str">
        <f t="shared" si="4"/>
        <v>Activo</v>
      </c>
      <c r="R550" s="12" t="str">
        <f t="shared" si="5"/>
        <v>Riesgo Bajo</v>
      </c>
    </row>
    <row r="551">
      <c r="A551" s="1" t="s">
        <v>1277</v>
      </c>
      <c r="B551" s="9" t="s">
        <v>1279</v>
      </c>
      <c r="C551" s="9" t="s">
        <v>50</v>
      </c>
      <c r="D551" s="1" t="s">
        <v>1280</v>
      </c>
      <c r="E551" s="1" t="s">
        <v>72</v>
      </c>
      <c r="F551" s="1" t="s">
        <v>62</v>
      </c>
      <c r="G551" s="1" t="s">
        <v>63</v>
      </c>
      <c r="H551" s="2">
        <v>1.952E7</v>
      </c>
      <c r="I551" s="1">
        <v>0.0</v>
      </c>
      <c r="J551" s="9" t="s">
        <v>20</v>
      </c>
      <c r="K551" s="5">
        <v>46164.0</v>
      </c>
      <c r="L551" s="11" t="s">
        <v>207</v>
      </c>
      <c r="M551" s="11"/>
      <c r="N551" s="4" t="str">
        <f t="shared" si="1"/>
        <v>Ignacio Soto Vergara</v>
      </c>
      <c r="O551" s="6" t="str">
        <f t="shared" si="2"/>
        <v>19540155-7</v>
      </c>
      <c r="P551" s="6" t="str">
        <f t="shared" si="3"/>
        <v>Providencia - Santiago - Región Metropolitana</v>
      </c>
      <c r="Q551" s="4" t="str">
        <f t="shared" si="4"/>
        <v>En Revisión</v>
      </c>
      <c r="R551" s="12" t="str">
        <f t="shared" si="5"/>
        <v>Riesgo Medio</v>
      </c>
    </row>
    <row r="552">
      <c r="A552" s="1" t="s">
        <v>1508</v>
      </c>
      <c r="B552" s="9" t="s">
        <v>1509</v>
      </c>
      <c r="C552" s="9" t="s">
        <v>1511</v>
      </c>
      <c r="D552" s="1" t="s">
        <v>1512</v>
      </c>
      <c r="E552" s="1" t="s">
        <v>56</v>
      </c>
      <c r="F552" s="1" t="s">
        <v>39</v>
      </c>
      <c r="G552" s="1" t="s">
        <v>40</v>
      </c>
      <c r="H552" s="2">
        <v>1.78E7</v>
      </c>
      <c r="I552" s="1">
        <v>0.0</v>
      </c>
      <c r="J552" s="9" t="s">
        <v>20</v>
      </c>
      <c r="K552" s="5">
        <v>46182.0</v>
      </c>
      <c r="L552" s="11" t="s">
        <v>160</v>
      </c>
      <c r="M552" s="11"/>
      <c r="N552" s="4" t="str">
        <f t="shared" si="1"/>
        <v>Ignacio Tapia López</v>
      </c>
      <c r="O552" s="6" t="str">
        <f t="shared" si="2"/>
        <v>15.213.079-0</v>
      </c>
      <c r="P552" s="6" t="str">
        <f t="shared" si="3"/>
        <v>Talcahuano - Concepción - Región del Biobío</v>
      </c>
      <c r="Q552" s="4" t="str">
        <f t="shared" si="4"/>
        <v>En Revisión</v>
      </c>
      <c r="R552" s="12" t="str">
        <f t="shared" si="5"/>
        <v>Riesgo Medio</v>
      </c>
    </row>
    <row r="553">
      <c r="A553" s="1" t="s">
        <v>2211</v>
      </c>
      <c r="B553" s="9" t="s">
        <v>2212</v>
      </c>
      <c r="C553" s="9" t="s">
        <v>2213</v>
      </c>
      <c r="D553" s="1" t="s">
        <v>2214</v>
      </c>
      <c r="E553" s="1" t="s">
        <v>72</v>
      </c>
      <c r="F553" s="1" t="s">
        <v>62</v>
      </c>
      <c r="G553" s="1" t="s">
        <v>63</v>
      </c>
      <c r="H553" s="2">
        <v>4370000.0</v>
      </c>
      <c r="I553" s="1">
        <v>0.0</v>
      </c>
      <c r="J553" s="9" t="s">
        <v>97</v>
      </c>
      <c r="K553" s="5">
        <v>46200.0</v>
      </c>
      <c r="L553" s="11" t="s">
        <v>207</v>
      </c>
      <c r="M553" s="11"/>
      <c r="N553" s="4" t="str">
        <f t="shared" si="1"/>
        <v>Ignacio Valenzuela Morales</v>
      </c>
      <c r="O553" s="6" t="str">
        <f t="shared" si="2"/>
        <v>15.152.724-3</v>
      </c>
      <c r="P553" s="6" t="str">
        <f t="shared" si="3"/>
        <v>Providencia - Santiago - Región Metropolitana</v>
      </c>
      <c r="Q553" s="4" t="str">
        <f t="shared" si="4"/>
        <v>Inactivo</v>
      </c>
      <c r="R553" s="12" t="str">
        <f t="shared" si="5"/>
        <v>Riesgo Bajo</v>
      </c>
    </row>
    <row r="554">
      <c r="A554" s="1" t="s">
        <v>4539</v>
      </c>
      <c r="B554" s="9" t="s">
        <v>4540</v>
      </c>
      <c r="C554" s="9" t="s">
        <v>4570</v>
      </c>
      <c r="D554" s="1" t="s">
        <v>4542</v>
      </c>
      <c r="E554" s="1" t="s">
        <v>26</v>
      </c>
      <c r="F554" s="1" t="s">
        <v>26</v>
      </c>
      <c r="G554" s="1" t="s">
        <v>27</v>
      </c>
      <c r="H554" s="2">
        <v>1.053E7</v>
      </c>
      <c r="I554" s="1">
        <v>0.0</v>
      </c>
      <c r="J554" s="9" t="s">
        <v>20</v>
      </c>
      <c r="K554" s="5">
        <v>46153.0</v>
      </c>
      <c r="L554" s="11" t="s">
        <v>100</v>
      </c>
      <c r="M554" s="11"/>
      <c r="N554" s="4" t="str">
        <f t="shared" si="1"/>
        <v>Ignacio Valenzuela Muñoz</v>
      </c>
      <c r="O554" s="6" t="str">
        <f t="shared" si="2"/>
        <v>11154460-6</v>
      </c>
      <c r="P554" s="6" t="str">
        <f t="shared" si="3"/>
        <v>Valparaíso - Valparaíso - Región de Valparaíso</v>
      </c>
      <c r="Q554" s="4" t="str">
        <f t="shared" si="4"/>
        <v>En Revisión</v>
      </c>
      <c r="R554" s="12" t="str">
        <f t="shared" si="5"/>
        <v>Riesgo Medio</v>
      </c>
    </row>
    <row r="555">
      <c r="A555" s="1" t="s">
        <v>4342</v>
      </c>
      <c r="B555" s="9" t="s">
        <v>4343</v>
      </c>
      <c r="C555" s="9" t="s">
        <v>4344</v>
      </c>
      <c r="D555" s="1" t="s">
        <v>4345</v>
      </c>
      <c r="E555" s="1" t="s">
        <v>39</v>
      </c>
      <c r="F555" s="1" t="s">
        <v>39</v>
      </c>
      <c r="G555" s="1" t="s">
        <v>40</v>
      </c>
      <c r="H555" s="2">
        <v>2770000.0</v>
      </c>
      <c r="I555" s="1">
        <v>0.0</v>
      </c>
      <c r="J555" s="9" t="s">
        <v>20</v>
      </c>
      <c r="K555" s="5">
        <v>46125.0</v>
      </c>
      <c r="L555" s="11" t="s">
        <v>207</v>
      </c>
      <c r="M555" s="11"/>
      <c r="N555" s="4" t="str">
        <f t="shared" si="1"/>
        <v>Ignacio Vergara González</v>
      </c>
      <c r="O555" s="6" t="str">
        <f t="shared" si="2"/>
        <v>19.077.235-7</v>
      </c>
      <c r="P555" s="6" t="str">
        <f t="shared" si="3"/>
        <v>Concepción - Concepción - Región del Biobío</v>
      </c>
      <c r="Q555" s="4" t="str">
        <f t="shared" si="4"/>
        <v>En Revisión</v>
      </c>
      <c r="R555" s="12" t="str">
        <f t="shared" si="5"/>
        <v>Riesgo Medio</v>
      </c>
    </row>
    <row r="556">
      <c r="A556" s="1" t="s">
        <v>2590</v>
      </c>
      <c r="B556" s="9" t="s">
        <v>2591</v>
      </c>
      <c r="C556" s="9" t="s">
        <v>2592</v>
      </c>
      <c r="D556" s="1" t="s">
        <v>2593</v>
      </c>
      <c r="E556" s="1" t="s">
        <v>45</v>
      </c>
      <c r="F556" s="1" t="s">
        <v>45</v>
      </c>
      <c r="G556" s="1" t="s">
        <v>46</v>
      </c>
      <c r="H556" s="2">
        <v>5690000.0</v>
      </c>
      <c r="I556" s="1">
        <v>90.0</v>
      </c>
      <c r="J556" s="9" t="s">
        <v>28</v>
      </c>
      <c r="K556" s="5">
        <v>46040.0</v>
      </c>
      <c r="L556" s="11" t="s">
        <v>207</v>
      </c>
      <c r="M556" s="11"/>
      <c r="N556" s="4" t="str">
        <f t="shared" si="1"/>
        <v>Javier Araya Pérez</v>
      </c>
      <c r="O556" s="6" t="str">
        <f t="shared" si="2"/>
        <v>21.781.456-4</v>
      </c>
      <c r="P556" s="6" t="str">
        <f t="shared" si="3"/>
        <v>Temuco - Temuco - Región de la Araucanía</v>
      </c>
      <c r="Q556" s="4" t="str">
        <f t="shared" si="4"/>
        <v>Activo</v>
      </c>
      <c r="R556" s="12" t="str">
        <f t="shared" si="5"/>
        <v>Riesgo Alto</v>
      </c>
    </row>
    <row r="557">
      <c r="A557" s="1" t="s">
        <v>3537</v>
      </c>
      <c r="B557" s="9" t="s">
        <v>3538</v>
      </c>
      <c r="C557" s="9" t="s">
        <v>2592</v>
      </c>
      <c r="D557" s="1" t="s">
        <v>3540</v>
      </c>
      <c r="E557" s="1" t="s">
        <v>194</v>
      </c>
      <c r="F557" s="1" t="s">
        <v>62</v>
      </c>
      <c r="G557" s="1" t="s">
        <v>63</v>
      </c>
      <c r="H557" s="2">
        <v>8170000.0</v>
      </c>
      <c r="I557" s="1">
        <v>90.0</v>
      </c>
      <c r="J557" s="9" t="s">
        <v>28</v>
      </c>
      <c r="K557" s="5">
        <v>46054.0</v>
      </c>
      <c r="L557" s="11" t="s">
        <v>100</v>
      </c>
      <c r="M557" s="11"/>
      <c r="N557" s="4" t="str">
        <f t="shared" si="1"/>
        <v>Javier Araya Pérez</v>
      </c>
      <c r="O557" s="6" t="str">
        <f t="shared" si="2"/>
        <v>12.587.011-9</v>
      </c>
      <c r="P557" s="6" t="str">
        <f t="shared" si="3"/>
        <v>Las Condes - Santiago - Región Metropolitana</v>
      </c>
      <c r="Q557" s="4" t="str">
        <f t="shared" si="4"/>
        <v>Activo</v>
      </c>
      <c r="R557" s="12" t="str">
        <f t="shared" si="5"/>
        <v>Riesgo Alto</v>
      </c>
    </row>
    <row r="558">
      <c r="A558" s="1" t="s">
        <v>2857</v>
      </c>
      <c r="B558" s="9" t="s">
        <v>2858</v>
      </c>
      <c r="C558" s="9" t="s">
        <v>2859</v>
      </c>
      <c r="D558" s="1" t="s">
        <v>2860</v>
      </c>
      <c r="E558" s="1" t="s">
        <v>45</v>
      </c>
      <c r="F558" s="1" t="s">
        <v>45</v>
      </c>
      <c r="G558" s="1" t="s">
        <v>46</v>
      </c>
      <c r="H558" s="2">
        <v>2.093E7</v>
      </c>
      <c r="I558" s="1">
        <v>0.0</v>
      </c>
      <c r="J558" s="9" t="s">
        <v>28</v>
      </c>
      <c r="K558" s="5">
        <v>46066.0</v>
      </c>
      <c r="L558" s="11" t="s">
        <v>207</v>
      </c>
      <c r="M558" s="11"/>
      <c r="N558" s="4" t="str">
        <f t="shared" si="1"/>
        <v>Javier Contreras Rodríguez</v>
      </c>
      <c r="O558" s="6" t="str">
        <f t="shared" si="2"/>
        <v>19.577.833-1</v>
      </c>
      <c r="P558" s="6" t="str">
        <f t="shared" si="3"/>
        <v>Temuco - Temuco - Región de la Araucanía</v>
      </c>
      <c r="Q558" s="4" t="str">
        <f t="shared" si="4"/>
        <v>Activo</v>
      </c>
      <c r="R558" s="12" t="str">
        <f t="shared" si="5"/>
        <v>Riesgo Bajo</v>
      </c>
    </row>
    <row r="559">
      <c r="A559" s="1" t="s">
        <v>2441</v>
      </c>
      <c r="B559" s="9" t="s">
        <v>2442</v>
      </c>
      <c r="C559" s="9" t="s">
        <v>2443</v>
      </c>
      <c r="D559" s="1" t="s">
        <v>2444</v>
      </c>
      <c r="E559" s="1" t="s">
        <v>25</v>
      </c>
      <c r="F559" s="1" t="s">
        <v>26</v>
      </c>
      <c r="G559" s="1" t="s">
        <v>27</v>
      </c>
      <c r="H559" s="2">
        <v>5310000.0</v>
      </c>
      <c r="I559" s="1">
        <v>15.0</v>
      </c>
      <c r="J559" s="9" t="s">
        <v>28</v>
      </c>
      <c r="K559" s="5">
        <v>46085.0</v>
      </c>
      <c r="L559" s="11" t="s">
        <v>100</v>
      </c>
      <c r="M559" s="11"/>
      <c r="N559" s="4" t="str">
        <f t="shared" si="1"/>
        <v>Javier Díaz Espinoza</v>
      </c>
      <c r="O559" s="6" t="str">
        <f t="shared" si="2"/>
        <v>11.401.900-2</v>
      </c>
      <c r="P559" s="6" t="str">
        <f t="shared" si="3"/>
        <v>Viña del Mar - Valparaíso - Región de Valparaíso</v>
      </c>
      <c r="Q559" s="4" t="str">
        <f t="shared" si="4"/>
        <v>Activo</v>
      </c>
      <c r="R559" s="12" t="str">
        <f t="shared" si="5"/>
        <v>Riesgo Bajo</v>
      </c>
    </row>
    <row r="560">
      <c r="A560" s="1" t="s">
        <v>4437</v>
      </c>
      <c r="B560" s="9" t="s">
        <v>4438</v>
      </c>
      <c r="C560" s="9" t="s">
        <v>4591</v>
      </c>
      <c r="D560" s="1" t="s">
        <v>4135</v>
      </c>
      <c r="E560" s="1" t="s">
        <v>109</v>
      </c>
      <c r="F560" s="1" t="s">
        <v>62</v>
      </c>
      <c r="G560" s="1" t="s">
        <v>63</v>
      </c>
      <c r="H560" s="2">
        <v>3760000.0</v>
      </c>
      <c r="I560" s="1">
        <v>120.0</v>
      </c>
      <c r="J560" s="9" t="s">
        <v>28</v>
      </c>
      <c r="K560" s="5">
        <v>46223.0</v>
      </c>
      <c r="L560" s="11" t="s">
        <v>160</v>
      </c>
      <c r="M560" s="11"/>
      <c r="N560" s="4" t="str">
        <f t="shared" si="1"/>
        <v>Javier Díaz González</v>
      </c>
      <c r="O560" s="6" t="str">
        <f t="shared" si="2"/>
        <v>18036179-1</v>
      </c>
      <c r="P560" s="6" t="str">
        <f t="shared" si="3"/>
        <v>Ñuñoa - Santiago - Región Metropolitana</v>
      </c>
      <c r="Q560" s="4" t="str">
        <f t="shared" si="4"/>
        <v>Activo</v>
      </c>
      <c r="R560" s="12" t="str">
        <f t="shared" si="5"/>
        <v>Riesgo Alto</v>
      </c>
    </row>
    <row r="561">
      <c r="A561" s="1" t="s">
        <v>3362</v>
      </c>
      <c r="B561" s="9" t="s">
        <v>3363</v>
      </c>
      <c r="C561" s="9" t="s">
        <v>3364</v>
      </c>
      <c r="D561" s="1" t="s">
        <v>3365</v>
      </c>
      <c r="E561" s="1" t="s">
        <v>72</v>
      </c>
      <c r="F561" s="1" t="s">
        <v>62</v>
      </c>
      <c r="G561" s="1" t="s">
        <v>63</v>
      </c>
      <c r="H561" s="2">
        <v>8650000.0</v>
      </c>
      <c r="I561" s="1">
        <v>0.0</v>
      </c>
      <c r="J561" s="9" t="s">
        <v>28</v>
      </c>
      <c r="K561" s="5">
        <v>46095.0</v>
      </c>
      <c r="L561" s="11" t="s">
        <v>181</v>
      </c>
      <c r="M561" s="11"/>
      <c r="N561" s="4" t="str">
        <f t="shared" si="1"/>
        <v>Javier Fuentes Vergara</v>
      </c>
      <c r="O561" s="6" t="str">
        <f t="shared" si="2"/>
        <v>21.978.377-3</v>
      </c>
      <c r="P561" s="6" t="str">
        <f t="shared" si="3"/>
        <v>Providencia - Santiago - Región Metropolitana</v>
      </c>
      <c r="Q561" s="4" t="str">
        <f t="shared" si="4"/>
        <v>Activo</v>
      </c>
      <c r="R561" s="12" t="str">
        <f t="shared" si="5"/>
        <v>Riesgo Bajo</v>
      </c>
    </row>
    <row r="562">
      <c r="A562" s="1" t="s">
        <v>4375</v>
      </c>
      <c r="B562" s="9" t="s">
        <v>4376</v>
      </c>
      <c r="C562" s="9" t="s">
        <v>4378</v>
      </c>
      <c r="D562" s="1" t="s">
        <v>4379</v>
      </c>
      <c r="E562" s="1" t="s">
        <v>26</v>
      </c>
      <c r="F562" s="1" t="s">
        <v>26</v>
      </c>
      <c r="G562" s="1" t="s">
        <v>27</v>
      </c>
      <c r="H562" s="2">
        <v>3350000.0</v>
      </c>
      <c r="I562" s="1">
        <v>60.0</v>
      </c>
      <c r="J562" s="9" t="s">
        <v>28</v>
      </c>
      <c r="K562" s="5">
        <v>46117.0</v>
      </c>
      <c r="L562" s="11" t="s">
        <v>199</v>
      </c>
      <c r="M562" s="11"/>
      <c r="N562" s="4" t="str">
        <f t="shared" si="1"/>
        <v>Javier López Fuentes</v>
      </c>
      <c r="O562" s="6" t="str">
        <f t="shared" si="2"/>
        <v>16186901-1</v>
      </c>
      <c r="P562" s="6" t="str">
        <f t="shared" si="3"/>
        <v>Valparaíso - Valparaíso - Región de Valparaíso</v>
      </c>
      <c r="Q562" s="4" t="str">
        <f t="shared" si="4"/>
        <v>Activo</v>
      </c>
      <c r="R562" s="12" t="str">
        <f t="shared" si="5"/>
        <v>Riesgo Medio</v>
      </c>
    </row>
    <row r="563">
      <c r="A563" s="1" t="s">
        <v>4595</v>
      </c>
      <c r="B563" s="9" t="s">
        <v>4596</v>
      </c>
      <c r="C563" s="9" t="s">
        <v>4597</v>
      </c>
      <c r="D563" s="1" t="s">
        <v>4379</v>
      </c>
      <c r="E563" s="1" t="s">
        <v>158</v>
      </c>
      <c r="F563" s="1" t="s">
        <v>158</v>
      </c>
      <c r="G563" s="1" t="s">
        <v>159</v>
      </c>
      <c r="H563" s="2">
        <v>1.885E7</v>
      </c>
      <c r="I563" s="1">
        <v>45.0</v>
      </c>
      <c r="J563" s="9" t="s">
        <v>97</v>
      </c>
      <c r="K563" s="5">
        <v>46188.0</v>
      </c>
      <c r="L563" s="11" t="s">
        <v>207</v>
      </c>
      <c r="M563" s="11"/>
      <c r="N563" s="4" t="str">
        <f t="shared" si="1"/>
        <v>Javier López Morales</v>
      </c>
      <c r="O563" s="6" t="str">
        <f t="shared" si="2"/>
        <v>19445442-K</v>
      </c>
      <c r="P563" s="6" t="str">
        <f t="shared" si="3"/>
        <v>Antofagasta - Antofagasta - Región de Antofagasta</v>
      </c>
      <c r="Q563" s="4" t="str">
        <f t="shared" si="4"/>
        <v>Inactivo</v>
      </c>
      <c r="R563" s="12" t="str">
        <f t="shared" si="5"/>
        <v>Riesgo Medio</v>
      </c>
    </row>
    <row r="564">
      <c r="A564" s="1" t="s">
        <v>1701</v>
      </c>
      <c r="B564" s="9" t="s">
        <v>1702</v>
      </c>
      <c r="C564" s="9" t="s">
        <v>4602</v>
      </c>
      <c r="D564" s="1" t="s">
        <v>1704</v>
      </c>
      <c r="E564" s="1" t="s">
        <v>194</v>
      </c>
      <c r="F564" s="1" t="s">
        <v>62</v>
      </c>
      <c r="G564" s="1" t="s">
        <v>63</v>
      </c>
      <c r="H564" s="2">
        <v>2160000.0</v>
      </c>
      <c r="I564" s="1">
        <v>0.0</v>
      </c>
      <c r="J564" s="9" t="s">
        <v>28</v>
      </c>
      <c r="K564" s="5">
        <v>46080.0</v>
      </c>
      <c r="L564" s="11" t="s">
        <v>160</v>
      </c>
      <c r="M564" s="11"/>
      <c r="N564" s="4" t="str">
        <f t="shared" si="1"/>
        <v>Javier Morales Fuentes</v>
      </c>
      <c r="O564" s="6" t="str">
        <f t="shared" si="2"/>
        <v>19244049-1</v>
      </c>
      <c r="P564" s="6" t="str">
        <f t="shared" si="3"/>
        <v>Las Condes - Santiago - Región Metropolitana</v>
      </c>
      <c r="Q564" s="4" t="str">
        <f t="shared" si="4"/>
        <v>Activo</v>
      </c>
      <c r="R564" s="12" t="str">
        <f t="shared" si="5"/>
        <v>Riesgo Bajo</v>
      </c>
    </row>
    <row r="565">
      <c r="A565" s="1" t="s">
        <v>4588</v>
      </c>
      <c r="B565" s="9" t="s">
        <v>4589</v>
      </c>
      <c r="C565" s="9" t="s">
        <v>4590</v>
      </c>
      <c r="D565" s="1" t="s">
        <v>4592</v>
      </c>
      <c r="E565" s="1" t="s">
        <v>45</v>
      </c>
      <c r="F565" s="1" t="s">
        <v>45</v>
      </c>
      <c r="G565" s="1" t="s">
        <v>46</v>
      </c>
      <c r="H565" s="2">
        <v>1.882E7</v>
      </c>
      <c r="I565" s="1">
        <v>90.0</v>
      </c>
      <c r="J565" s="9" t="s">
        <v>20</v>
      </c>
      <c r="K565" s="5">
        <v>46188.0</v>
      </c>
      <c r="L565" s="11" t="s">
        <v>100</v>
      </c>
      <c r="M565" s="11"/>
      <c r="N565" s="4" t="str">
        <f t="shared" si="1"/>
        <v>Javier Morales Morales</v>
      </c>
      <c r="O565" s="6" t="str">
        <f t="shared" si="2"/>
        <v>16.608.401-9</v>
      </c>
      <c r="P565" s="6" t="str">
        <f t="shared" si="3"/>
        <v>Temuco - Temuco - Región de la Araucanía</v>
      </c>
      <c r="Q565" s="4" t="str">
        <f t="shared" si="4"/>
        <v>En Revisión</v>
      </c>
      <c r="R565" s="12" t="str">
        <f t="shared" si="5"/>
        <v>Riesgo Medio</v>
      </c>
    </row>
    <row r="566">
      <c r="A566" s="1" t="s">
        <v>4606</v>
      </c>
      <c r="B566" s="9" t="s">
        <v>4607</v>
      </c>
      <c r="C566" s="9" t="s">
        <v>4608</v>
      </c>
      <c r="D566" s="1" t="s">
        <v>1704</v>
      </c>
      <c r="E566" s="1" t="s">
        <v>118</v>
      </c>
      <c r="F566" s="1" t="s">
        <v>62</v>
      </c>
      <c r="G566" s="1" t="s">
        <v>63</v>
      </c>
      <c r="H566" s="2">
        <v>7840000.0</v>
      </c>
      <c r="I566" s="1">
        <v>0.0</v>
      </c>
      <c r="J566" s="9" t="s">
        <v>20</v>
      </c>
      <c r="K566" s="5">
        <v>46029.0</v>
      </c>
      <c r="L566" s="11" t="s">
        <v>160</v>
      </c>
      <c r="M566" s="11"/>
      <c r="N566" s="4" t="str">
        <f t="shared" si="1"/>
        <v>Javier Morales Sepúlveda</v>
      </c>
      <c r="O566" s="6" t="str">
        <f t="shared" si="2"/>
        <v>16635029-5</v>
      </c>
      <c r="P566" s="6" t="str">
        <f t="shared" si="3"/>
        <v>Maipú - Santiago - Región Metropolitana</v>
      </c>
      <c r="Q566" s="4" t="str">
        <f t="shared" si="4"/>
        <v>En Revisión</v>
      </c>
      <c r="R566" s="12" t="str">
        <f t="shared" si="5"/>
        <v>Riesgo Medio</v>
      </c>
    </row>
    <row r="567">
      <c r="A567" s="1" t="s">
        <v>1776</v>
      </c>
      <c r="B567" s="9" t="s">
        <v>1777</v>
      </c>
      <c r="C567" s="9" t="s">
        <v>1778</v>
      </c>
      <c r="D567" s="1" t="s">
        <v>1113</v>
      </c>
      <c r="E567" s="1" t="s">
        <v>26</v>
      </c>
      <c r="F567" s="1" t="s">
        <v>26</v>
      </c>
      <c r="G567" s="1" t="s">
        <v>27</v>
      </c>
      <c r="H567" s="2">
        <v>2.001E7</v>
      </c>
      <c r="I567" s="1">
        <v>0.0</v>
      </c>
      <c r="J567" s="9" t="s">
        <v>20</v>
      </c>
      <c r="K567" s="5">
        <v>46185.0</v>
      </c>
      <c r="L567" s="11" t="s">
        <v>160</v>
      </c>
      <c r="M567" s="11"/>
      <c r="N567" s="4" t="str">
        <f t="shared" si="1"/>
        <v>Javier Muñoz Espinoza</v>
      </c>
      <c r="O567" s="6" t="str">
        <f t="shared" si="2"/>
        <v>12.573.722-5</v>
      </c>
      <c r="P567" s="6" t="str">
        <f t="shared" si="3"/>
        <v>Valparaíso - Valparaíso - Región de Valparaíso</v>
      </c>
      <c r="Q567" s="4" t="str">
        <f t="shared" si="4"/>
        <v>En Revisión</v>
      </c>
      <c r="R567" s="12" t="str">
        <f t="shared" si="5"/>
        <v>Riesgo Medio</v>
      </c>
    </row>
    <row r="568">
      <c r="A568" s="1" t="s">
        <v>4299</v>
      </c>
      <c r="B568" s="9" t="s">
        <v>4300</v>
      </c>
      <c r="C568" s="9" t="s">
        <v>4612</v>
      </c>
      <c r="D568" s="1" t="s">
        <v>4228</v>
      </c>
      <c r="E568" s="1" t="s">
        <v>72</v>
      </c>
      <c r="F568" s="1" t="s">
        <v>62</v>
      </c>
      <c r="G568" s="1" t="s">
        <v>63</v>
      </c>
      <c r="H568" s="2">
        <v>2.014E7</v>
      </c>
      <c r="I568" s="1">
        <v>60.0</v>
      </c>
      <c r="J568" s="9" t="s">
        <v>97</v>
      </c>
      <c r="K568" s="5">
        <v>46170.0</v>
      </c>
      <c r="L568" s="11" t="s">
        <v>181</v>
      </c>
      <c r="M568" s="11"/>
      <c r="N568" s="4" t="str">
        <f t="shared" si="1"/>
        <v>Javier Muñoz Valenzuela</v>
      </c>
      <c r="O568" s="6" t="str">
        <f t="shared" si="2"/>
        <v>11.356.961-4</v>
      </c>
      <c r="P568" s="6" t="str">
        <f t="shared" si="3"/>
        <v>Providencia - Santiago - Región Metropolitana</v>
      </c>
      <c r="Q568" s="4" t="str">
        <f t="shared" si="4"/>
        <v>Inactivo</v>
      </c>
      <c r="R568" s="12" t="str">
        <f t="shared" si="5"/>
        <v>Riesgo Medio</v>
      </c>
    </row>
    <row r="569">
      <c r="A569" s="1" t="s">
        <v>4613</v>
      </c>
      <c r="B569" s="9" t="s">
        <v>4614</v>
      </c>
      <c r="C569" s="9" t="s">
        <v>4615</v>
      </c>
      <c r="D569" s="1" t="s">
        <v>4616</v>
      </c>
      <c r="E569" s="1" t="s">
        <v>56</v>
      </c>
      <c r="F569" s="1" t="s">
        <v>39</v>
      </c>
      <c r="G569" s="1" t="s">
        <v>40</v>
      </c>
      <c r="H569" s="2">
        <v>1.41E7</v>
      </c>
      <c r="I569" s="1">
        <v>60.0</v>
      </c>
      <c r="J569" s="9" t="s">
        <v>28</v>
      </c>
      <c r="K569" s="5">
        <v>46127.0</v>
      </c>
      <c r="L569" s="11" t="s">
        <v>160</v>
      </c>
      <c r="M569" s="11"/>
      <c r="N569" s="4" t="str">
        <f t="shared" si="1"/>
        <v>Javier Pérez González</v>
      </c>
      <c r="O569" s="6" t="str">
        <f t="shared" si="2"/>
        <v>16.239.673-0</v>
      </c>
      <c r="P569" s="6" t="str">
        <f t="shared" si="3"/>
        <v>Talcahuano - Concepción - Región del Biobío</v>
      </c>
      <c r="Q569" s="4" t="str">
        <f t="shared" si="4"/>
        <v>Activo</v>
      </c>
      <c r="R569" s="12" t="str">
        <f t="shared" si="5"/>
        <v>Riesgo Medio</v>
      </c>
    </row>
    <row r="570">
      <c r="A570" s="1" t="s">
        <v>3508</v>
      </c>
      <c r="B570" s="9" t="s">
        <v>3509</v>
      </c>
      <c r="C570" s="9" t="s">
        <v>4623</v>
      </c>
      <c r="D570" s="1" t="s">
        <v>3511</v>
      </c>
      <c r="E570" s="1" t="s">
        <v>33</v>
      </c>
      <c r="F570" s="1" t="s">
        <v>33</v>
      </c>
      <c r="G570" s="1" t="s">
        <v>34</v>
      </c>
      <c r="H570" s="2">
        <v>1820000.0</v>
      </c>
      <c r="I570" s="1">
        <v>60.0</v>
      </c>
      <c r="J570" s="9" t="s">
        <v>20</v>
      </c>
      <c r="K570" s="5">
        <v>46230.0</v>
      </c>
      <c r="L570" s="11" t="s">
        <v>160</v>
      </c>
      <c r="M570" s="11"/>
      <c r="N570" s="4" t="str">
        <f t="shared" si="1"/>
        <v>Javier Rodríguez Vergara</v>
      </c>
      <c r="O570" s="6" t="str">
        <f t="shared" si="2"/>
        <v>12653236-K</v>
      </c>
      <c r="P570" s="6" t="str">
        <f t="shared" si="3"/>
        <v>Puerto Montt - Puerto Montt - Región de Los Lagos</v>
      </c>
      <c r="Q570" s="4" t="str">
        <f t="shared" si="4"/>
        <v>En Revisión</v>
      </c>
      <c r="R570" s="12" t="str">
        <f t="shared" si="5"/>
        <v>Riesgo Medio</v>
      </c>
    </row>
    <row r="571">
      <c r="A571" s="1" t="s">
        <v>3605</v>
      </c>
      <c r="B571" s="9" t="s">
        <v>3606</v>
      </c>
      <c r="C571" s="9" t="s">
        <v>4629</v>
      </c>
      <c r="D571" s="1" t="s">
        <v>1593</v>
      </c>
      <c r="E571" s="1" t="s">
        <v>61</v>
      </c>
      <c r="F571" s="1" t="s">
        <v>62</v>
      </c>
      <c r="G571" s="1" t="s">
        <v>63</v>
      </c>
      <c r="H571" s="2">
        <v>7970000.0</v>
      </c>
      <c r="I571" s="1">
        <v>120.0</v>
      </c>
      <c r="J571" s="9" t="s">
        <v>97</v>
      </c>
      <c r="K571" s="5">
        <v>46137.0</v>
      </c>
      <c r="L571" s="11" t="s">
        <v>207</v>
      </c>
      <c r="M571" s="11"/>
      <c r="N571" s="4" t="str">
        <f t="shared" si="1"/>
        <v>Javier Rojas Espinoza</v>
      </c>
      <c r="O571" s="6" t="str">
        <f t="shared" si="2"/>
        <v>14.590.258-1</v>
      </c>
      <c r="P571" s="6" t="str">
        <f t="shared" si="3"/>
        <v>Santiago Centro - Santiago - Región Metropolitana</v>
      </c>
      <c r="Q571" s="4" t="str">
        <f t="shared" si="4"/>
        <v>Inactivo</v>
      </c>
      <c r="R571" s="12" t="str">
        <f t="shared" si="5"/>
        <v>Riesgo Medio</v>
      </c>
    </row>
    <row r="572">
      <c r="A572" s="1" t="s">
        <v>400</v>
      </c>
      <c r="B572" s="9" t="s">
        <v>401</v>
      </c>
      <c r="C572" s="9" t="s">
        <v>402</v>
      </c>
      <c r="D572" s="1" t="s">
        <v>403</v>
      </c>
      <c r="E572" s="1" t="s">
        <v>33</v>
      </c>
      <c r="F572" s="1" t="s">
        <v>33</v>
      </c>
      <c r="G572" s="1" t="s">
        <v>34</v>
      </c>
      <c r="H572" s="2">
        <v>970000.0</v>
      </c>
      <c r="I572" s="1">
        <v>15.0</v>
      </c>
      <c r="J572" s="9" t="s">
        <v>28</v>
      </c>
      <c r="K572" s="5">
        <v>46149.0</v>
      </c>
      <c r="L572" s="11" t="s">
        <v>160</v>
      </c>
      <c r="M572" s="11"/>
      <c r="N572" s="4" t="str">
        <f t="shared" si="1"/>
        <v>Javier Rojas Soto</v>
      </c>
      <c r="O572" s="6" t="str">
        <f t="shared" si="2"/>
        <v>20.646.504-5</v>
      </c>
      <c r="P572" s="6" t="str">
        <f t="shared" si="3"/>
        <v>Puerto Montt - Puerto Montt - Región de Los Lagos</v>
      </c>
      <c r="Q572" s="4" t="str">
        <f t="shared" si="4"/>
        <v>Activo</v>
      </c>
      <c r="R572" s="12" t="str">
        <f t="shared" si="5"/>
        <v>Riesgo Bajo</v>
      </c>
    </row>
    <row r="573">
      <c r="A573" s="1" t="s">
        <v>2147</v>
      </c>
      <c r="B573" s="9" t="s">
        <v>2148</v>
      </c>
      <c r="C573" s="9" t="s">
        <v>2150</v>
      </c>
      <c r="D573" s="1" t="s">
        <v>2152</v>
      </c>
      <c r="E573" s="1" t="s">
        <v>45</v>
      </c>
      <c r="F573" s="1" t="s">
        <v>45</v>
      </c>
      <c r="G573" s="1" t="s">
        <v>46</v>
      </c>
      <c r="H573" s="2">
        <v>1.332E7</v>
      </c>
      <c r="I573" s="1">
        <v>15.0</v>
      </c>
      <c r="J573" s="9" t="s">
        <v>97</v>
      </c>
      <c r="K573" s="5">
        <v>46162.0</v>
      </c>
      <c r="L573" s="11" t="s">
        <v>207</v>
      </c>
      <c r="M573" s="11"/>
      <c r="N573" s="4" t="str">
        <f t="shared" si="1"/>
        <v>Javier Sepúlveda Contreras</v>
      </c>
      <c r="O573" s="6" t="str">
        <f t="shared" si="2"/>
        <v>21.323.918-1</v>
      </c>
      <c r="P573" s="6" t="str">
        <f t="shared" si="3"/>
        <v>Temuco - Temuco - Región de la Araucanía</v>
      </c>
      <c r="Q573" s="4" t="str">
        <f t="shared" si="4"/>
        <v>Inactivo</v>
      </c>
      <c r="R573" s="12" t="str">
        <f t="shared" si="5"/>
        <v>Riesgo Bajo</v>
      </c>
    </row>
    <row r="574">
      <c r="A574" s="1" t="s">
        <v>689</v>
      </c>
      <c r="B574" s="9" t="s">
        <v>690</v>
      </c>
      <c r="C574" s="9" t="s">
        <v>4646</v>
      </c>
      <c r="D574" s="1" t="s">
        <v>693</v>
      </c>
      <c r="E574" s="1" t="s">
        <v>158</v>
      </c>
      <c r="F574" s="1" t="s">
        <v>158</v>
      </c>
      <c r="G574" s="1" t="s">
        <v>159</v>
      </c>
      <c r="H574" s="2">
        <v>4080000.0</v>
      </c>
      <c r="I574" s="1">
        <v>0.0</v>
      </c>
      <c r="J574" s="9" t="s">
        <v>28</v>
      </c>
      <c r="K574" s="5">
        <v>46057.0</v>
      </c>
      <c r="L574" s="11" t="s">
        <v>100</v>
      </c>
      <c r="M574" s="11"/>
      <c r="N574" s="4" t="str">
        <f t="shared" si="1"/>
        <v>Javier Sepúlveda Rojas</v>
      </c>
      <c r="O574" s="6" t="str">
        <f t="shared" si="2"/>
        <v>18.844.773-2</v>
      </c>
      <c r="P574" s="6" t="str">
        <f t="shared" si="3"/>
        <v>Antofagasta - Antofagasta - Región de Antofagasta</v>
      </c>
      <c r="Q574" s="4" t="str">
        <f t="shared" si="4"/>
        <v>Activo</v>
      </c>
      <c r="R574" s="12" t="str">
        <f t="shared" si="5"/>
        <v>Riesgo Bajo</v>
      </c>
    </row>
    <row r="575">
      <c r="A575" s="1" t="s">
        <v>1852</v>
      </c>
      <c r="B575" s="9" t="s">
        <v>1853</v>
      </c>
      <c r="C575" s="9" t="s">
        <v>4648</v>
      </c>
      <c r="D575" s="1" t="s">
        <v>1855</v>
      </c>
      <c r="E575" s="1" t="s">
        <v>61</v>
      </c>
      <c r="F575" s="1" t="s">
        <v>62</v>
      </c>
      <c r="G575" s="1" t="s">
        <v>63</v>
      </c>
      <c r="H575" s="2">
        <v>9610000.0</v>
      </c>
      <c r="I575" s="1">
        <v>15.0</v>
      </c>
      <c r="J575" s="9" t="s">
        <v>97</v>
      </c>
      <c r="K575" s="5">
        <v>46092.0</v>
      </c>
      <c r="L575" s="11" t="s">
        <v>207</v>
      </c>
      <c r="M575" s="11"/>
      <c r="N575" s="4" t="str">
        <f t="shared" si="1"/>
        <v>Javier Silva Vergara</v>
      </c>
      <c r="O575" s="6" t="str">
        <f t="shared" si="2"/>
        <v>15.297.059-5</v>
      </c>
      <c r="P575" s="6" t="str">
        <f t="shared" si="3"/>
        <v>Santiago Centro - Santiago - Región Metropolitana</v>
      </c>
      <c r="Q575" s="4" t="str">
        <f t="shared" si="4"/>
        <v>Inactivo</v>
      </c>
      <c r="R575" s="12" t="str">
        <f t="shared" si="5"/>
        <v>Riesgo Bajo</v>
      </c>
    </row>
    <row r="576">
      <c r="A576" s="1" t="s">
        <v>3452</v>
      </c>
      <c r="B576" s="9" t="s">
        <v>3453</v>
      </c>
      <c r="C576" s="9" t="s">
        <v>3454</v>
      </c>
      <c r="D576" s="1" t="s">
        <v>3455</v>
      </c>
      <c r="E576" s="1" t="s">
        <v>25</v>
      </c>
      <c r="F576" s="1" t="s">
        <v>26</v>
      </c>
      <c r="G576" s="1" t="s">
        <v>27</v>
      </c>
      <c r="H576" s="2">
        <v>1.707E7</v>
      </c>
      <c r="I576" s="1">
        <v>0.0</v>
      </c>
      <c r="J576" s="9" t="s">
        <v>97</v>
      </c>
      <c r="K576" s="5">
        <v>46152.0</v>
      </c>
      <c r="L576" s="11" t="s">
        <v>207</v>
      </c>
      <c r="M576" s="11"/>
      <c r="N576" s="4" t="str">
        <f t="shared" si="1"/>
        <v>Javier Soto Silva</v>
      </c>
      <c r="O576" s="6" t="str">
        <f t="shared" si="2"/>
        <v>15.017.305-3</v>
      </c>
      <c r="P576" s="6" t="str">
        <f t="shared" si="3"/>
        <v>Viña del Mar - Valparaíso - Región de Valparaíso</v>
      </c>
      <c r="Q576" s="4" t="str">
        <f t="shared" si="4"/>
        <v>Inactivo</v>
      </c>
      <c r="R576" s="12" t="str">
        <f t="shared" si="5"/>
        <v>Riesgo Bajo</v>
      </c>
    </row>
    <row r="577">
      <c r="A577" s="1" t="s">
        <v>4088</v>
      </c>
      <c r="B577" s="9" t="s">
        <v>4089</v>
      </c>
      <c r="C577" s="9" t="s">
        <v>3454</v>
      </c>
      <c r="D577" s="1" t="s">
        <v>4090</v>
      </c>
      <c r="E577" s="1" t="s">
        <v>33</v>
      </c>
      <c r="F577" s="1" t="s">
        <v>33</v>
      </c>
      <c r="G577" s="1" t="s">
        <v>34</v>
      </c>
      <c r="H577" s="2">
        <v>1.797E7</v>
      </c>
      <c r="I577" s="1">
        <v>90.0</v>
      </c>
      <c r="J577" s="9" t="s">
        <v>20</v>
      </c>
      <c r="K577" s="5">
        <v>46154.0</v>
      </c>
      <c r="L577" s="11" t="s">
        <v>100</v>
      </c>
      <c r="M577" s="11"/>
      <c r="N577" s="4" t="str">
        <f t="shared" si="1"/>
        <v>Javier Soto Silva</v>
      </c>
      <c r="O577" s="6" t="str">
        <f t="shared" si="2"/>
        <v>12882211-1</v>
      </c>
      <c r="P577" s="6" t="str">
        <f t="shared" si="3"/>
        <v>Puerto Montt - Puerto Montt - Región de Los Lagos</v>
      </c>
      <c r="Q577" s="4" t="str">
        <f t="shared" si="4"/>
        <v>En Revisión</v>
      </c>
      <c r="R577" s="12" t="str">
        <f t="shared" si="5"/>
        <v>Riesgo Medio</v>
      </c>
    </row>
    <row r="578">
      <c r="A578" s="1" t="s">
        <v>3390</v>
      </c>
      <c r="B578" s="9" t="s">
        <v>3391</v>
      </c>
      <c r="C578" s="9" t="s">
        <v>3392</v>
      </c>
      <c r="D578" s="1" t="s">
        <v>3393</v>
      </c>
      <c r="E578" s="1" t="s">
        <v>194</v>
      </c>
      <c r="F578" s="1" t="s">
        <v>62</v>
      </c>
      <c r="G578" s="1" t="s">
        <v>63</v>
      </c>
      <c r="H578" s="2">
        <v>6670000.0</v>
      </c>
      <c r="I578" s="1">
        <v>90.0</v>
      </c>
      <c r="J578" s="9" t="s">
        <v>28</v>
      </c>
      <c r="K578" s="5">
        <v>46127.0</v>
      </c>
      <c r="L578" s="11" t="s">
        <v>207</v>
      </c>
      <c r="M578" s="11"/>
      <c r="N578" s="4" t="str">
        <f t="shared" si="1"/>
        <v>Javier Soto Vergara</v>
      </c>
      <c r="O578" s="6" t="str">
        <f t="shared" si="2"/>
        <v>19.767.846-K</v>
      </c>
      <c r="P578" s="6" t="str">
        <f t="shared" si="3"/>
        <v>Las Condes - Santiago - Región Metropolitana</v>
      </c>
      <c r="Q578" s="4" t="str">
        <f t="shared" si="4"/>
        <v>Activo</v>
      </c>
      <c r="R578" s="12" t="str">
        <f t="shared" si="5"/>
        <v>Riesgo Alto</v>
      </c>
    </row>
    <row r="579">
      <c r="A579" s="1" t="s">
        <v>2227</v>
      </c>
      <c r="B579" s="9" t="s">
        <v>2228</v>
      </c>
      <c r="C579" s="9" t="s">
        <v>4654</v>
      </c>
      <c r="D579" s="1" t="s">
        <v>2230</v>
      </c>
      <c r="E579" s="1" t="s">
        <v>61</v>
      </c>
      <c r="F579" s="1" t="s">
        <v>62</v>
      </c>
      <c r="G579" s="1" t="s">
        <v>63</v>
      </c>
      <c r="H579" s="2">
        <v>1.645E7</v>
      </c>
      <c r="I579" s="1">
        <v>0.0</v>
      </c>
      <c r="J579" s="9" t="s">
        <v>28</v>
      </c>
      <c r="K579" s="5">
        <v>46224.0</v>
      </c>
      <c r="L579" s="11" t="s">
        <v>100</v>
      </c>
      <c r="M579" s="11"/>
      <c r="N579" s="4" t="str">
        <f t="shared" si="1"/>
        <v>Javier Tapia Contreras</v>
      </c>
      <c r="O579" s="6" t="str">
        <f t="shared" si="2"/>
        <v>13.273.886-0</v>
      </c>
      <c r="P579" s="6" t="str">
        <f t="shared" si="3"/>
        <v>Santiago Centro - Santiago - Región Metropolitana</v>
      </c>
      <c r="Q579" s="4" t="str">
        <f t="shared" si="4"/>
        <v>Activo</v>
      </c>
      <c r="R579" s="12" t="str">
        <f t="shared" si="5"/>
        <v>Riesgo Bajo</v>
      </c>
    </row>
    <row r="580">
      <c r="A580" s="1" t="s">
        <v>3078</v>
      </c>
      <c r="B580" s="9" t="s">
        <v>3079</v>
      </c>
      <c r="C580" s="9" t="s">
        <v>3080</v>
      </c>
      <c r="D580" s="1" t="s">
        <v>2230</v>
      </c>
      <c r="E580" s="1" t="s">
        <v>26</v>
      </c>
      <c r="F580" s="1" t="s">
        <v>26</v>
      </c>
      <c r="G580" s="1" t="s">
        <v>27</v>
      </c>
      <c r="H580" s="2">
        <v>780000.0</v>
      </c>
      <c r="I580" s="1">
        <v>0.0</v>
      </c>
      <c r="J580" s="9" t="s">
        <v>20</v>
      </c>
      <c r="K580" s="5">
        <v>46126.0</v>
      </c>
      <c r="L580" s="11" t="s">
        <v>160</v>
      </c>
      <c r="M580" s="11"/>
      <c r="N580" s="4" t="str">
        <f t="shared" si="1"/>
        <v>Javier Tapia Espinoza</v>
      </c>
      <c r="O580" s="6" t="str">
        <f t="shared" si="2"/>
        <v>11.094.056-2</v>
      </c>
      <c r="P580" s="6" t="str">
        <f t="shared" si="3"/>
        <v>Valparaíso - Valparaíso - Región de Valparaíso</v>
      </c>
      <c r="Q580" s="4" t="str">
        <f t="shared" si="4"/>
        <v>En Revisión</v>
      </c>
      <c r="R580" s="12" t="str">
        <f t="shared" si="5"/>
        <v>Riesgo Medio</v>
      </c>
    </row>
    <row r="581">
      <c r="A581" s="1" t="s">
        <v>2824</v>
      </c>
      <c r="B581" s="9" t="s">
        <v>2825</v>
      </c>
      <c r="C581" s="9" t="s">
        <v>2826</v>
      </c>
      <c r="D581" s="1" t="s">
        <v>2827</v>
      </c>
      <c r="E581" s="1" t="s">
        <v>72</v>
      </c>
      <c r="F581" s="1" t="s">
        <v>62</v>
      </c>
      <c r="G581" s="1" t="s">
        <v>63</v>
      </c>
      <c r="H581" s="2">
        <v>6020000.0</v>
      </c>
      <c r="I581" s="1">
        <v>15.0</v>
      </c>
      <c r="J581" s="9" t="s">
        <v>97</v>
      </c>
      <c r="K581" s="5">
        <v>46104.0</v>
      </c>
      <c r="L581" s="11" t="s">
        <v>181</v>
      </c>
      <c r="M581" s="11"/>
      <c r="N581" s="4" t="str">
        <f t="shared" si="1"/>
        <v>Javier Tapia Fuentes</v>
      </c>
      <c r="O581" s="6" t="str">
        <f t="shared" si="2"/>
        <v>17.329.221-2</v>
      </c>
      <c r="P581" s="6" t="str">
        <f t="shared" si="3"/>
        <v>Providencia - Santiago - Región Metropolitana</v>
      </c>
      <c r="Q581" s="4" t="str">
        <f t="shared" si="4"/>
        <v>Inactivo</v>
      </c>
      <c r="R581" s="12" t="str">
        <f t="shared" si="5"/>
        <v>Riesgo Bajo</v>
      </c>
    </row>
    <row r="582">
      <c r="A582" s="1" t="s">
        <v>1964</v>
      </c>
      <c r="B582" s="9" t="s">
        <v>1965</v>
      </c>
      <c r="C582" s="9" t="s">
        <v>1966</v>
      </c>
      <c r="D582" s="1" t="s">
        <v>1967</v>
      </c>
      <c r="E582" s="1" t="s">
        <v>45</v>
      </c>
      <c r="F582" s="1" t="s">
        <v>45</v>
      </c>
      <c r="G582" s="1" t="s">
        <v>46</v>
      </c>
      <c r="H582" s="2">
        <v>1.773E7</v>
      </c>
      <c r="I582" s="1">
        <v>60.0</v>
      </c>
      <c r="J582" s="9" t="s">
        <v>20</v>
      </c>
      <c r="K582" s="5">
        <v>46155.0</v>
      </c>
      <c r="L582" s="11" t="s">
        <v>199</v>
      </c>
      <c r="M582" s="11"/>
      <c r="N582" s="4" t="str">
        <f t="shared" si="1"/>
        <v>Javier Valenzuela López</v>
      </c>
      <c r="O582" s="6" t="str">
        <f t="shared" si="2"/>
        <v>17.879.542-4</v>
      </c>
      <c r="P582" s="6" t="str">
        <f t="shared" si="3"/>
        <v>Temuco - Temuco - Región de la Araucanía</v>
      </c>
      <c r="Q582" s="4" t="str">
        <f t="shared" si="4"/>
        <v>En Revisión</v>
      </c>
      <c r="R582" s="12" t="str">
        <f t="shared" si="5"/>
        <v>Riesgo Medio</v>
      </c>
    </row>
    <row r="583">
      <c r="A583" s="1" t="s">
        <v>3772</v>
      </c>
      <c r="B583" s="9" t="s">
        <v>3773</v>
      </c>
      <c r="C583" s="9" t="s">
        <v>3774</v>
      </c>
      <c r="D583" s="1" t="s">
        <v>3775</v>
      </c>
      <c r="E583" s="1" t="s">
        <v>18</v>
      </c>
      <c r="F583" s="1" t="s">
        <v>18</v>
      </c>
      <c r="G583" s="1" t="s">
        <v>19</v>
      </c>
      <c r="H583" s="2">
        <v>7740000.0</v>
      </c>
      <c r="I583" s="1">
        <v>0.0</v>
      </c>
      <c r="J583" s="9" t="s">
        <v>97</v>
      </c>
      <c r="K583" s="5">
        <v>46125.0</v>
      </c>
      <c r="L583" s="11" t="s">
        <v>207</v>
      </c>
      <c r="M583" s="11"/>
      <c r="N583" s="4" t="str">
        <f t="shared" si="1"/>
        <v>Javier Vergara Araya</v>
      </c>
      <c r="O583" s="6" t="str">
        <f t="shared" si="2"/>
        <v>21.818.532-4</v>
      </c>
      <c r="P583" s="6" t="str">
        <f t="shared" si="3"/>
        <v>La Serena - La Serena - Región de Coquimbo</v>
      </c>
      <c r="Q583" s="4" t="str">
        <f t="shared" si="4"/>
        <v>Inactivo</v>
      </c>
      <c r="R583" s="12" t="str">
        <f t="shared" si="5"/>
        <v>Riesgo Bajo</v>
      </c>
    </row>
    <row r="584">
      <c r="A584" s="1" t="s">
        <v>2884</v>
      </c>
      <c r="B584" s="9" t="s">
        <v>2885</v>
      </c>
      <c r="C584" s="9" t="s">
        <v>2886</v>
      </c>
      <c r="D584" s="1" t="s">
        <v>2887</v>
      </c>
      <c r="E584" s="1" t="s">
        <v>61</v>
      </c>
      <c r="F584" s="1" t="s">
        <v>62</v>
      </c>
      <c r="G584" s="1" t="s">
        <v>63</v>
      </c>
      <c r="H584" s="2">
        <v>7850000.0</v>
      </c>
      <c r="I584" s="1">
        <v>15.0</v>
      </c>
      <c r="J584" s="9" t="s">
        <v>20</v>
      </c>
      <c r="K584" s="5">
        <v>46207.0</v>
      </c>
      <c r="L584" s="11" t="s">
        <v>160</v>
      </c>
      <c r="M584" s="11"/>
      <c r="N584" s="4" t="str">
        <f t="shared" si="1"/>
        <v>Javier Vergara Pérez</v>
      </c>
      <c r="O584" s="6" t="str">
        <f t="shared" si="2"/>
        <v>16.351.348-6</v>
      </c>
      <c r="P584" s="6" t="str">
        <f t="shared" si="3"/>
        <v>Santiago Centro - Santiago - Región Metropolitana</v>
      </c>
      <c r="Q584" s="4" t="str">
        <f t="shared" si="4"/>
        <v>En Revisión</v>
      </c>
      <c r="R584" s="12" t="str">
        <f t="shared" si="5"/>
        <v>Riesgo Medio</v>
      </c>
    </row>
    <row r="585">
      <c r="A585" s="1" t="s">
        <v>2999</v>
      </c>
      <c r="B585" s="9" t="s">
        <v>3000</v>
      </c>
      <c r="C585" s="9" t="s">
        <v>3001</v>
      </c>
      <c r="D585" s="1" t="s">
        <v>415</v>
      </c>
      <c r="E585" s="1" t="s">
        <v>56</v>
      </c>
      <c r="F585" s="1" t="s">
        <v>39</v>
      </c>
      <c r="G585" s="1" t="s">
        <v>40</v>
      </c>
      <c r="H585" s="2">
        <v>7710000.0</v>
      </c>
      <c r="I585" s="1">
        <v>0.0</v>
      </c>
      <c r="J585" s="9" t="s">
        <v>20</v>
      </c>
      <c r="K585" s="5">
        <v>46167.0</v>
      </c>
      <c r="L585" s="11" t="s">
        <v>100</v>
      </c>
      <c r="M585" s="11"/>
      <c r="N585" s="4" t="str">
        <f t="shared" si="1"/>
        <v>Javiera Araya Rojas</v>
      </c>
      <c r="O585" s="6" t="str">
        <f t="shared" si="2"/>
        <v>17.830.539-7</v>
      </c>
      <c r="P585" s="6" t="str">
        <f t="shared" si="3"/>
        <v>Talcahuano - Concepción - Región del Biobío</v>
      </c>
      <c r="Q585" s="4" t="str">
        <f t="shared" si="4"/>
        <v>En Revisión</v>
      </c>
      <c r="R585" s="12" t="str">
        <f t="shared" si="5"/>
        <v>Riesgo Medio</v>
      </c>
    </row>
    <row r="586">
      <c r="A586" s="1" t="s">
        <v>411</v>
      </c>
      <c r="B586" s="9" t="s">
        <v>412</v>
      </c>
      <c r="C586" s="9" t="s">
        <v>4682</v>
      </c>
      <c r="D586" s="1" t="s">
        <v>415</v>
      </c>
      <c r="E586" s="1" t="s">
        <v>45</v>
      </c>
      <c r="F586" s="1" t="s">
        <v>45</v>
      </c>
      <c r="G586" s="1" t="s">
        <v>46</v>
      </c>
      <c r="H586" s="2">
        <v>1.201E7</v>
      </c>
      <c r="I586" s="1">
        <v>0.0</v>
      </c>
      <c r="J586" s="9" t="s">
        <v>28</v>
      </c>
      <c r="K586" s="5">
        <v>46085.0</v>
      </c>
      <c r="L586" s="11" t="s">
        <v>160</v>
      </c>
      <c r="M586" s="11"/>
      <c r="N586" s="4" t="str">
        <f t="shared" si="1"/>
        <v>Javiera Araya Soto</v>
      </c>
      <c r="O586" s="6" t="str">
        <f t="shared" si="2"/>
        <v>20.366.353-0</v>
      </c>
      <c r="P586" s="6" t="str">
        <f t="shared" si="3"/>
        <v>Temuco - Temuco - Región de la Araucanía</v>
      </c>
      <c r="Q586" s="4" t="str">
        <f t="shared" si="4"/>
        <v>Activo</v>
      </c>
      <c r="R586" s="12" t="str">
        <f t="shared" si="5"/>
        <v>Riesgo Bajo</v>
      </c>
    </row>
    <row r="587">
      <c r="A587" s="1" t="s">
        <v>4304</v>
      </c>
      <c r="B587" s="9" t="s">
        <v>4306</v>
      </c>
      <c r="C587" s="9" t="s">
        <v>4688</v>
      </c>
      <c r="D587" s="1" t="s">
        <v>4310</v>
      </c>
      <c r="E587" s="1" t="s">
        <v>158</v>
      </c>
      <c r="F587" s="1" t="s">
        <v>158</v>
      </c>
      <c r="G587" s="1" t="s">
        <v>159</v>
      </c>
      <c r="H587" s="2">
        <v>1.816E7</v>
      </c>
      <c r="I587" s="1">
        <v>15.0</v>
      </c>
      <c r="J587" s="9" t="s">
        <v>20</v>
      </c>
      <c r="K587" s="5">
        <v>46219.0</v>
      </c>
      <c r="L587" s="11" t="s">
        <v>160</v>
      </c>
      <c r="M587" s="11"/>
      <c r="N587" s="4" t="str">
        <f t="shared" si="1"/>
        <v>Javiera Araya Valenzuela</v>
      </c>
      <c r="O587" s="6" t="str">
        <f t="shared" si="2"/>
        <v>21.116.953-6</v>
      </c>
      <c r="P587" s="6" t="str">
        <f t="shared" si="3"/>
        <v>Antofagasta - Antofagasta - Región de Antofagasta</v>
      </c>
      <c r="Q587" s="4" t="str">
        <f t="shared" si="4"/>
        <v>En Revisión</v>
      </c>
      <c r="R587" s="12" t="str">
        <f t="shared" si="5"/>
        <v>Riesgo Medio</v>
      </c>
    </row>
    <row r="588">
      <c r="A588" s="1" t="s">
        <v>4676</v>
      </c>
      <c r="B588" s="9" t="s">
        <v>4677</v>
      </c>
      <c r="C588" s="9" t="s">
        <v>4688</v>
      </c>
      <c r="D588" s="1" t="s">
        <v>3540</v>
      </c>
      <c r="E588" s="1" t="s">
        <v>39</v>
      </c>
      <c r="F588" s="1" t="s">
        <v>39</v>
      </c>
      <c r="G588" s="1" t="s">
        <v>40</v>
      </c>
      <c r="H588" s="2">
        <v>1.361E7</v>
      </c>
      <c r="I588" s="1">
        <v>45.0</v>
      </c>
      <c r="J588" s="9" t="s">
        <v>20</v>
      </c>
      <c r="K588" s="5">
        <v>46163.0</v>
      </c>
      <c r="L588" s="11" t="s">
        <v>181</v>
      </c>
      <c r="M588" s="11"/>
      <c r="N588" s="4" t="str">
        <f t="shared" si="1"/>
        <v>Javiera Araya Valenzuela</v>
      </c>
      <c r="O588" s="6" t="str">
        <f t="shared" si="2"/>
        <v>19.157.010-8</v>
      </c>
      <c r="P588" s="6" t="str">
        <f t="shared" si="3"/>
        <v>Concepción - Concepción - Región del Biobío</v>
      </c>
      <c r="Q588" s="4" t="str">
        <f t="shared" si="4"/>
        <v>En Revisión</v>
      </c>
      <c r="R588" s="12" t="str">
        <f t="shared" si="5"/>
        <v>Riesgo Medio</v>
      </c>
    </row>
    <row r="589">
      <c r="A589" s="1" t="s">
        <v>4511</v>
      </c>
      <c r="B589" s="9" t="s">
        <v>4512</v>
      </c>
      <c r="C589" s="9" t="s">
        <v>4696</v>
      </c>
      <c r="D589" s="1" t="s">
        <v>4514</v>
      </c>
      <c r="E589" s="1" t="s">
        <v>26</v>
      </c>
      <c r="F589" s="1" t="s">
        <v>26</v>
      </c>
      <c r="G589" s="1" t="s">
        <v>27</v>
      </c>
      <c r="H589" s="2">
        <v>6830000.0</v>
      </c>
      <c r="I589" s="1">
        <v>0.0</v>
      </c>
      <c r="J589" s="9" t="s">
        <v>28</v>
      </c>
      <c r="K589" s="5">
        <v>46132.0</v>
      </c>
      <c r="L589" s="11" t="s">
        <v>160</v>
      </c>
      <c r="M589" s="11"/>
      <c r="N589" s="4" t="str">
        <f t="shared" si="1"/>
        <v>Javiera Díaz Espinoza</v>
      </c>
      <c r="O589" s="6" t="str">
        <f t="shared" si="2"/>
        <v>12.244.266-8</v>
      </c>
      <c r="P589" s="6" t="str">
        <f t="shared" si="3"/>
        <v>Valparaíso - Valparaíso - Región de Valparaíso</v>
      </c>
      <c r="Q589" s="4" t="str">
        <f t="shared" si="4"/>
        <v>Activo</v>
      </c>
      <c r="R589" s="12" t="str">
        <f t="shared" si="5"/>
        <v>Riesgo Bajo</v>
      </c>
    </row>
    <row r="590">
      <c r="A590" s="1" t="s">
        <v>3640</v>
      </c>
      <c r="B590" s="9" t="s">
        <v>3641</v>
      </c>
      <c r="C590" s="9" t="s">
        <v>3642</v>
      </c>
      <c r="D590" s="1" t="s">
        <v>3643</v>
      </c>
      <c r="E590" s="1" t="s">
        <v>25</v>
      </c>
      <c r="F590" s="1" t="s">
        <v>26</v>
      </c>
      <c r="G590" s="1" t="s">
        <v>27</v>
      </c>
      <c r="H590" s="2">
        <v>1.176E7</v>
      </c>
      <c r="I590" s="1">
        <v>45.0</v>
      </c>
      <c r="J590" s="9" t="s">
        <v>97</v>
      </c>
      <c r="K590" s="5">
        <v>46178.0</v>
      </c>
      <c r="L590" s="11" t="s">
        <v>160</v>
      </c>
      <c r="M590" s="11"/>
      <c r="N590" s="4" t="str">
        <f t="shared" si="1"/>
        <v>Javiera Díaz Muñoz</v>
      </c>
      <c r="O590" s="6" t="str">
        <f t="shared" si="2"/>
        <v>20.767.455-0</v>
      </c>
      <c r="P590" s="6" t="str">
        <f t="shared" si="3"/>
        <v>Viña del Mar - Valparaíso - Región de Valparaíso</v>
      </c>
      <c r="Q590" s="4" t="str">
        <f t="shared" si="4"/>
        <v>Inactivo</v>
      </c>
      <c r="R590" s="12" t="str">
        <f t="shared" si="5"/>
        <v>Riesgo Medio</v>
      </c>
    </row>
    <row r="591">
      <c r="A591" s="1" t="s">
        <v>3161</v>
      </c>
      <c r="B591" s="9" t="s">
        <v>3162</v>
      </c>
      <c r="C591" s="9" t="s">
        <v>4704</v>
      </c>
      <c r="D591" s="1" t="s">
        <v>3164</v>
      </c>
      <c r="E591" s="1" t="s">
        <v>109</v>
      </c>
      <c r="F591" s="1" t="s">
        <v>62</v>
      </c>
      <c r="G591" s="1" t="s">
        <v>63</v>
      </c>
      <c r="H591" s="2">
        <v>7400000.0</v>
      </c>
      <c r="I591" s="1">
        <v>0.0</v>
      </c>
      <c r="J591" s="9" t="s">
        <v>97</v>
      </c>
      <c r="K591" s="5">
        <v>46115.0</v>
      </c>
      <c r="L591" s="11" t="s">
        <v>207</v>
      </c>
      <c r="M591" s="11"/>
      <c r="N591" s="4" t="str">
        <f t="shared" si="1"/>
        <v>Javiera Díaz Rojas</v>
      </c>
      <c r="O591" s="6" t="str">
        <f t="shared" si="2"/>
        <v>22.378.663-3</v>
      </c>
      <c r="P591" s="6" t="str">
        <f t="shared" si="3"/>
        <v>Ñuñoa - Santiago - Región Metropolitana</v>
      </c>
      <c r="Q591" s="4" t="str">
        <f t="shared" si="4"/>
        <v>Inactivo</v>
      </c>
      <c r="R591" s="12" t="str">
        <f t="shared" si="5"/>
        <v>Riesgo Bajo</v>
      </c>
    </row>
    <row r="592">
      <c r="A592" s="1" t="s">
        <v>4132</v>
      </c>
      <c r="B592" s="9" t="s">
        <v>4133</v>
      </c>
      <c r="C592" s="9" t="s">
        <v>4134</v>
      </c>
      <c r="D592" s="1" t="s">
        <v>4135</v>
      </c>
      <c r="E592" s="1" t="s">
        <v>25</v>
      </c>
      <c r="F592" s="1" t="s">
        <v>26</v>
      </c>
      <c r="G592" s="1" t="s">
        <v>27</v>
      </c>
      <c r="H592" s="2">
        <v>9640000.0</v>
      </c>
      <c r="I592" s="1">
        <v>0.0</v>
      </c>
      <c r="J592" s="9" t="s">
        <v>28</v>
      </c>
      <c r="K592" s="5">
        <v>46221.0</v>
      </c>
      <c r="L592" s="11" t="s">
        <v>160</v>
      </c>
      <c r="M592" s="11"/>
      <c r="N592" s="4" t="str">
        <f t="shared" si="1"/>
        <v>Javiera Díaz Silva</v>
      </c>
      <c r="O592" s="6" t="str">
        <f t="shared" si="2"/>
        <v>20.008.964-3</v>
      </c>
      <c r="P592" s="6" t="str">
        <f t="shared" si="3"/>
        <v>Viña del Mar - Valparaíso - Región de Valparaíso</v>
      </c>
      <c r="Q592" s="4" t="str">
        <f t="shared" si="4"/>
        <v>Activo</v>
      </c>
      <c r="R592" s="12" t="str">
        <f t="shared" si="5"/>
        <v>Riesgo Bajo</v>
      </c>
    </row>
    <row r="593">
      <c r="A593" s="1" t="s">
        <v>3022</v>
      </c>
      <c r="B593" s="9" t="s">
        <v>3023</v>
      </c>
      <c r="C593" s="9" t="s">
        <v>3024</v>
      </c>
      <c r="D593" s="1" t="s">
        <v>3025</v>
      </c>
      <c r="E593" s="1" t="s">
        <v>118</v>
      </c>
      <c r="F593" s="1" t="s">
        <v>62</v>
      </c>
      <c r="G593" s="1" t="s">
        <v>63</v>
      </c>
      <c r="H593" s="2">
        <v>1.759E7</v>
      </c>
      <c r="I593" s="1">
        <v>120.0</v>
      </c>
      <c r="J593" s="9" t="s">
        <v>20</v>
      </c>
      <c r="K593" s="5">
        <v>46069.0</v>
      </c>
      <c r="L593" s="11" t="s">
        <v>207</v>
      </c>
      <c r="M593" s="11"/>
      <c r="N593" s="4" t="str">
        <f t="shared" si="1"/>
        <v>Javiera Espinoza Contreras</v>
      </c>
      <c r="O593" s="6" t="str">
        <f t="shared" si="2"/>
        <v>17.114.870-6</v>
      </c>
      <c r="P593" s="6" t="str">
        <f t="shared" si="3"/>
        <v>Maipú - Santiago - Región Metropolitana</v>
      </c>
      <c r="Q593" s="4" t="str">
        <f t="shared" si="4"/>
        <v>En Revisión</v>
      </c>
      <c r="R593" s="12" t="str">
        <f t="shared" si="5"/>
        <v>Riesgo Medio</v>
      </c>
    </row>
    <row r="594">
      <c r="A594" s="1" t="s">
        <v>2069</v>
      </c>
      <c r="B594" s="9" t="s">
        <v>2071</v>
      </c>
      <c r="C594" s="9" t="s">
        <v>2072</v>
      </c>
      <c r="D594" s="1" t="s">
        <v>2073</v>
      </c>
      <c r="E594" s="1" t="s">
        <v>33</v>
      </c>
      <c r="F594" s="1" t="s">
        <v>33</v>
      </c>
      <c r="G594" s="1" t="s">
        <v>34</v>
      </c>
      <c r="H594" s="2">
        <v>1.845E7</v>
      </c>
      <c r="I594" s="1">
        <v>60.0</v>
      </c>
      <c r="J594" s="9" t="s">
        <v>97</v>
      </c>
      <c r="K594" s="5">
        <v>46154.0</v>
      </c>
      <c r="L594" s="11" t="s">
        <v>100</v>
      </c>
      <c r="M594" s="11"/>
      <c r="N594" s="4" t="str">
        <f t="shared" si="1"/>
        <v>Javiera Espinoza Valenzuela</v>
      </c>
      <c r="O594" s="6" t="str">
        <f t="shared" si="2"/>
        <v>18958546-6</v>
      </c>
      <c r="P594" s="6" t="str">
        <f t="shared" si="3"/>
        <v>Puerto Montt - Puerto Montt - Región de Los Lagos</v>
      </c>
      <c r="Q594" s="4" t="str">
        <f t="shared" si="4"/>
        <v>Inactivo</v>
      </c>
      <c r="R594" s="12" t="str">
        <f t="shared" si="5"/>
        <v>Riesgo Medio</v>
      </c>
    </row>
    <row r="595">
      <c r="A595" s="1" t="s">
        <v>3081</v>
      </c>
      <c r="B595" s="9" t="s">
        <v>3082</v>
      </c>
      <c r="C595" s="9" t="s">
        <v>4714</v>
      </c>
      <c r="D595" s="1" t="s">
        <v>3084</v>
      </c>
      <c r="E595" s="1" t="s">
        <v>39</v>
      </c>
      <c r="F595" s="1" t="s">
        <v>39</v>
      </c>
      <c r="G595" s="1" t="s">
        <v>40</v>
      </c>
      <c r="H595" s="2">
        <v>640000.0</v>
      </c>
      <c r="I595" s="1">
        <v>15.0</v>
      </c>
      <c r="J595" s="9" t="s">
        <v>20</v>
      </c>
      <c r="K595" s="5">
        <v>46070.0</v>
      </c>
      <c r="L595" s="11" t="s">
        <v>207</v>
      </c>
      <c r="M595" s="11"/>
      <c r="N595" s="4" t="str">
        <f t="shared" si="1"/>
        <v>Javiera Fuentes Morales</v>
      </c>
      <c r="O595" s="6" t="str">
        <f t="shared" si="2"/>
        <v>14.637.441-K</v>
      </c>
      <c r="P595" s="6" t="str">
        <f t="shared" si="3"/>
        <v>Concepción - Concepción - Región del Biobío</v>
      </c>
      <c r="Q595" s="4" t="str">
        <f t="shared" si="4"/>
        <v>En Revisión</v>
      </c>
      <c r="R595" s="12" t="str">
        <f t="shared" si="5"/>
        <v>Riesgo Medio</v>
      </c>
    </row>
    <row r="596">
      <c r="A596" s="1" t="s">
        <v>4717</v>
      </c>
      <c r="B596" s="9" t="s">
        <v>4718</v>
      </c>
      <c r="C596" s="9" t="s">
        <v>4719</v>
      </c>
      <c r="D596" s="1" t="s">
        <v>4720</v>
      </c>
      <c r="E596" s="1" t="s">
        <v>39</v>
      </c>
      <c r="F596" s="1" t="s">
        <v>39</v>
      </c>
      <c r="G596" s="1" t="s">
        <v>40</v>
      </c>
      <c r="H596" s="2">
        <v>1.818E7</v>
      </c>
      <c r="I596" s="1">
        <v>15.0</v>
      </c>
      <c r="J596" s="9" t="s">
        <v>20</v>
      </c>
      <c r="K596" s="5">
        <v>46115.0</v>
      </c>
      <c r="L596" s="11" t="s">
        <v>207</v>
      </c>
      <c r="M596" s="11"/>
      <c r="N596" s="4" t="str">
        <f t="shared" si="1"/>
        <v>Javiera Fuentes Vergara</v>
      </c>
      <c r="O596" s="6" t="str">
        <f t="shared" si="2"/>
        <v>13.259.534-5</v>
      </c>
      <c r="P596" s="6" t="str">
        <f t="shared" si="3"/>
        <v>Concepción - Concepción - Región del Biobío</v>
      </c>
      <c r="Q596" s="4" t="str">
        <f t="shared" si="4"/>
        <v>En Revisión</v>
      </c>
      <c r="R596" s="12" t="str">
        <f t="shared" si="5"/>
        <v>Riesgo Medio</v>
      </c>
    </row>
    <row r="597">
      <c r="A597" s="1" t="s">
        <v>3289</v>
      </c>
      <c r="B597" s="9" t="s">
        <v>3292</v>
      </c>
      <c r="C597" s="9" t="s">
        <v>3294</v>
      </c>
      <c r="D597" s="1" t="s">
        <v>3295</v>
      </c>
      <c r="E597" s="1" t="s">
        <v>26</v>
      </c>
      <c r="F597" s="1" t="s">
        <v>26</v>
      </c>
      <c r="G597" s="1" t="s">
        <v>27</v>
      </c>
      <c r="H597" s="2">
        <v>1.891E7</v>
      </c>
      <c r="I597" s="1">
        <v>15.0</v>
      </c>
      <c r="J597" s="9" t="s">
        <v>20</v>
      </c>
      <c r="K597" s="5">
        <v>46226.0</v>
      </c>
      <c r="L597" s="11" t="s">
        <v>100</v>
      </c>
      <c r="M597" s="11"/>
      <c r="N597" s="4" t="str">
        <f t="shared" si="1"/>
        <v>Javiera López Vergara</v>
      </c>
      <c r="O597" s="6" t="str">
        <f t="shared" si="2"/>
        <v>21.230.920-5</v>
      </c>
      <c r="P597" s="6" t="str">
        <f t="shared" si="3"/>
        <v>Valparaíso - Valparaíso - Región de Valparaíso</v>
      </c>
      <c r="Q597" s="4" t="str">
        <f t="shared" si="4"/>
        <v>En Revisión</v>
      </c>
      <c r="R597" s="12" t="str">
        <f t="shared" si="5"/>
        <v>Riesgo Medio</v>
      </c>
    </row>
    <row r="598">
      <c r="A598" s="1" t="s">
        <v>3245</v>
      </c>
      <c r="B598" s="9" t="s">
        <v>3246</v>
      </c>
      <c r="C598" s="9" t="s">
        <v>3247</v>
      </c>
      <c r="D598" s="1" t="s">
        <v>3248</v>
      </c>
      <c r="E598" s="1" t="s">
        <v>194</v>
      </c>
      <c r="F598" s="1" t="s">
        <v>62</v>
      </c>
      <c r="G598" s="1" t="s">
        <v>63</v>
      </c>
      <c r="H598" s="2">
        <v>6110000.0</v>
      </c>
      <c r="I598" s="1">
        <v>120.0</v>
      </c>
      <c r="J598" s="9" t="s">
        <v>28</v>
      </c>
      <c r="K598" s="5">
        <v>46228.0</v>
      </c>
      <c r="L598" s="11" t="s">
        <v>181</v>
      </c>
      <c r="M598" s="11"/>
      <c r="N598" s="4" t="str">
        <f t="shared" si="1"/>
        <v>Javiera Morales Díaz</v>
      </c>
      <c r="O598" s="6" t="str">
        <f t="shared" si="2"/>
        <v>13271733-3</v>
      </c>
      <c r="P598" s="6" t="str">
        <f t="shared" si="3"/>
        <v>Las Condes - Santiago - Región Metropolitana</v>
      </c>
      <c r="Q598" s="4" t="str">
        <f t="shared" si="4"/>
        <v>Activo</v>
      </c>
      <c r="R598" s="12" t="str">
        <f t="shared" si="5"/>
        <v>Riesgo Alto</v>
      </c>
    </row>
    <row r="599">
      <c r="A599" s="1" t="s">
        <v>4225</v>
      </c>
      <c r="B599" s="9" t="s">
        <v>4226</v>
      </c>
      <c r="C599" s="9" t="s">
        <v>4227</v>
      </c>
      <c r="D599" s="1" t="s">
        <v>4228</v>
      </c>
      <c r="E599" s="1" t="s">
        <v>72</v>
      </c>
      <c r="F599" s="1" t="s">
        <v>62</v>
      </c>
      <c r="G599" s="1" t="s">
        <v>63</v>
      </c>
      <c r="H599" s="2">
        <v>1.26E7</v>
      </c>
      <c r="I599" s="1">
        <v>0.0</v>
      </c>
      <c r="J599" s="9" t="s">
        <v>28</v>
      </c>
      <c r="K599" s="5">
        <v>46133.0</v>
      </c>
      <c r="L599" s="11" t="s">
        <v>100</v>
      </c>
      <c r="M599" s="11"/>
      <c r="N599" s="4" t="str">
        <f t="shared" si="1"/>
        <v>Javiera Muñoz Rodríguez</v>
      </c>
      <c r="O599" s="6" t="str">
        <f t="shared" si="2"/>
        <v>16286124-6</v>
      </c>
      <c r="P599" s="6" t="str">
        <f t="shared" si="3"/>
        <v>Providencia - Santiago - Región Metropolitana</v>
      </c>
      <c r="Q599" s="4" t="str">
        <f t="shared" si="4"/>
        <v>Activo</v>
      </c>
      <c r="R599" s="12" t="str">
        <f t="shared" si="5"/>
        <v>Riesgo Bajo</v>
      </c>
    </row>
    <row r="600">
      <c r="A600" s="1" t="s">
        <v>1089</v>
      </c>
      <c r="B600" s="9" t="s">
        <v>1091</v>
      </c>
      <c r="C600" s="9" t="s">
        <v>4727</v>
      </c>
      <c r="D600" s="1" t="s">
        <v>1093</v>
      </c>
      <c r="E600" s="1" t="s">
        <v>118</v>
      </c>
      <c r="F600" s="1" t="s">
        <v>62</v>
      </c>
      <c r="G600" s="1" t="s">
        <v>63</v>
      </c>
      <c r="H600" s="2">
        <v>1.95E7</v>
      </c>
      <c r="I600" s="1">
        <v>0.0</v>
      </c>
      <c r="J600" s="9" t="s">
        <v>28</v>
      </c>
      <c r="K600" s="5">
        <v>46216.0</v>
      </c>
      <c r="L600" s="11" t="s">
        <v>207</v>
      </c>
      <c r="M600" s="11"/>
      <c r="N600" s="4" t="str">
        <f t="shared" si="1"/>
        <v>Javiera Muñoz Rojas</v>
      </c>
      <c r="O600" s="6" t="str">
        <f t="shared" si="2"/>
        <v>14.294.333-2</v>
      </c>
      <c r="P600" s="6" t="str">
        <f t="shared" si="3"/>
        <v>Maipú - Santiago - Región Metropolitana</v>
      </c>
      <c r="Q600" s="4" t="str">
        <f t="shared" si="4"/>
        <v>Activo</v>
      </c>
      <c r="R600" s="12" t="str">
        <f t="shared" si="5"/>
        <v>Riesgo Bajo</v>
      </c>
    </row>
    <row r="601">
      <c r="A601" s="1" t="s">
        <v>1109</v>
      </c>
      <c r="B601" s="9" t="s">
        <v>1110</v>
      </c>
      <c r="C601" s="9" t="s">
        <v>4732</v>
      </c>
      <c r="D601" s="1" t="s">
        <v>1113</v>
      </c>
      <c r="E601" s="1" t="s">
        <v>26</v>
      </c>
      <c r="F601" s="1" t="s">
        <v>26</v>
      </c>
      <c r="G601" s="1" t="s">
        <v>27</v>
      </c>
      <c r="H601" s="2">
        <v>4380000.0</v>
      </c>
      <c r="I601" s="1">
        <v>60.0</v>
      </c>
      <c r="J601" s="9" t="s">
        <v>28</v>
      </c>
      <c r="K601" s="5">
        <v>46216.0</v>
      </c>
      <c r="L601" s="11" t="s">
        <v>160</v>
      </c>
      <c r="M601" s="11"/>
      <c r="N601" s="4" t="str">
        <f t="shared" si="1"/>
        <v>Javiera Muñoz Sepúlveda</v>
      </c>
      <c r="O601" s="6" t="str">
        <f t="shared" si="2"/>
        <v>19888134-9</v>
      </c>
      <c r="P601" s="6" t="str">
        <f t="shared" si="3"/>
        <v>Valparaíso - Valparaíso - Región de Valparaíso</v>
      </c>
      <c r="Q601" s="4" t="str">
        <f t="shared" si="4"/>
        <v>Activo</v>
      </c>
      <c r="R601" s="12" t="str">
        <f t="shared" si="5"/>
        <v>Riesgo Medio</v>
      </c>
    </row>
    <row r="602">
      <c r="A602" s="1" t="s">
        <v>2240</v>
      </c>
      <c r="B602" s="9" t="s">
        <v>2242</v>
      </c>
      <c r="C602" s="9" t="s">
        <v>4736</v>
      </c>
      <c r="D602" s="1" t="s">
        <v>2244</v>
      </c>
      <c r="E602" s="1" t="s">
        <v>33</v>
      </c>
      <c r="F602" s="1" t="s">
        <v>33</v>
      </c>
      <c r="G602" s="1" t="s">
        <v>34</v>
      </c>
      <c r="H602" s="2">
        <v>1.672E7</v>
      </c>
      <c r="I602" s="1">
        <v>120.0</v>
      </c>
      <c r="J602" s="9" t="s">
        <v>20</v>
      </c>
      <c r="K602" s="5">
        <v>46176.0</v>
      </c>
      <c r="L602" s="11" t="s">
        <v>160</v>
      </c>
      <c r="M602" s="11"/>
      <c r="N602" s="4" t="str">
        <f t="shared" si="1"/>
        <v>Javiera Pérez López</v>
      </c>
      <c r="O602" s="6" t="str">
        <f t="shared" si="2"/>
        <v>12.019.596-4</v>
      </c>
      <c r="P602" s="6" t="str">
        <f t="shared" si="3"/>
        <v>Puerto Montt - Puerto Montt - Región de Los Lagos</v>
      </c>
      <c r="Q602" s="4" t="str">
        <f t="shared" si="4"/>
        <v>En Revisión</v>
      </c>
      <c r="R602" s="12" t="str">
        <f t="shared" si="5"/>
        <v>Riesgo Medio</v>
      </c>
    </row>
    <row r="603">
      <c r="A603" s="1" t="s">
        <v>3371</v>
      </c>
      <c r="B603" s="9" t="s">
        <v>3372</v>
      </c>
      <c r="C603" s="9" t="s">
        <v>3373</v>
      </c>
      <c r="D603" s="1" t="s">
        <v>3374</v>
      </c>
      <c r="E603" s="1" t="s">
        <v>25</v>
      </c>
      <c r="F603" s="1" t="s">
        <v>26</v>
      </c>
      <c r="G603" s="1" t="s">
        <v>27</v>
      </c>
      <c r="H603" s="2">
        <v>7250000.0</v>
      </c>
      <c r="I603" s="1">
        <v>120.0</v>
      </c>
      <c r="J603" s="9" t="s">
        <v>97</v>
      </c>
      <c r="K603" s="5">
        <v>46125.0</v>
      </c>
      <c r="L603" s="11" t="s">
        <v>181</v>
      </c>
      <c r="M603" s="11"/>
      <c r="N603" s="4" t="str">
        <f t="shared" si="1"/>
        <v>Javiera Rodríguez Rojas</v>
      </c>
      <c r="O603" s="6" t="str">
        <f t="shared" si="2"/>
        <v>12080467-K</v>
      </c>
      <c r="P603" s="6" t="str">
        <f t="shared" si="3"/>
        <v>Viña del Mar - Valparaíso - Región de Valparaíso</v>
      </c>
      <c r="Q603" s="4" t="str">
        <f t="shared" si="4"/>
        <v>Inactivo</v>
      </c>
      <c r="R603" s="12" t="str">
        <f t="shared" si="5"/>
        <v>Riesgo Medio</v>
      </c>
    </row>
    <row r="604">
      <c r="A604" s="1" t="s">
        <v>2850</v>
      </c>
      <c r="B604" s="9" t="s">
        <v>2852</v>
      </c>
      <c r="C604" s="9" t="s">
        <v>4746</v>
      </c>
      <c r="D604" s="1" t="s">
        <v>2856</v>
      </c>
      <c r="E604" s="1" t="s">
        <v>72</v>
      </c>
      <c r="F604" s="1" t="s">
        <v>62</v>
      </c>
      <c r="G604" s="1" t="s">
        <v>63</v>
      </c>
      <c r="H604" s="2">
        <v>1.493E7</v>
      </c>
      <c r="I604" s="1">
        <v>120.0</v>
      </c>
      <c r="J604" s="9" t="s">
        <v>97</v>
      </c>
      <c r="K604" s="5">
        <v>46028.0</v>
      </c>
      <c r="L604" s="11" t="s">
        <v>160</v>
      </c>
      <c r="M604" s="11"/>
      <c r="N604" s="4" t="str">
        <f t="shared" si="1"/>
        <v>Javiera Rodríguez Silva</v>
      </c>
      <c r="O604" s="6" t="str">
        <f t="shared" si="2"/>
        <v>11040355-4</v>
      </c>
      <c r="P604" s="6" t="str">
        <f t="shared" si="3"/>
        <v>Providencia - Santiago - Región Metropolitana</v>
      </c>
      <c r="Q604" s="4" t="str">
        <f t="shared" si="4"/>
        <v>Inactivo</v>
      </c>
      <c r="R604" s="12" t="str">
        <f t="shared" si="5"/>
        <v>Riesgo Medio</v>
      </c>
    </row>
    <row r="605">
      <c r="A605" s="1" t="s">
        <v>4603</v>
      </c>
      <c r="B605" s="9" t="s">
        <v>4604</v>
      </c>
      <c r="C605" s="9" t="s">
        <v>4605</v>
      </c>
      <c r="D605" s="1" t="s">
        <v>2856</v>
      </c>
      <c r="E605" s="1" t="s">
        <v>26</v>
      </c>
      <c r="F605" s="1" t="s">
        <v>26</v>
      </c>
      <c r="G605" s="1" t="s">
        <v>27</v>
      </c>
      <c r="H605" s="2">
        <v>4650000.0</v>
      </c>
      <c r="I605" s="1">
        <v>0.0</v>
      </c>
      <c r="J605" s="9" t="s">
        <v>28</v>
      </c>
      <c r="K605" s="5">
        <v>46225.0</v>
      </c>
      <c r="L605" s="11" t="s">
        <v>160</v>
      </c>
      <c r="M605" s="11"/>
      <c r="N605" s="4" t="str">
        <f t="shared" si="1"/>
        <v>Javiera Rodríguez Soto</v>
      </c>
      <c r="O605" s="6" t="str">
        <f t="shared" si="2"/>
        <v>14.853.288-K</v>
      </c>
      <c r="P605" s="6" t="str">
        <f t="shared" si="3"/>
        <v>Valparaíso - Valparaíso - Región de Valparaíso</v>
      </c>
      <c r="Q605" s="4" t="str">
        <f t="shared" si="4"/>
        <v>Activo</v>
      </c>
      <c r="R605" s="12" t="str">
        <f t="shared" si="5"/>
        <v>Riesgo Bajo</v>
      </c>
    </row>
    <row r="606">
      <c r="A606" s="1" t="s">
        <v>1590</v>
      </c>
      <c r="B606" s="9" t="s">
        <v>1591</v>
      </c>
      <c r="C606" s="9" t="s">
        <v>4748</v>
      </c>
      <c r="D606" s="1" t="s">
        <v>1593</v>
      </c>
      <c r="E606" s="1" t="s">
        <v>39</v>
      </c>
      <c r="F606" s="1" t="s">
        <v>39</v>
      </c>
      <c r="G606" s="1" t="s">
        <v>40</v>
      </c>
      <c r="H606" s="2">
        <v>1.6E7</v>
      </c>
      <c r="I606" s="1">
        <v>0.0</v>
      </c>
      <c r="J606" s="9" t="s">
        <v>20</v>
      </c>
      <c r="K606" s="5">
        <v>46078.0</v>
      </c>
      <c r="L606" s="11" t="s">
        <v>207</v>
      </c>
      <c r="M606" s="11"/>
      <c r="N606" s="4" t="str">
        <f t="shared" si="1"/>
        <v>Javiera Rojas Araya</v>
      </c>
      <c r="O606" s="6" t="str">
        <f t="shared" si="2"/>
        <v>15.877.258-3</v>
      </c>
      <c r="P606" s="6" t="str">
        <f t="shared" si="3"/>
        <v>Concepción - Concepción - Región del Biobío</v>
      </c>
      <c r="Q606" s="4" t="str">
        <f t="shared" si="4"/>
        <v>En Revisión</v>
      </c>
      <c r="R606" s="12" t="str">
        <f t="shared" si="5"/>
        <v>Riesgo Medio</v>
      </c>
    </row>
    <row r="607">
      <c r="A607" s="1" t="s">
        <v>3598</v>
      </c>
      <c r="B607" s="9" t="s">
        <v>3599</v>
      </c>
      <c r="C607" s="9" t="s">
        <v>4749</v>
      </c>
      <c r="D607" s="1" t="s">
        <v>2152</v>
      </c>
      <c r="E607" s="1" t="s">
        <v>109</v>
      </c>
      <c r="F607" s="1" t="s">
        <v>62</v>
      </c>
      <c r="G607" s="1" t="s">
        <v>63</v>
      </c>
      <c r="H607" s="2">
        <v>6470000.0</v>
      </c>
      <c r="I607" s="1">
        <v>0.0</v>
      </c>
      <c r="J607" s="9" t="s">
        <v>20</v>
      </c>
      <c r="K607" s="5">
        <v>46209.0</v>
      </c>
      <c r="L607" s="11" t="s">
        <v>160</v>
      </c>
      <c r="M607" s="11"/>
      <c r="N607" s="4" t="str">
        <f t="shared" si="1"/>
        <v>Javiera Sepúlveda Sepúlveda</v>
      </c>
      <c r="O607" s="6" t="str">
        <f t="shared" si="2"/>
        <v>11.837.195-9</v>
      </c>
      <c r="P607" s="6" t="str">
        <f t="shared" si="3"/>
        <v>Ñuñoa - Santiago - Región Metropolitana</v>
      </c>
      <c r="Q607" s="4" t="str">
        <f t="shared" si="4"/>
        <v>En Revisión</v>
      </c>
      <c r="R607" s="12" t="str">
        <f t="shared" si="5"/>
        <v>Riesgo Medio</v>
      </c>
    </row>
    <row r="608">
      <c r="A608" s="1" t="s">
        <v>2404</v>
      </c>
      <c r="B608" s="9" t="s">
        <v>2405</v>
      </c>
      <c r="C608" s="9" t="s">
        <v>2407</v>
      </c>
      <c r="D608" s="1" t="s">
        <v>2409</v>
      </c>
      <c r="E608" s="1" t="s">
        <v>72</v>
      </c>
      <c r="F608" s="1" t="s">
        <v>62</v>
      </c>
      <c r="G608" s="1" t="s">
        <v>63</v>
      </c>
      <c r="H608" s="2">
        <v>1.92E7</v>
      </c>
      <c r="I608" s="1">
        <v>15.0</v>
      </c>
      <c r="J608" s="9" t="s">
        <v>20</v>
      </c>
      <c r="K608" s="5">
        <v>46063.0</v>
      </c>
      <c r="L608" s="11" t="s">
        <v>207</v>
      </c>
      <c r="M608" s="11"/>
      <c r="N608" s="4" t="str">
        <f t="shared" si="1"/>
        <v>Javiera Silva Araya</v>
      </c>
      <c r="O608" s="6" t="str">
        <f t="shared" si="2"/>
        <v>12.564.358-1</v>
      </c>
      <c r="P608" s="6" t="str">
        <f t="shared" si="3"/>
        <v>Providencia - Santiago - Región Metropolitana</v>
      </c>
      <c r="Q608" s="4" t="str">
        <f t="shared" si="4"/>
        <v>En Revisión</v>
      </c>
      <c r="R608" s="12" t="str">
        <f t="shared" si="5"/>
        <v>Riesgo Medio</v>
      </c>
    </row>
    <row r="609">
      <c r="A609" s="1" t="s">
        <v>4333</v>
      </c>
      <c r="B609" s="9" t="s">
        <v>4334</v>
      </c>
      <c r="C609" s="9" t="s">
        <v>2407</v>
      </c>
      <c r="D609" s="1" t="s">
        <v>2409</v>
      </c>
      <c r="E609" s="1" t="s">
        <v>109</v>
      </c>
      <c r="F609" s="1" t="s">
        <v>62</v>
      </c>
      <c r="G609" s="1" t="s">
        <v>63</v>
      </c>
      <c r="H609" s="2">
        <v>1.629E7</v>
      </c>
      <c r="I609" s="1">
        <v>120.0</v>
      </c>
      <c r="J609" s="9" t="s">
        <v>20</v>
      </c>
      <c r="K609" s="5">
        <v>46161.0</v>
      </c>
      <c r="L609" s="11" t="s">
        <v>100</v>
      </c>
      <c r="M609" s="11"/>
      <c r="N609" s="4" t="str">
        <f t="shared" si="1"/>
        <v>Javiera Silva Araya</v>
      </c>
      <c r="O609" s="6" t="str">
        <f t="shared" si="2"/>
        <v>19.479.808-K</v>
      </c>
      <c r="P609" s="6" t="str">
        <f t="shared" si="3"/>
        <v>Ñuñoa - Santiago - Región Metropolitana</v>
      </c>
      <c r="Q609" s="4" t="str">
        <f t="shared" si="4"/>
        <v>En Revisión</v>
      </c>
      <c r="R609" s="12" t="str">
        <f t="shared" si="5"/>
        <v>Riesgo Medio</v>
      </c>
    </row>
    <row r="610">
      <c r="A610" s="1" t="s">
        <v>4548</v>
      </c>
      <c r="B610" s="9" t="s">
        <v>4549</v>
      </c>
      <c r="C610" s="9" t="s">
        <v>4550</v>
      </c>
      <c r="D610" s="1" t="s">
        <v>4551</v>
      </c>
      <c r="E610" s="1" t="s">
        <v>118</v>
      </c>
      <c r="F610" s="1" t="s">
        <v>62</v>
      </c>
      <c r="G610" s="1" t="s">
        <v>63</v>
      </c>
      <c r="H610" s="2">
        <v>1.718E7</v>
      </c>
      <c r="I610" s="1">
        <v>120.0</v>
      </c>
      <c r="J610" s="9" t="s">
        <v>20</v>
      </c>
      <c r="K610" s="5">
        <v>46119.0</v>
      </c>
      <c r="L610" s="11" t="s">
        <v>207</v>
      </c>
      <c r="M610" s="11"/>
      <c r="N610" s="4" t="str">
        <f t="shared" si="1"/>
        <v>Javiera Silva Contreras</v>
      </c>
      <c r="O610" s="6" t="str">
        <f t="shared" si="2"/>
        <v>20481651-5</v>
      </c>
      <c r="P610" s="6" t="str">
        <f t="shared" si="3"/>
        <v>Maipú - Santiago - Región Metropolitana</v>
      </c>
      <c r="Q610" s="4" t="str">
        <f t="shared" si="4"/>
        <v>En Revisión</v>
      </c>
      <c r="R610" s="12" t="str">
        <f t="shared" si="5"/>
        <v>Riesgo Medio</v>
      </c>
    </row>
    <row r="611">
      <c r="A611" s="1" t="s">
        <v>4451</v>
      </c>
      <c r="B611" s="9" t="s">
        <v>4452</v>
      </c>
      <c r="C611" s="9" t="s">
        <v>4760</v>
      </c>
      <c r="D611" s="1" t="s">
        <v>3455</v>
      </c>
      <c r="E611" s="1" t="s">
        <v>109</v>
      </c>
      <c r="F611" s="1" t="s">
        <v>62</v>
      </c>
      <c r="G611" s="1" t="s">
        <v>63</v>
      </c>
      <c r="H611" s="2">
        <v>8910000.0</v>
      </c>
      <c r="I611" s="1">
        <v>120.0</v>
      </c>
      <c r="J611" s="9" t="s">
        <v>20</v>
      </c>
      <c r="K611" s="5">
        <v>46044.0</v>
      </c>
      <c r="L611" s="11" t="s">
        <v>160</v>
      </c>
      <c r="M611" s="11"/>
      <c r="N611" s="4" t="str">
        <f t="shared" si="1"/>
        <v>Javiera Soto González</v>
      </c>
      <c r="O611" s="6" t="str">
        <f t="shared" si="2"/>
        <v>12.183.435-6</v>
      </c>
      <c r="P611" s="6" t="str">
        <f t="shared" si="3"/>
        <v>Ñuñoa - Santiago - Región Metropolitana</v>
      </c>
      <c r="Q611" s="4" t="str">
        <f t="shared" si="4"/>
        <v>En Revisión</v>
      </c>
      <c r="R611" s="12" t="str">
        <f t="shared" si="5"/>
        <v>Riesgo Medio</v>
      </c>
    </row>
    <row r="612">
      <c r="A612" s="1" t="s">
        <v>4279</v>
      </c>
      <c r="B612" s="9" t="s">
        <v>4280</v>
      </c>
      <c r="C612" s="9" t="s">
        <v>4765</v>
      </c>
      <c r="D612" s="1" t="s">
        <v>3455</v>
      </c>
      <c r="E612" s="1" t="s">
        <v>194</v>
      </c>
      <c r="F612" s="1" t="s">
        <v>62</v>
      </c>
      <c r="G612" s="1" t="s">
        <v>63</v>
      </c>
      <c r="H612" s="2">
        <v>1.969E7</v>
      </c>
      <c r="I612" s="1">
        <v>60.0</v>
      </c>
      <c r="J612" s="9" t="s">
        <v>20</v>
      </c>
      <c r="K612" s="5">
        <v>46205.0</v>
      </c>
      <c r="L612" s="11" t="s">
        <v>207</v>
      </c>
      <c r="M612" s="11"/>
      <c r="N612" s="4" t="str">
        <f t="shared" si="1"/>
        <v>Javiera Soto López</v>
      </c>
      <c r="O612" s="6" t="str">
        <f t="shared" si="2"/>
        <v>13.292.673-5</v>
      </c>
      <c r="P612" s="6" t="str">
        <f t="shared" si="3"/>
        <v>Las Condes - Santiago - Región Metropolitana</v>
      </c>
      <c r="Q612" s="4" t="str">
        <f t="shared" si="4"/>
        <v>En Revisión</v>
      </c>
      <c r="R612" s="12" t="str">
        <f t="shared" si="5"/>
        <v>Riesgo Medio</v>
      </c>
    </row>
    <row r="613">
      <c r="A613" s="1" t="s">
        <v>4415</v>
      </c>
      <c r="B613" s="9" t="s">
        <v>4416</v>
      </c>
      <c r="C613" s="9" t="s">
        <v>4418</v>
      </c>
      <c r="D613" s="1" t="s">
        <v>3393</v>
      </c>
      <c r="E613" s="1" t="s">
        <v>72</v>
      </c>
      <c r="F613" s="1" t="s">
        <v>62</v>
      </c>
      <c r="G613" s="1" t="s">
        <v>63</v>
      </c>
      <c r="H613" s="2">
        <v>1.814E7</v>
      </c>
      <c r="I613" s="1">
        <v>0.0</v>
      </c>
      <c r="J613" s="9" t="s">
        <v>20</v>
      </c>
      <c r="K613" s="5">
        <v>46136.0</v>
      </c>
      <c r="L613" s="11" t="s">
        <v>100</v>
      </c>
      <c r="M613" s="11"/>
      <c r="N613" s="4" t="str">
        <f t="shared" si="1"/>
        <v>Javiera Soto Pérez</v>
      </c>
      <c r="O613" s="6" t="str">
        <f t="shared" si="2"/>
        <v>19783717-4</v>
      </c>
      <c r="P613" s="6" t="str">
        <f t="shared" si="3"/>
        <v>Providencia - Santiago - Región Metropolitana</v>
      </c>
      <c r="Q613" s="4" t="str">
        <f t="shared" si="4"/>
        <v>En Revisión</v>
      </c>
      <c r="R613" s="12" t="str">
        <f t="shared" si="5"/>
        <v>Riesgo Medio</v>
      </c>
    </row>
    <row r="614">
      <c r="A614" s="1" t="s">
        <v>2899</v>
      </c>
      <c r="B614" s="9" t="s">
        <v>2900</v>
      </c>
      <c r="C614" s="9" t="s">
        <v>2901</v>
      </c>
      <c r="D614" s="1" t="s">
        <v>2903</v>
      </c>
      <c r="E614" s="1" t="s">
        <v>61</v>
      </c>
      <c r="F614" s="1" t="s">
        <v>62</v>
      </c>
      <c r="G614" s="1" t="s">
        <v>63</v>
      </c>
      <c r="H614" s="2">
        <v>1.975E7</v>
      </c>
      <c r="I614" s="1">
        <v>0.0</v>
      </c>
      <c r="J614" s="9" t="s">
        <v>28</v>
      </c>
      <c r="K614" s="5">
        <v>46204.0</v>
      </c>
      <c r="L614" s="11" t="s">
        <v>207</v>
      </c>
      <c r="M614" s="11"/>
      <c r="N614" s="4" t="str">
        <f t="shared" si="1"/>
        <v>Javiera Soto Silva</v>
      </c>
      <c r="O614" s="6" t="str">
        <f t="shared" si="2"/>
        <v>18770320-1</v>
      </c>
      <c r="P614" s="6" t="str">
        <f t="shared" si="3"/>
        <v>Santiago Centro - Santiago - Región Metropolitana</v>
      </c>
      <c r="Q614" s="4" t="str">
        <f t="shared" si="4"/>
        <v>Activo</v>
      </c>
      <c r="R614" s="12" t="str">
        <f t="shared" si="5"/>
        <v>Riesgo Bajo</v>
      </c>
    </row>
    <row r="615">
      <c r="A615" s="1" t="s">
        <v>2494</v>
      </c>
      <c r="B615" s="9" t="s">
        <v>2495</v>
      </c>
      <c r="C615" s="9" t="s">
        <v>2496</v>
      </c>
      <c r="D615" s="1" t="s">
        <v>2497</v>
      </c>
      <c r="E615" s="1" t="s">
        <v>109</v>
      </c>
      <c r="F615" s="1" t="s">
        <v>62</v>
      </c>
      <c r="G615" s="1" t="s">
        <v>63</v>
      </c>
      <c r="H615" s="2">
        <v>1.744E7</v>
      </c>
      <c r="I615" s="1">
        <v>15.0</v>
      </c>
      <c r="J615" s="9" t="s">
        <v>20</v>
      </c>
      <c r="K615" s="5">
        <v>46059.0</v>
      </c>
      <c r="L615" s="11" t="s">
        <v>207</v>
      </c>
      <c r="M615" s="11"/>
      <c r="N615" s="4" t="str">
        <f t="shared" si="1"/>
        <v>Javiera Soto Soto</v>
      </c>
      <c r="O615" s="6" t="str">
        <f t="shared" si="2"/>
        <v>13.137.745-7</v>
      </c>
      <c r="P615" s="6" t="str">
        <f t="shared" si="3"/>
        <v>Ñuñoa - Santiago - Región Metropolitana</v>
      </c>
      <c r="Q615" s="4" t="str">
        <f t="shared" si="4"/>
        <v>En Revisión</v>
      </c>
      <c r="R615" s="12" t="str">
        <f t="shared" si="5"/>
        <v>Riesgo Medio</v>
      </c>
    </row>
    <row r="616">
      <c r="A616" s="1" t="s">
        <v>4382</v>
      </c>
      <c r="B616" s="9" t="s">
        <v>4383</v>
      </c>
      <c r="C616" s="9" t="s">
        <v>4384</v>
      </c>
      <c r="D616" s="1" t="s">
        <v>2887</v>
      </c>
      <c r="E616" s="1" t="s">
        <v>158</v>
      </c>
      <c r="F616" s="1" t="s">
        <v>158</v>
      </c>
      <c r="G616" s="1" t="s">
        <v>159</v>
      </c>
      <c r="H616" s="2">
        <v>1.722E7</v>
      </c>
      <c r="I616" s="1">
        <v>30.0</v>
      </c>
      <c r="J616" s="9" t="s">
        <v>28</v>
      </c>
      <c r="K616" s="5">
        <v>46149.0</v>
      </c>
      <c r="L616" s="11" t="s">
        <v>100</v>
      </c>
      <c r="M616" s="11"/>
      <c r="N616" s="4" t="str">
        <f t="shared" si="1"/>
        <v>Javiera Vergara Rojas</v>
      </c>
      <c r="O616" s="6" t="str">
        <f t="shared" si="2"/>
        <v>20.261.325-7</v>
      </c>
      <c r="P616" s="6" t="str">
        <f t="shared" si="3"/>
        <v>Antofagasta - Antofagasta - Región de Antofagasta</v>
      </c>
      <c r="Q616" s="4" t="str">
        <f t="shared" si="4"/>
        <v>Activo</v>
      </c>
      <c r="R616" s="12" t="str">
        <f t="shared" si="5"/>
        <v>Riesgo Bajo</v>
      </c>
    </row>
    <row r="617">
      <c r="A617" s="1" t="s">
        <v>4693</v>
      </c>
      <c r="B617" s="9" t="s">
        <v>4694</v>
      </c>
      <c r="C617" s="9" t="s">
        <v>4776</v>
      </c>
      <c r="D617" s="1" t="s">
        <v>3862</v>
      </c>
      <c r="E617" s="1" t="s">
        <v>118</v>
      </c>
      <c r="F617" s="1" t="s">
        <v>62</v>
      </c>
      <c r="G617" s="1" t="s">
        <v>63</v>
      </c>
      <c r="H617" s="2">
        <v>1240000.0</v>
      </c>
      <c r="I617" s="1">
        <v>0.0</v>
      </c>
      <c r="J617" s="9" t="s">
        <v>20</v>
      </c>
      <c r="K617" s="5">
        <v>46077.0</v>
      </c>
      <c r="L617" s="11" t="s">
        <v>207</v>
      </c>
      <c r="M617" s="11"/>
      <c r="N617" s="4" t="str">
        <f t="shared" si="1"/>
        <v>Loreto Araya González</v>
      </c>
      <c r="O617" s="6" t="str">
        <f t="shared" si="2"/>
        <v>21243426-0</v>
      </c>
      <c r="P617" s="6" t="str">
        <f t="shared" si="3"/>
        <v>Maipú - Santiago - Región Metropolitana</v>
      </c>
      <c r="Q617" s="4" t="str">
        <f t="shared" si="4"/>
        <v>En Revisión</v>
      </c>
      <c r="R617" s="12" t="str">
        <f t="shared" si="5"/>
        <v>Riesgo Medio</v>
      </c>
    </row>
    <row r="618">
      <c r="A618" s="1" t="s">
        <v>3859</v>
      </c>
      <c r="B618" s="9" t="s">
        <v>3860</v>
      </c>
      <c r="C618" s="9" t="s">
        <v>4777</v>
      </c>
      <c r="D618" s="1" t="s">
        <v>3862</v>
      </c>
      <c r="E618" s="1" t="s">
        <v>61</v>
      </c>
      <c r="F618" s="1" t="s">
        <v>62</v>
      </c>
      <c r="G618" s="1" t="s">
        <v>63</v>
      </c>
      <c r="H618" s="2">
        <v>6410000.0</v>
      </c>
      <c r="I618" s="1">
        <v>0.0</v>
      </c>
      <c r="J618" s="9" t="s">
        <v>20</v>
      </c>
      <c r="K618" s="5">
        <v>46035.0</v>
      </c>
      <c r="L618" s="11" t="s">
        <v>100</v>
      </c>
      <c r="M618" s="11"/>
      <c r="N618" s="4" t="str">
        <f t="shared" si="1"/>
        <v>Loreto Araya Pérez</v>
      </c>
      <c r="O618" s="6" t="str">
        <f t="shared" si="2"/>
        <v>16510482-0</v>
      </c>
      <c r="P618" s="6" t="str">
        <f t="shared" si="3"/>
        <v>Santiago Centro - Santiago - Región Metropolitana</v>
      </c>
      <c r="Q618" s="4" t="str">
        <f t="shared" si="4"/>
        <v>En Revisión</v>
      </c>
      <c r="R618" s="12" t="str">
        <f t="shared" si="5"/>
        <v>Riesgo Medio</v>
      </c>
    </row>
    <row r="619">
      <c r="A619" s="1" t="s">
        <v>4498</v>
      </c>
      <c r="B619" s="9" t="s">
        <v>4499</v>
      </c>
      <c r="C619" s="9" t="s">
        <v>4780</v>
      </c>
      <c r="D619" s="1" t="s">
        <v>4502</v>
      </c>
      <c r="E619" s="1" t="s">
        <v>158</v>
      </c>
      <c r="F619" s="1" t="s">
        <v>158</v>
      </c>
      <c r="G619" s="1" t="s">
        <v>159</v>
      </c>
      <c r="H619" s="2">
        <v>5960000.0</v>
      </c>
      <c r="I619" s="1">
        <v>45.0</v>
      </c>
      <c r="J619" s="9" t="s">
        <v>97</v>
      </c>
      <c r="K619" s="5">
        <v>46083.0</v>
      </c>
      <c r="L619" s="11" t="s">
        <v>160</v>
      </c>
      <c r="M619" s="11"/>
      <c r="N619" s="4" t="str">
        <f t="shared" si="1"/>
        <v>Loreto Araya Vergara</v>
      </c>
      <c r="O619" s="6" t="str">
        <f t="shared" si="2"/>
        <v>20134873-K</v>
      </c>
      <c r="P619" s="6" t="str">
        <f t="shared" si="3"/>
        <v>Antofagasta - Antofagasta - Región de Antofagasta</v>
      </c>
      <c r="Q619" s="4" t="str">
        <f t="shared" si="4"/>
        <v>Inactivo</v>
      </c>
      <c r="R619" s="12" t="str">
        <f t="shared" si="5"/>
        <v>Riesgo Medio</v>
      </c>
    </row>
    <row r="620">
      <c r="A620" s="1" t="s">
        <v>4106</v>
      </c>
      <c r="B620" s="9" t="s">
        <v>4107</v>
      </c>
      <c r="C620" s="9" t="s">
        <v>4108</v>
      </c>
      <c r="D620" s="1" t="s">
        <v>4109</v>
      </c>
      <c r="E620" s="1" t="s">
        <v>56</v>
      </c>
      <c r="F620" s="1" t="s">
        <v>39</v>
      </c>
      <c r="G620" s="1" t="s">
        <v>40</v>
      </c>
      <c r="H620" s="2">
        <v>3800000.0</v>
      </c>
      <c r="I620" s="1">
        <v>60.0</v>
      </c>
      <c r="J620" s="9" t="s">
        <v>20</v>
      </c>
      <c r="K620" s="5">
        <v>46072.0</v>
      </c>
      <c r="L620" s="11" t="s">
        <v>181</v>
      </c>
      <c r="M620" s="11"/>
      <c r="N620" s="4" t="str">
        <f t="shared" si="1"/>
        <v>Loreto Espinoza González</v>
      </c>
      <c r="O620" s="6" t="str">
        <f t="shared" si="2"/>
        <v>17.118.066-0</v>
      </c>
      <c r="P620" s="6" t="str">
        <f t="shared" si="3"/>
        <v>Talcahuano - Concepción - Región del Biobío</v>
      </c>
      <c r="Q620" s="4" t="str">
        <f t="shared" si="4"/>
        <v>En Revisión</v>
      </c>
      <c r="R620" s="12" t="str">
        <f t="shared" si="5"/>
        <v>Riesgo Medio</v>
      </c>
    </row>
    <row r="621">
      <c r="A621" s="1" t="s">
        <v>3897</v>
      </c>
      <c r="B621" s="9" t="s">
        <v>3899</v>
      </c>
      <c r="C621" s="9" t="s">
        <v>3900</v>
      </c>
      <c r="D621" s="1" t="s">
        <v>3901</v>
      </c>
      <c r="E621" s="1" t="s">
        <v>45</v>
      </c>
      <c r="F621" s="1" t="s">
        <v>45</v>
      </c>
      <c r="G621" s="1" t="s">
        <v>46</v>
      </c>
      <c r="H621" s="2">
        <v>1.318E7</v>
      </c>
      <c r="I621" s="1">
        <v>30.0</v>
      </c>
      <c r="J621" s="9" t="s">
        <v>20</v>
      </c>
      <c r="K621" s="5">
        <v>46206.0</v>
      </c>
      <c r="L621" s="11" t="s">
        <v>199</v>
      </c>
      <c r="M621" s="11"/>
      <c r="N621" s="4" t="str">
        <f t="shared" si="1"/>
        <v>Loreto Espinoza Soto</v>
      </c>
      <c r="O621" s="6" t="str">
        <f t="shared" si="2"/>
        <v>17.018.530-4</v>
      </c>
      <c r="P621" s="6" t="str">
        <f t="shared" si="3"/>
        <v>Temuco - Temuco - Región de la Araucanía</v>
      </c>
      <c r="Q621" s="4" t="str">
        <f t="shared" si="4"/>
        <v>En Revisión</v>
      </c>
      <c r="R621" s="12" t="str">
        <f t="shared" si="5"/>
        <v>Riesgo Medio</v>
      </c>
    </row>
    <row r="622">
      <c r="A622" s="1" t="s">
        <v>4771</v>
      </c>
      <c r="B622" s="9" t="s">
        <v>4772</v>
      </c>
      <c r="C622" s="9" t="s">
        <v>4785</v>
      </c>
      <c r="D622" s="1" t="s">
        <v>4774</v>
      </c>
      <c r="E622" s="1" t="s">
        <v>39</v>
      </c>
      <c r="F622" s="1" t="s">
        <v>39</v>
      </c>
      <c r="G622" s="1" t="s">
        <v>40</v>
      </c>
      <c r="H622" s="2">
        <v>3140000.0</v>
      </c>
      <c r="I622" s="1">
        <v>120.0</v>
      </c>
      <c r="J622" s="9" t="s">
        <v>20</v>
      </c>
      <c r="K622" s="5">
        <v>46069.0</v>
      </c>
      <c r="L622" s="11" t="s">
        <v>207</v>
      </c>
      <c r="M622" s="11"/>
      <c r="N622" s="4" t="str">
        <f t="shared" si="1"/>
        <v>Loreto Fuentes Soto</v>
      </c>
      <c r="O622" s="6" t="str">
        <f t="shared" si="2"/>
        <v>19.693.520-2</v>
      </c>
      <c r="P622" s="6" t="str">
        <f t="shared" si="3"/>
        <v>Concepción - Concepción - Región del Biobío</v>
      </c>
      <c r="Q622" s="4" t="str">
        <f t="shared" si="4"/>
        <v>En Revisión</v>
      </c>
      <c r="R622" s="12" t="str">
        <f t="shared" si="5"/>
        <v>Riesgo Medio</v>
      </c>
    </row>
    <row r="623">
      <c r="A623" s="1" t="s">
        <v>4471</v>
      </c>
      <c r="B623" s="9" t="s">
        <v>4472</v>
      </c>
      <c r="C623" s="9" t="s">
        <v>4473</v>
      </c>
      <c r="D623" s="1" t="s">
        <v>442</v>
      </c>
      <c r="E623" s="1" t="s">
        <v>56</v>
      </c>
      <c r="F623" s="1" t="s">
        <v>39</v>
      </c>
      <c r="G623" s="1" t="s">
        <v>40</v>
      </c>
      <c r="H623" s="2">
        <v>1.799E7</v>
      </c>
      <c r="I623" s="1">
        <v>45.0</v>
      </c>
      <c r="J623" s="9" t="s">
        <v>97</v>
      </c>
      <c r="K623" s="5">
        <v>46067.0</v>
      </c>
      <c r="L623" s="11" t="s">
        <v>160</v>
      </c>
      <c r="M623" s="11"/>
      <c r="N623" s="4" t="str">
        <f t="shared" si="1"/>
        <v>Loreto Morales Contreras</v>
      </c>
      <c r="O623" s="6" t="str">
        <f t="shared" si="2"/>
        <v>18.332.488-6</v>
      </c>
      <c r="P623" s="6" t="str">
        <f t="shared" si="3"/>
        <v>Talcahuano - Concepción - Región del Biobío</v>
      </c>
      <c r="Q623" s="4" t="str">
        <f t="shared" si="4"/>
        <v>Inactivo</v>
      </c>
      <c r="R623" s="12" t="str">
        <f t="shared" si="5"/>
        <v>Riesgo Medio</v>
      </c>
    </row>
    <row r="624">
      <c r="A624" s="1" t="s">
        <v>4202</v>
      </c>
      <c r="B624" s="9" t="s">
        <v>4203</v>
      </c>
      <c r="C624" s="9" t="s">
        <v>4204</v>
      </c>
      <c r="D624" s="1" t="s">
        <v>442</v>
      </c>
      <c r="E624" s="1" t="s">
        <v>61</v>
      </c>
      <c r="F624" s="1" t="s">
        <v>62</v>
      </c>
      <c r="G624" s="1" t="s">
        <v>63</v>
      </c>
      <c r="H624" s="2">
        <v>1.325E7</v>
      </c>
      <c r="I624" s="1">
        <v>90.0</v>
      </c>
      <c r="J624" s="9" t="s">
        <v>28</v>
      </c>
      <c r="K624" s="5">
        <v>46134.0</v>
      </c>
      <c r="L624" s="11" t="s">
        <v>100</v>
      </c>
      <c r="M624" s="11"/>
      <c r="N624" s="4" t="str">
        <f t="shared" si="1"/>
        <v>Loreto Morales Díaz</v>
      </c>
      <c r="O624" s="6" t="str">
        <f t="shared" si="2"/>
        <v>16.870.633-5</v>
      </c>
      <c r="P624" s="6" t="str">
        <f t="shared" si="3"/>
        <v>Santiago Centro - Santiago - Región Metropolitana</v>
      </c>
      <c r="Q624" s="4" t="str">
        <f t="shared" si="4"/>
        <v>Activo</v>
      </c>
      <c r="R624" s="12" t="str">
        <f t="shared" si="5"/>
        <v>Riesgo Alto</v>
      </c>
    </row>
    <row r="625">
      <c r="A625" s="1" t="s">
        <v>437</v>
      </c>
      <c r="B625" s="9" t="s">
        <v>439</v>
      </c>
      <c r="C625" s="9" t="s">
        <v>441</v>
      </c>
      <c r="D625" s="1" t="s">
        <v>442</v>
      </c>
      <c r="E625" s="1" t="s">
        <v>56</v>
      </c>
      <c r="F625" s="1" t="s">
        <v>39</v>
      </c>
      <c r="G625" s="1" t="s">
        <v>40</v>
      </c>
      <c r="H625" s="2">
        <v>1.373E7</v>
      </c>
      <c r="I625" s="1">
        <v>30.0</v>
      </c>
      <c r="J625" s="9" t="s">
        <v>20</v>
      </c>
      <c r="K625" s="5">
        <v>46123.0</v>
      </c>
      <c r="L625" s="11" t="s">
        <v>160</v>
      </c>
      <c r="M625" s="11"/>
      <c r="N625" s="4" t="str">
        <f t="shared" si="1"/>
        <v>Loreto Morales Pérez</v>
      </c>
      <c r="O625" s="6" t="str">
        <f t="shared" si="2"/>
        <v>14.331.264-2</v>
      </c>
      <c r="P625" s="6" t="str">
        <f t="shared" si="3"/>
        <v>Talcahuano - Concepción - Región del Biobío</v>
      </c>
      <c r="Q625" s="4" t="str">
        <f t="shared" si="4"/>
        <v>En Revisión</v>
      </c>
      <c r="R625" s="12" t="str">
        <f t="shared" si="5"/>
        <v>Riesgo Medio</v>
      </c>
    </row>
    <row r="626">
      <c r="A626" s="1" t="s">
        <v>4561</v>
      </c>
      <c r="B626" s="9" t="s">
        <v>4562</v>
      </c>
      <c r="C626" s="9" t="s">
        <v>4563</v>
      </c>
      <c r="D626" s="1" t="s">
        <v>4564</v>
      </c>
      <c r="E626" s="1" t="s">
        <v>45</v>
      </c>
      <c r="F626" s="1" t="s">
        <v>45</v>
      </c>
      <c r="G626" s="1" t="s">
        <v>46</v>
      </c>
      <c r="H626" s="2">
        <v>1.322E7</v>
      </c>
      <c r="I626" s="1">
        <v>0.0</v>
      </c>
      <c r="J626" s="9" t="s">
        <v>28</v>
      </c>
      <c r="K626" s="5">
        <v>46176.0</v>
      </c>
      <c r="L626" s="11" t="s">
        <v>160</v>
      </c>
      <c r="M626" s="11"/>
      <c r="N626" s="4" t="str">
        <f t="shared" si="1"/>
        <v>Loreto Morales Valenzuela</v>
      </c>
      <c r="O626" s="6" t="str">
        <f t="shared" si="2"/>
        <v>18.376.078-9</v>
      </c>
      <c r="P626" s="6" t="str">
        <f t="shared" si="3"/>
        <v>Temuco - Temuco - Región de la Araucanía</v>
      </c>
      <c r="Q626" s="4" t="str">
        <f t="shared" si="4"/>
        <v>Activo</v>
      </c>
      <c r="R626" s="12" t="str">
        <f t="shared" si="5"/>
        <v>Riesgo Bajo</v>
      </c>
    </row>
    <row r="627">
      <c r="A627" s="1" t="s">
        <v>3366</v>
      </c>
      <c r="B627" s="9" t="s">
        <v>3367</v>
      </c>
      <c r="C627" s="9" t="s">
        <v>4811</v>
      </c>
      <c r="D627" s="1" t="s">
        <v>3369</v>
      </c>
      <c r="E627" s="1" t="s">
        <v>25</v>
      </c>
      <c r="F627" s="1" t="s">
        <v>26</v>
      </c>
      <c r="G627" s="1" t="s">
        <v>27</v>
      </c>
      <c r="H627" s="2">
        <v>1.556E7</v>
      </c>
      <c r="I627" s="1">
        <v>90.0</v>
      </c>
      <c r="J627" s="9" t="s">
        <v>28</v>
      </c>
      <c r="K627" s="5">
        <v>46084.0</v>
      </c>
      <c r="L627" s="11" t="s">
        <v>181</v>
      </c>
      <c r="M627" s="11"/>
      <c r="N627" s="4" t="str">
        <f t="shared" si="1"/>
        <v>Loreto Muñoz Morales</v>
      </c>
      <c r="O627" s="6" t="str">
        <f t="shared" si="2"/>
        <v>18765805-3</v>
      </c>
      <c r="P627" s="6" t="str">
        <f t="shared" si="3"/>
        <v>Viña del Mar - Valparaíso - Región de Valparaíso</v>
      </c>
      <c r="Q627" s="4" t="str">
        <f t="shared" si="4"/>
        <v>Activo</v>
      </c>
      <c r="R627" s="12" t="str">
        <f t="shared" si="5"/>
        <v>Riesgo Alto</v>
      </c>
    </row>
    <row r="628">
      <c r="A628" s="1" t="s">
        <v>165</v>
      </c>
      <c r="B628" s="9" t="s">
        <v>166</v>
      </c>
      <c r="C628" s="9" t="s">
        <v>167</v>
      </c>
      <c r="D628" s="1" t="s">
        <v>168</v>
      </c>
      <c r="E628" s="1" t="s">
        <v>109</v>
      </c>
      <c r="F628" s="1" t="s">
        <v>62</v>
      </c>
      <c r="G628" s="1" t="s">
        <v>63</v>
      </c>
      <c r="H628" s="2">
        <v>1.628E7</v>
      </c>
      <c r="I628" s="1">
        <v>60.0</v>
      </c>
      <c r="J628" s="9" t="s">
        <v>97</v>
      </c>
      <c r="K628" s="5">
        <v>46036.0</v>
      </c>
      <c r="L628" s="11" t="s">
        <v>160</v>
      </c>
      <c r="M628" s="11"/>
      <c r="N628" s="4" t="str">
        <f t="shared" si="1"/>
        <v>Loreto Pérez Araya</v>
      </c>
      <c r="O628" s="6" t="str">
        <f t="shared" si="2"/>
        <v>11562196-8</v>
      </c>
      <c r="P628" s="6" t="str">
        <f t="shared" si="3"/>
        <v>Ñuñoa - Santiago - Región Metropolitana</v>
      </c>
      <c r="Q628" s="4" t="str">
        <f t="shared" si="4"/>
        <v>Inactivo</v>
      </c>
      <c r="R628" s="12" t="str">
        <f t="shared" si="5"/>
        <v>Riesgo Medio</v>
      </c>
    </row>
    <row r="629">
      <c r="A629" s="1" t="s">
        <v>2555</v>
      </c>
      <c r="B629" s="9" t="s">
        <v>2556</v>
      </c>
      <c r="C629" s="9" t="s">
        <v>4812</v>
      </c>
      <c r="D629" s="1" t="s">
        <v>2558</v>
      </c>
      <c r="E629" s="1" t="s">
        <v>26</v>
      </c>
      <c r="F629" s="1" t="s">
        <v>26</v>
      </c>
      <c r="G629" s="1" t="s">
        <v>27</v>
      </c>
      <c r="H629" s="2">
        <v>5440000.0</v>
      </c>
      <c r="I629" s="1">
        <v>120.0</v>
      </c>
      <c r="J629" s="9" t="s">
        <v>20</v>
      </c>
      <c r="K629" s="5">
        <v>46189.0</v>
      </c>
      <c r="L629" s="11" t="s">
        <v>160</v>
      </c>
      <c r="M629" s="11"/>
      <c r="N629" s="4" t="str">
        <f t="shared" si="1"/>
        <v>Loreto Pérez Pérez</v>
      </c>
      <c r="O629" s="6" t="str">
        <f t="shared" si="2"/>
        <v>14.750.266-K</v>
      </c>
      <c r="P629" s="6" t="str">
        <f t="shared" si="3"/>
        <v>Valparaíso - Valparaíso - Región de Valparaíso</v>
      </c>
      <c r="Q629" s="4" t="str">
        <f t="shared" si="4"/>
        <v>En Revisión</v>
      </c>
      <c r="R629" s="12" t="str">
        <f t="shared" si="5"/>
        <v>Riesgo Medio</v>
      </c>
    </row>
    <row r="630">
      <c r="A630" s="1" t="s">
        <v>3382</v>
      </c>
      <c r="B630" s="9" t="s">
        <v>3383</v>
      </c>
      <c r="C630" s="9" t="s">
        <v>3384</v>
      </c>
      <c r="D630" s="1" t="s">
        <v>3385</v>
      </c>
      <c r="E630" s="1" t="s">
        <v>33</v>
      </c>
      <c r="F630" s="1" t="s">
        <v>33</v>
      </c>
      <c r="G630" s="1" t="s">
        <v>34</v>
      </c>
      <c r="H630" s="2">
        <v>1.262E7</v>
      </c>
      <c r="I630" s="1">
        <v>15.0</v>
      </c>
      <c r="J630" s="9" t="s">
        <v>20</v>
      </c>
      <c r="K630" s="5">
        <v>46122.0</v>
      </c>
      <c r="L630" s="11" t="s">
        <v>207</v>
      </c>
      <c r="M630" s="11"/>
      <c r="N630" s="4" t="str">
        <f t="shared" si="1"/>
        <v>Loreto Rodríguez Díaz</v>
      </c>
      <c r="O630" s="6" t="str">
        <f t="shared" si="2"/>
        <v>20.227.925-4</v>
      </c>
      <c r="P630" s="6" t="str">
        <f t="shared" si="3"/>
        <v>Puerto Montt - Puerto Montt - Región de Los Lagos</v>
      </c>
      <c r="Q630" s="4" t="str">
        <f t="shared" si="4"/>
        <v>En Revisión</v>
      </c>
      <c r="R630" s="12" t="str">
        <f t="shared" si="5"/>
        <v>Riesgo Medio</v>
      </c>
    </row>
    <row r="631">
      <c r="A631" s="1" t="s">
        <v>4403</v>
      </c>
      <c r="B631" s="9" t="s">
        <v>4405</v>
      </c>
      <c r="C631" s="9" t="s">
        <v>4407</v>
      </c>
      <c r="D631" s="1" t="s">
        <v>4409</v>
      </c>
      <c r="E631" s="1" t="s">
        <v>56</v>
      </c>
      <c r="F631" s="1" t="s">
        <v>39</v>
      </c>
      <c r="G631" s="1" t="s">
        <v>40</v>
      </c>
      <c r="H631" s="2">
        <v>1.594E7</v>
      </c>
      <c r="I631" s="1">
        <v>15.0</v>
      </c>
      <c r="J631" s="9" t="s">
        <v>28</v>
      </c>
      <c r="K631" s="5">
        <v>46213.0</v>
      </c>
      <c r="L631" s="11" t="s">
        <v>160</v>
      </c>
      <c r="M631" s="11"/>
      <c r="N631" s="4" t="str">
        <f t="shared" si="1"/>
        <v>Loreto Rodríguez Morales</v>
      </c>
      <c r="O631" s="6" t="str">
        <f t="shared" si="2"/>
        <v>16695468-8</v>
      </c>
      <c r="P631" s="6" t="str">
        <f t="shared" si="3"/>
        <v>Talcahuano - Concepción - Región del Biobío</v>
      </c>
      <c r="Q631" s="4" t="str">
        <f t="shared" si="4"/>
        <v>Activo</v>
      </c>
      <c r="R631" s="12" t="str">
        <f t="shared" si="5"/>
        <v>Riesgo Bajo</v>
      </c>
    </row>
    <row r="632">
      <c r="A632" s="1" t="s">
        <v>3709</v>
      </c>
      <c r="B632" s="9" t="s">
        <v>3710</v>
      </c>
      <c r="C632" s="9" t="s">
        <v>4813</v>
      </c>
      <c r="D632" s="1" t="s">
        <v>3712</v>
      </c>
      <c r="E632" s="1" t="s">
        <v>25</v>
      </c>
      <c r="F632" s="1" t="s">
        <v>26</v>
      </c>
      <c r="G632" s="1" t="s">
        <v>27</v>
      </c>
      <c r="H632" s="2">
        <v>1.126E7</v>
      </c>
      <c r="I632" s="1">
        <v>0.0</v>
      </c>
      <c r="J632" s="9" t="s">
        <v>28</v>
      </c>
      <c r="K632" s="5">
        <v>46098.0</v>
      </c>
      <c r="L632" s="11" t="s">
        <v>207</v>
      </c>
      <c r="M632" s="11"/>
      <c r="N632" s="4" t="str">
        <f t="shared" si="1"/>
        <v>Loreto Sepúlveda Rojas</v>
      </c>
      <c r="O632" s="6" t="str">
        <f t="shared" si="2"/>
        <v>18115354-6</v>
      </c>
      <c r="P632" s="6" t="str">
        <f t="shared" si="3"/>
        <v>Viña del Mar - Valparaíso - Región de Valparaíso</v>
      </c>
      <c r="Q632" s="4" t="str">
        <f t="shared" si="4"/>
        <v>Activo</v>
      </c>
      <c r="R632" s="12" t="str">
        <f t="shared" si="5"/>
        <v>Riesgo Bajo</v>
      </c>
    </row>
    <row r="633">
      <c r="A633" s="1" t="s">
        <v>3687</v>
      </c>
      <c r="B633" s="9" t="s">
        <v>3688</v>
      </c>
      <c r="C633" s="9" t="s">
        <v>3689</v>
      </c>
      <c r="D633" s="1" t="s">
        <v>3690</v>
      </c>
      <c r="E633" s="1" t="s">
        <v>18</v>
      </c>
      <c r="F633" s="1" t="s">
        <v>18</v>
      </c>
      <c r="G633" s="1" t="s">
        <v>19</v>
      </c>
      <c r="H633" s="2">
        <v>2.059E7</v>
      </c>
      <c r="I633" s="1">
        <v>0.0</v>
      </c>
      <c r="J633" s="9" t="s">
        <v>28</v>
      </c>
      <c r="K633" s="5">
        <v>46097.0</v>
      </c>
      <c r="L633" s="11" t="s">
        <v>100</v>
      </c>
      <c r="M633" s="11"/>
      <c r="N633" s="4" t="str">
        <f t="shared" si="1"/>
        <v>Loreto Sepúlveda Sepúlveda</v>
      </c>
      <c r="O633" s="6" t="str">
        <f t="shared" si="2"/>
        <v>22.006.541-5</v>
      </c>
      <c r="P633" s="6" t="str">
        <f t="shared" si="3"/>
        <v>La Serena - La Serena - Región de Coquimbo</v>
      </c>
      <c r="Q633" s="4" t="str">
        <f t="shared" si="4"/>
        <v>Activo</v>
      </c>
      <c r="R633" s="12" t="str">
        <f t="shared" si="5"/>
        <v>Riesgo Bajo</v>
      </c>
    </row>
    <row r="634">
      <c r="A634" s="1" t="s">
        <v>3828</v>
      </c>
      <c r="B634" s="9" t="s">
        <v>3829</v>
      </c>
      <c r="C634" s="9" t="s">
        <v>4814</v>
      </c>
      <c r="D634" s="1" t="s">
        <v>3831</v>
      </c>
      <c r="E634" s="1" t="s">
        <v>25</v>
      </c>
      <c r="F634" s="1" t="s">
        <v>26</v>
      </c>
      <c r="G634" s="1" t="s">
        <v>27</v>
      </c>
      <c r="H634" s="2">
        <v>1.029E7</v>
      </c>
      <c r="I634" s="1">
        <v>60.0</v>
      </c>
      <c r="J634" s="9" t="s">
        <v>20</v>
      </c>
      <c r="K634" s="5">
        <v>46205.0</v>
      </c>
      <c r="L634" s="11" t="s">
        <v>207</v>
      </c>
      <c r="M634" s="11"/>
      <c r="N634" s="4" t="str">
        <f t="shared" si="1"/>
        <v>Loreto Silva Araya</v>
      </c>
      <c r="O634" s="6" t="str">
        <f t="shared" si="2"/>
        <v>20.589.402-2</v>
      </c>
      <c r="P634" s="6" t="str">
        <f t="shared" si="3"/>
        <v>Viña del Mar - Valparaíso - Región de Valparaíso</v>
      </c>
      <c r="Q634" s="4" t="str">
        <f t="shared" si="4"/>
        <v>En Revisión</v>
      </c>
      <c r="R634" s="12" t="str">
        <f t="shared" si="5"/>
        <v>Riesgo Medio</v>
      </c>
    </row>
    <row r="635">
      <c r="A635" s="1" t="s">
        <v>2344</v>
      </c>
      <c r="B635" s="9" t="s">
        <v>2345</v>
      </c>
      <c r="C635" s="9" t="s">
        <v>2182</v>
      </c>
      <c r="D635" s="1" t="s">
        <v>2348</v>
      </c>
      <c r="E635" s="1" t="s">
        <v>158</v>
      </c>
      <c r="F635" s="1" t="s">
        <v>158</v>
      </c>
      <c r="G635" s="1" t="s">
        <v>159</v>
      </c>
      <c r="H635" s="2">
        <v>1.548E7</v>
      </c>
      <c r="I635" s="1">
        <v>30.0</v>
      </c>
      <c r="J635" s="9" t="s">
        <v>20</v>
      </c>
      <c r="K635" s="5">
        <v>46206.0</v>
      </c>
      <c r="L635" s="11" t="s">
        <v>207</v>
      </c>
      <c r="M635" s="11"/>
      <c r="N635" s="4" t="str">
        <f t="shared" si="1"/>
        <v>Loreto Silva Pérez</v>
      </c>
      <c r="O635" s="6" t="str">
        <f t="shared" si="2"/>
        <v>18.223.820-2</v>
      </c>
      <c r="P635" s="6" t="str">
        <f t="shared" si="3"/>
        <v>Antofagasta - Antofagasta - Región de Antofagasta</v>
      </c>
      <c r="Q635" s="4" t="str">
        <f t="shared" si="4"/>
        <v>En Revisión</v>
      </c>
      <c r="R635" s="12" t="str">
        <f t="shared" si="5"/>
        <v>Riesgo Medio</v>
      </c>
    </row>
    <row r="636">
      <c r="A636" s="1" t="s">
        <v>4807</v>
      </c>
      <c r="B636" s="9" t="s">
        <v>4808</v>
      </c>
      <c r="C636" s="9" t="s">
        <v>4809</v>
      </c>
      <c r="D636" s="1" t="s">
        <v>4810</v>
      </c>
      <c r="E636" s="1" t="s">
        <v>18</v>
      </c>
      <c r="F636" s="1" t="s">
        <v>18</v>
      </c>
      <c r="G636" s="1" t="s">
        <v>19</v>
      </c>
      <c r="H636" s="2">
        <v>2.116E7</v>
      </c>
      <c r="I636" s="1">
        <v>0.0</v>
      </c>
      <c r="J636" s="9" t="s">
        <v>97</v>
      </c>
      <c r="K636" s="5">
        <v>46030.0</v>
      </c>
      <c r="L636" s="11" t="s">
        <v>100</v>
      </c>
      <c r="M636" s="11"/>
      <c r="N636" s="4" t="str">
        <f t="shared" si="1"/>
        <v>Loreto Valenzuela Contreras</v>
      </c>
      <c r="O636" s="6" t="str">
        <f t="shared" si="2"/>
        <v>16.582.830-3</v>
      </c>
      <c r="P636" s="6" t="str">
        <f t="shared" si="3"/>
        <v>La Serena - La Serena - Región de Coquimbo</v>
      </c>
      <c r="Q636" s="4" t="str">
        <f t="shared" si="4"/>
        <v>Inactivo</v>
      </c>
      <c r="R636" s="12" t="str">
        <f t="shared" si="5"/>
        <v>Riesgo Bajo</v>
      </c>
    </row>
    <row r="637">
      <c r="A637" s="1" t="s">
        <v>1886</v>
      </c>
      <c r="B637" s="9" t="s">
        <v>1887</v>
      </c>
      <c r="C637" s="9" t="s">
        <v>1888</v>
      </c>
      <c r="D637" s="1" t="s">
        <v>1889</v>
      </c>
      <c r="E637" s="1" t="s">
        <v>45</v>
      </c>
      <c r="F637" s="1" t="s">
        <v>45</v>
      </c>
      <c r="G637" s="1" t="s">
        <v>46</v>
      </c>
      <c r="H637" s="2">
        <v>2.045E7</v>
      </c>
      <c r="I637" s="1">
        <v>0.0</v>
      </c>
      <c r="J637" s="9" t="s">
        <v>20</v>
      </c>
      <c r="K637" s="5">
        <v>46040.0</v>
      </c>
      <c r="L637" s="11" t="s">
        <v>207</v>
      </c>
      <c r="M637" s="11"/>
      <c r="N637" s="4" t="str">
        <f t="shared" si="1"/>
        <v>Loreto Valenzuela Pérez</v>
      </c>
      <c r="O637" s="6" t="str">
        <f t="shared" si="2"/>
        <v>19.431.904-7</v>
      </c>
      <c r="P637" s="6" t="str">
        <f t="shared" si="3"/>
        <v>Temuco - Temuco - Región de la Araucanía</v>
      </c>
      <c r="Q637" s="4" t="str">
        <f t="shared" si="4"/>
        <v>En Revisión</v>
      </c>
      <c r="R637" s="12" t="str">
        <f t="shared" si="5"/>
        <v>Riesgo Medio</v>
      </c>
    </row>
    <row r="638">
      <c r="A638" s="1" t="s">
        <v>4489</v>
      </c>
      <c r="B638" s="9" t="s">
        <v>4490</v>
      </c>
      <c r="C638" s="9" t="s">
        <v>4491</v>
      </c>
      <c r="D638" s="1" t="s">
        <v>4492</v>
      </c>
      <c r="E638" s="1" t="s">
        <v>18</v>
      </c>
      <c r="F638" s="1" t="s">
        <v>18</v>
      </c>
      <c r="G638" s="1" t="s">
        <v>19</v>
      </c>
      <c r="H638" s="2">
        <v>3720000.0</v>
      </c>
      <c r="I638" s="1">
        <v>60.0</v>
      </c>
      <c r="J638" s="9" t="s">
        <v>97</v>
      </c>
      <c r="K638" s="5">
        <v>46095.0</v>
      </c>
      <c r="L638" s="11" t="s">
        <v>100</v>
      </c>
      <c r="M638" s="11"/>
      <c r="N638" s="4" t="str">
        <f t="shared" si="1"/>
        <v>Loreto Vergara Contreras</v>
      </c>
      <c r="O638" s="6" t="str">
        <f t="shared" si="2"/>
        <v>13.573.284-1</v>
      </c>
      <c r="P638" s="6" t="str">
        <f t="shared" si="3"/>
        <v>La Serena - La Serena - Región de Coquimbo</v>
      </c>
      <c r="Q638" s="4" t="str">
        <f t="shared" si="4"/>
        <v>Inactivo</v>
      </c>
      <c r="R638" s="12" t="str">
        <f t="shared" si="5"/>
        <v>Riesgo Medio</v>
      </c>
    </row>
    <row r="639">
      <c r="A639" s="1" t="s">
        <v>4742</v>
      </c>
      <c r="B639" s="9" t="s">
        <v>4743</v>
      </c>
      <c r="C639" s="9" t="s">
        <v>4744</v>
      </c>
      <c r="D639" s="1" t="s">
        <v>4745</v>
      </c>
      <c r="E639" s="1" t="s">
        <v>39</v>
      </c>
      <c r="F639" s="1" t="s">
        <v>39</v>
      </c>
      <c r="G639" s="1" t="s">
        <v>40</v>
      </c>
      <c r="H639" s="2">
        <v>2.195E7</v>
      </c>
      <c r="I639" s="1">
        <v>0.0</v>
      </c>
      <c r="J639" s="9" t="s">
        <v>97</v>
      </c>
      <c r="K639" s="5">
        <v>46088.0</v>
      </c>
      <c r="L639" s="11" t="s">
        <v>160</v>
      </c>
      <c r="M639" s="11"/>
      <c r="N639" s="4" t="str">
        <f t="shared" si="1"/>
        <v>Loreto Vergara Soto</v>
      </c>
      <c r="O639" s="6" t="str">
        <f t="shared" si="2"/>
        <v>15688278-1</v>
      </c>
      <c r="P639" s="6" t="str">
        <f t="shared" si="3"/>
        <v>Concepción - Concepción - Región del Biobío</v>
      </c>
      <c r="Q639" s="4" t="str">
        <f t="shared" si="4"/>
        <v>Inactivo</v>
      </c>
      <c r="R639" s="12" t="str">
        <f t="shared" si="5"/>
        <v>Riesgo Bajo</v>
      </c>
    </row>
    <row r="640">
      <c r="A640" s="1" t="s">
        <v>4661</v>
      </c>
      <c r="B640" s="9" t="s">
        <v>4662</v>
      </c>
      <c r="C640" s="9" t="s">
        <v>4663</v>
      </c>
      <c r="D640" s="1" t="s">
        <v>4664</v>
      </c>
      <c r="E640" s="1" t="s">
        <v>72</v>
      </c>
      <c r="F640" s="1" t="s">
        <v>62</v>
      </c>
      <c r="G640" s="1" t="s">
        <v>63</v>
      </c>
      <c r="H640" s="2">
        <v>9250000.0</v>
      </c>
      <c r="I640" s="1">
        <v>45.0</v>
      </c>
      <c r="J640" s="9" t="s">
        <v>20</v>
      </c>
      <c r="K640" s="5">
        <v>46081.0</v>
      </c>
      <c r="L640" s="11" t="s">
        <v>181</v>
      </c>
      <c r="M640" s="11"/>
      <c r="N640" s="4" t="str">
        <f t="shared" si="1"/>
        <v>Macarena Araya Espinoza</v>
      </c>
      <c r="O640" s="6" t="str">
        <f t="shared" si="2"/>
        <v>18.247.565-2</v>
      </c>
      <c r="P640" s="6" t="str">
        <f t="shared" si="3"/>
        <v>Providencia - Santiago - Región Metropolitana</v>
      </c>
      <c r="Q640" s="4" t="str">
        <f t="shared" si="4"/>
        <v>En Revisión</v>
      </c>
      <c r="R640" s="12" t="str">
        <f t="shared" si="5"/>
        <v>Riesgo Medio</v>
      </c>
    </row>
    <row r="641">
      <c r="A641" s="1" t="s">
        <v>4642</v>
      </c>
      <c r="B641" s="9" t="s">
        <v>4643</v>
      </c>
      <c r="C641" s="9" t="s">
        <v>4644</v>
      </c>
      <c r="D641" s="1" t="s">
        <v>4645</v>
      </c>
      <c r="E641" s="1" t="s">
        <v>72</v>
      </c>
      <c r="F641" s="1" t="s">
        <v>62</v>
      </c>
      <c r="G641" s="1" t="s">
        <v>63</v>
      </c>
      <c r="H641" s="2">
        <v>2940000.0</v>
      </c>
      <c r="I641" s="1">
        <v>90.0</v>
      </c>
      <c r="J641" s="9" t="s">
        <v>28</v>
      </c>
      <c r="K641" s="5">
        <v>46122.0</v>
      </c>
      <c r="L641" s="11" t="s">
        <v>199</v>
      </c>
      <c r="M641" s="11"/>
      <c r="N641" s="4" t="str">
        <f t="shared" si="1"/>
        <v>Macarena Contreras Pérez</v>
      </c>
      <c r="O641" s="6" t="str">
        <f t="shared" si="2"/>
        <v>19.157.124-1</v>
      </c>
      <c r="P641" s="6" t="str">
        <f t="shared" si="3"/>
        <v>Providencia - Santiago - Región Metropolitana</v>
      </c>
      <c r="Q641" s="4" t="str">
        <f t="shared" si="4"/>
        <v>Activo</v>
      </c>
      <c r="R641" s="12" t="str">
        <f t="shared" si="5"/>
        <v>Riesgo Alto</v>
      </c>
    </row>
    <row r="642">
      <c r="A642" s="1" t="s">
        <v>847</v>
      </c>
      <c r="B642" s="9" t="s">
        <v>848</v>
      </c>
      <c r="C642" s="9" t="s">
        <v>1072</v>
      </c>
      <c r="D642" s="1" t="s">
        <v>851</v>
      </c>
      <c r="E642" s="1" t="s">
        <v>26</v>
      </c>
      <c r="F642" s="1" t="s">
        <v>26</v>
      </c>
      <c r="G642" s="1" t="s">
        <v>27</v>
      </c>
      <c r="H642" s="2">
        <v>1.903E7</v>
      </c>
      <c r="I642" s="1">
        <v>120.0</v>
      </c>
      <c r="J642" s="9" t="s">
        <v>97</v>
      </c>
      <c r="K642" s="5">
        <v>46124.0</v>
      </c>
      <c r="L642" s="11" t="s">
        <v>207</v>
      </c>
      <c r="M642" s="11"/>
      <c r="N642" s="4" t="str">
        <f t="shared" si="1"/>
        <v>Macarena Díaz Soto</v>
      </c>
      <c r="O642" s="6" t="str">
        <f t="shared" si="2"/>
        <v>18.898.568-6</v>
      </c>
      <c r="P642" s="6" t="str">
        <f t="shared" si="3"/>
        <v>Valparaíso - Valparaíso - Región de Valparaíso</v>
      </c>
      <c r="Q642" s="4" t="str">
        <f t="shared" si="4"/>
        <v>Inactivo</v>
      </c>
      <c r="R642" s="12" t="str">
        <f t="shared" si="5"/>
        <v>Riesgo Medio</v>
      </c>
    </row>
    <row r="643">
      <c r="A643" s="1" t="s">
        <v>1070</v>
      </c>
      <c r="B643" s="9" t="s">
        <v>1071</v>
      </c>
      <c r="C643" s="9" t="s">
        <v>1072</v>
      </c>
      <c r="D643" s="1" t="s">
        <v>851</v>
      </c>
      <c r="E643" s="1" t="s">
        <v>45</v>
      </c>
      <c r="F643" s="1" t="s">
        <v>45</v>
      </c>
      <c r="G643" s="1" t="s">
        <v>46</v>
      </c>
      <c r="H643" s="2">
        <v>3210000.0</v>
      </c>
      <c r="I643" s="1">
        <v>0.0</v>
      </c>
      <c r="J643" s="9" t="s">
        <v>97</v>
      </c>
      <c r="K643" s="5">
        <v>46089.0</v>
      </c>
      <c r="L643" s="11" t="s">
        <v>160</v>
      </c>
      <c r="M643" s="11"/>
      <c r="N643" s="4" t="str">
        <f t="shared" si="1"/>
        <v>Macarena Díaz Soto</v>
      </c>
      <c r="O643" s="6" t="str">
        <f t="shared" si="2"/>
        <v>11949041-8</v>
      </c>
      <c r="P643" s="6" t="str">
        <f t="shared" si="3"/>
        <v>Temuco - Temuco - Región de la Araucanía</v>
      </c>
      <c r="Q643" s="4" t="str">
        <f t="shared" si="4"/>
        <v>Inactivo</v>
      </c>
      <c r="R643" s="12" t="str">
        <f t="shared" si="5"/>
        <v>Riesgo Bajo</v>
      </c>
    </row>
    <row r="644">
      <c r="A644" s="1" t="s">
        <v>3947</v>
      </c>
      <c r="B644" s="9" t="s">
        <v>3948</v>
      </c>
      <c r="C644" s="9" t="s">
        <v>4815</v>
      </c>
      <c r="D644" s="1" t="s">
        <v>3950</v>
      </c>
      <c r="E644" s="1" t="s">
        <v>18</v>
      </c>
      <c r="F644" s="1" t="s">
        <v>18</v>
      </c>
      <c r="G644" s="1" t="s">
        <v>19</v>
      </c>
      <c r="H644" s="2">
        <v>1.259E7</v>
      </c>
      <c r="I644" s="1">
        <v>0.0</v>
      </c>
      <c r="J644" s="9" t="s">
        <v>20</v>
      </c>
      <c r="K644" s="5">
        <v>46091.0</v>
      </c>
      <c r="L644" s="11" t="s">
        <v>100</v>
      </c>
      <c r="M644" s="11"/>
      <c r="N644" s="4" t="str">
        <f t="shared" si="1"/>
        <v>Macarena Díaz Vergara</v>
      </c>
      <c r="O644" s="6" t="str">
        <f t="shared" si="2"/>
        <v>15101992-1</v>
      </c>
      <c r="P644" s="6" t="str">
        <f t="shared" si="3"/>
        <v>La Serena - La Serena - Región de Coquimbo</v>
      </c>
      <c r="Q644" s="4" t="str">
        <f t="shared" si="4"/>
        <v>En Revisión</v>
      </c>
      <c r="R644" s="12" t="str">
        <f t="shared" si="5"/>
        <v>Riesgo Medio</v>
      </c>
    </row>
    <row r="645">
      <c r="A645" s="1" t="s">
        <v>3458</v>
      </c>
      <c r="B645" s="9" t="s">
        <v>3460</v>
      </c>
      <c r="C645" s="9" t="s">
        <v>4816</v>
      </c>
      <c r="D645" s="1" t="s">
        <v>3462</v>
      </c>
      <c r="E645" s="1" t="s">
        <v>33</v>
      </c>
      <c r="F645" s="1" t="s">
        <v>33</v>
      </c>
      <c r="G645" s="1" t="s">
        <v>34</v>
      </c>
      <c r="H645" s="2">
        <v>1.166E7</v>
      </c>
      <c r="I645" s="1">
        <v>15.0</v>
      </c>
      <c r="J645" s="9" t="s">
        <v>97</v>
      </c>
      <c r="K645" s="5">
        <v>46205.0</v>
      </c>
      <c r="L645" s="11" t="s">
        <v>160</v>
      </c>
      <c r="M645" s="11"/>
      <c r="N645" s="4" t="str">
        <f t="shared" si="1"/>
        <v>Macarena Espinoza Espinoza</v>
      </c>
      <c r="O645" s="6" t="str">
        <f t="shared" si="2"/>
        <v>14.114.949-7</v>
      </c>
      <c r="P645" s="6" t="str">
        <f t="shared" si="3"/>
        <v>Puerto Montt - Puerto Montt - Región de Los Lagos</v>
      </c>
      <c r="Q645" s="4" t="str">
        <f t="shared" si="4"/>
        <v>Inactivo</v>
      </c>
      <c r="R645" s="12" t="str">
        <f t="shared" si="5"/>
        <v>Riesgo Bajo</v>
      </c>
    </row>
    <row r="646">
      <c r="A646" s="1" t="s">
        <v>2201</v>
      </c>
      <c r="B646" s="9" t="s">
        <v>2202</v>
      </c>
      <c r="C646" s="9" t="s">
        <v>4817</v>
      </c>
      <c r="D646" s="1" t="s">
        <v>2205</v>
      </c>
      <c r="E646" s="1" t="s">
        <v>194</v>
      </c>
      <c r="F646" s="1" t="s">
        <v>62</v>
      </c>
      <c r="G646" s="1" t="s">
        <v>63</v>
      </c>
      <c r="H646" s="2">
        <v>9160000.0</v>
      </c>
      <c r="I646" s="1">
        <v>0.0</v>
      </c>
      <c r="J646" s="9" t="s">
        <v>28</v>
      </c>
      <c r="K646" s="5">
        <v>46026.0</v>
      </c>
      <c r="L646" s="11" t="s">
        <v>160</v>
      </c>
      <c r="M646" s="11"/>
      <c r="N646" s="4" t="str">
        <f t="shared" si="1"/>
        <v>Macarena Espinoza López</v>
      </c>
      <c r="O646" s="6" t="str">
        <f t="shared" si="2"/>
        <v>12.928.449-8</v>
      </c>
      <c r="P646" s="6" t="str">
        <f t="shared" si="3"/>
        <v>Las Condes - Santiago - Región Metropolitana</v>
      </c>
      <c r="Q646" s="4" t="str">
        <f t="shared" si="4"/>
        <v>Activo</v>
      </c>
      <c r="R646" s="12" t="str">
        <f t="shared" si="5"/>
        <v>Riesgo Bajo</v>
      </c>
    </row>
    <row r="647">
      <c r="A647" s="1" t="s">
        <v>4766</v>
      </c>
      <c r="B647" s="9" t="s">
        <v>4767</v>
      </c>
      <c r="C647" s="9" t="s">
        <v>4818</v>
      </c>
      <c r="D647" s="1" t="s">
        <v>4769</v>
      </c>
      <c r="E647" s="1" t="s">
        <v>26</v>
      </c>
      <c r="F647" s="1" t="s">
        <v>26</v>
      </c>
      <c r="G647" s="1" t="s">
        <v>27</v>
      </c>
      <c r="H647" s="2">
        <v>1.581E7</v>
      </c>
      <c r="I647" s="1">
        <v>0.0</v>
      </c>
      <c r="J647" s="9" t="s">
        <v>28</v>
      </c>
      <c r="K647" s="5">
        <v>46155.0</v>
      </c>
      <c r="L647" s="11" t="s">
        <v>181</v>
      </c>
      <c r="M647" s="11"/>
      <c r="N647" s="4" t="str">
        <f t="shared" si="1"/>
        <v>Macarena Fuentes Rojas</v>
      </c>
      <c r="O647" s="6" t="str">
        <f t="shared" si="2"/>
        <v>17.015.200-3</v>
      </c>
      <c r="P647" s="6" t="str">
        <f t="shared" si="3"/>
        <v>Valparaíso - Valparaíso - Región de Valparaíso</v>
      </c>
      <c r="Q647" s="4" t="str">
        <f t="shared" si="4"/>
        <v>Activo</v>
      </c>
      <c r="R647" s="12" t="str">
        <f t="shared" si="5"/>
        <v>Riesgo Bajo</v>
      </c>
    </row>
    <row r="648">
      <c r="A648" s="1" t="s">
        <v>2736</v>
      </c>
      <c r="B648" s="9" t="s">
        <v>2737</v>
      </c>
      <c r="C648" s="9" t="s">
        <v>4819</v>
      </c>
      <c r="D648" s="1" t="s">
        <v>2739</v>
      </c>
      <c r="E648" s="1" t="s">
        <v>118</v>
      </c>
      <c r="F648" s="1" t="s">
        <v>62</v>
      </c>
      <c r="G648" s="1" t="s">
        <v>63</v>
      </c>
      <c r="H648" s="2">
        <v>1.209E7</v>
      </c>
      <c r="I648" s="1">
        <v>60.0</v>
      </c>
      <c r="J648" s="9" t="s">
        <v>28</v>
      </c>
      <c r="K648" s="5">
        <v>46205.0</v>
      </c>
      <c r="L648" s="11" t="s">
        <v>160</v>
      </c>
      <c r="M648" s="11"/>
      <c r="N648" s="4" t="str">
        <f t="shared" si="1"/>
        <v>Macarena Fuentes Sepúlveda</v>
      </c>
      <c r="O648" s="6" t="str">
        <f t="shared" si="2"/>
        <v>14.781.887-6</v>
      </c>
      <c r="P648" s="6" t="str">
        <f t="shared" si="3"/>
        <v>Maipú - Santiago - Región Metropolitana</v>
      </c>
      <c r="Q648" s="4" t="str">
        <f t="shared" si="4"/>
        <v>Activo</v>
      </c>
      <c r="R648" s="12" t="str">
        <f t="shared" si="5"/>
        <v>Riesgo Medio</v>
      </c>
    </row>
    <row r="649">
      <c r="A649" s="1" t="s">
        <v>677</v>
      </c>
      <c r="B649" s="9" t="s">
        <v>679</v>
      </c>
      <c r="C649" s="9" t="s">
        <v>680</v>
      </c>
      <c r="D649" s="1" t="s">
        <v>681</v>
      </c>
      <c r="E649" s="1" t="s">
        <v>33</v>
      </c>
      <c r="F649" s="1" t="s">
        <v>33</v>
      </c>
      <c r="G649" s="1" t="s">
        <v>34</v>
      </c>
      <c r="H649" s="2">
        <v>2.025E7</v>
      </c>
      <c r="I649" s="1">
        <v>30.0</v>
      </c>
      <c r="J649" s="9" t="s">
        <v>97</v>
      </c>
      <c r="K649" s="5">
        <v>46132.0</v>
      </c>
      <c r="L649" s="11" t="s">
        <v>160</v>
      </c>
      <c r="M649" s="11"/>
      <c r="N649" s="4" t="str">
        <f t="shared" si="1"/>
        <v>Macarena González Díaz</v>
      </c>
      <c r="O649" s="6" t="str">
        <f t="shared" si="2"/>
        <v>15.412.692-4</v>
      </c>
      <c r="P649" s="6" t="str">
        <f t="shared" si="3"/>
        <v>Puerto Montt - Puerto Montt - Región de Los Lagos</v>
      </c>
      <c r="Q649" s="4" t="str">
        <f t="shared" si="4"/>
        <v>Inactivo</v>
      </c>
      <c r="R649" s="12" t="str">
        <f t="shared" si="5"/>
        <v>Riesgo Bajo</v>
      </c>
    </row>
    <row r="650">
      <c r="A650" s="1" t="s">
        <v>4078</v>
      </c>
      <c r="B650" s="9" t="s">
        <v>4079</v>
      </c>
      <c r="C650" s="9" t="s">
        <v>4080</v>
      </c>
      <c r="D650" s="1" t="s">
        <v>4081</v>
      </c>
      <c r="E650" s="1" t="s">
        <v>45</v>
      </c>
      <c r="F650" s="1" t="s">
        <v>45</v>
      </c>
      <c r="G650" s="1" t="s">
        <v>46</v>
      </c>
      <c r="H650" s="2">
        <v>1.793E7</v>
      </c>
      <c r="I650" s="1">
        <v>45.0</v>
      </c>
      <c r="J650" s="9" t="s">
        <v>20</v>
      </c>
      <c r="K650" s="5">
        <v>46107.0</v>
      </c>
      <c r="L650" s="11" t="s">
        <v>207</v>
      </c>
      <c r="M650" s="11"/>
      <c r="N650" s="4" t="str">
        <f t="shared" si="1"/>
        <v>Macarena López López</v>
      </c>
      <c r="O650" s="6" t="str">
        <f t="shared" si="2"/>
        <v>20201217-7</v>
      </c>
      <c r="P650" s="6" t="str">
        <f t="shared" si="3"/>
        <v>Temuco - Temuco - Región de la Araucanía</v>
      </c>
      <c r="Q650" s="4" t="str">
        <f t="shared" si="4"/>
        <v>En Revisión</v>
      </c>
      <c r="R650" s="12" t="str">
        <f t="shared" si="5"/>
        <v>Riesgo Medio</v>
      </c>
    </row>
    <row r="651">
      <c r="A651" s="1" t="s">
        <v>3224</v>
      </c>
      <c r="B651" s="9" t="s">
        <v>3225</v>
      </c>
      <c r="C651" s="9" t="s">
        <v>3226</v>
      </c>
      <c r="D651" s="1" t="s">
        <v>3227</v>
      </c>
      <c r="E651" s="1" t="s">
        <v>25</v>
      </c>
      <c r="F651" s="1" t="s">
        <v>26</v>
      </c>
      <c r="G651" s="1" t="s">
        <v>27</v>
      </c>
      <c r="H651" s="2">
        <v>4380000.0</v>
      </c>
      <c r="I651" s="1">
        <v>0.0</v>
      </c>
      <c r="J651" s="9" t="s">
        <v>28</v>
      </c>
      <c r="K651" s="5">
        <v>46225.0</v>
      </c>
      <c r="L651" s="11" t="s">
        <v>160</v>
      </c>
      <c r="M651" s="11"/>
      <c r="N651" s="4" t="str">
        <f t="shared" si="1"/>
        <v>Macarena López Rojas</v>
      </c>
      <c r="O651" s="6" t="str">
        <f t="shared" si="2"/>
        <v>16.796.171-3</v>
      </c>
      <c r="P651" s="6" t="str">
        <f t="shared" si="3"/>
        <v>Viña del Mar - Valparaíso - Región de Valparaíso</v>
      </c>
      <c r="Q651" s="4" t="str">
        <f t="shared" si="4"/>
        <v>Activo</v>
      </c>
      <c r="R651" s="12" t="str">
        <f t="shared" si="5"/>
        <v>Riesgo Bajo</v>
      </c>
    </row>
    <row r="652">
      <c r="A652" s="1" t="s">
        <v>4432</v>
      </c>
      <c r="B652" s="9" t="s">
        <v>4433</v>
      </c>
      <c r="C652" s="9" t="s">
        <v>4434</v>
      </c>
      <c r="D652" s="1" t="s">
        <v>4435</v>
      </c>
      <c r="E652" s="1" t="s">
        <v>56</v>
      </c>
      <c r="F652" s="1" t="s">
        <v>39</v>
      </c>
      <c r="G652" s="1" t="s">
        <v>40</v>
      </c>
      <c r="H652" s="2">
        <v>5570000.0</v>
      </c>
      <c r="I652" s="1">
        <v>15.0</v>
      </c>
      <c r="J652" s="9" t="s">
        <v>28</v>
      </c>
      <c r="K652" s="5">
        <v>46156.0</v>
      </c>
      <c r="L652" s="11" t="s">
        <v>207</v>
      </c>
      <c r="M652" s="11"/>
      <c r="N652" s="4" t="str">
        <f t="shared" si="1"/>
        <v>Macarena Morales Vergara</v>
      </c>
      <c r="O652" s="6" t="str">
        <f t="shared" si="2"/>
        <v>11.806.861-7</v>
      </c>
      <c r="P652" s="6" t="str">
        <f t="shared" si="3"/>
        <v>Talcahuano - Concepción - Región del Biobío</v>
      </c>
      <c r="Q652" s="4" t="str">
        <f t="shared" si="4"/>
        <v>Activo</v>
      </c>
      <c r="R652" s="12" t="str">
        <f t="shared" si="5"/>
        <v>Riesgo Bajo</v>
      </c>
    </row>
    <row r="653">
      <c r="A653" s="1" t="s">
        <v>2578</v>
      </c>
      <c r="B653" s="9" t="s">
        <v>2579</v>
      </c>
      <c r="C653" s="9" t="s">
        <v>4820</v>
      </c>
      <c r="D653" s="1" t="s">
        <v>2582</v>
      </c>
      <c r="E653" s="1" t="s">
        <v>61</v>
      </c>
      <c r="F653" s="1" t="s">
        <v>62</v>
      </c>
      <c r="G653" s="1" t="s">
        <v>63</v>
      </c>
      <c r="H653" s="2">
        <v>1.768E7</v>
      </c>
      <c r="I653" s="1">
        <v>0.0</v>
      </c>
      <c r="J653" s="9" t="s">
        <v>20</v>
      </c>
      <c r="K653" s="5">
        <v>46188.0</v>
      </c>
      <c r="L653" s="11" t="s">
        <v>100</v>
      </c>
      <c r="M653" s="11"/>
      <c r="N653" s="4" t="str">
        <f t="shared" si="1"/>
        <v>Macarena Muñoz Araya</v>
      </c>
      <c r="O653" s="6" t="str">
        <f t="shared" si="2"/>
        <v>16.228.639-5</v>
      </c>
      <c r="P653" s="6" t="str">
        <f t="shared" si="3"/>
        <v>Santiago Centro - Santiago - Región Metropolitana</v>
      </c>
      <c r="Q653" s="4" t="str">
        <f t="shared" si="4"/>
        <v>En Revisión</v>
      </c>
      <c r="R653" s="12" t="str">
        <f t="shared" si="5"/>
        <v>Riesgo Medio</v>
      </c>
    </row>
    <row r="654">
      <c r="A654" s="1" t="s">
        <v>3063</v>
      </c>
      <c r="B654" s="9" t="s">
        <v>3064</v>
      </c>
      <c r="C654" s="9" t="s">
        <v>4821</v>
      </c>
      <c r="D654" s="1" t="s">
        <v>2582</v>
      </c>
      <c r="E654" s="1" t="s">
        <v>72</v>
      </c>
      <c r="F654" s="1" t="s">
        <v>62</v>
      </c>
      <c r="G654" s="1" t="s">
        <v>63</v>
      </c>
      <c r="H654" s="2">
        <v>1.151E7</v>
      </c>
      <c r="I654" s="1">
        <v>90.0</v>
      </c>
      <c r="J654" s="9" t="s">
        <v>97</v>
      </c>
      <c r="K654" s="5">
        <v>46206.0</v>
      </c>
      <c r="L654" s="11" t="s">
        <v>207</v>
      </c>
      <c r="M654" s="11"/>
      <c r="N654" s="4" t="str">
        <f t="shared" si="1"/>
        <v>Macarena Muñoz Morales</v>
      </c>
      <c r="O654" s="6" t="str">
        <f t="shared" si="2"/>
        <v>22.392.295-7</v>
      </c>
      <c r="P654" s="6" t="str">
        <f t="shared" si="3"/>
        <v>Providencia - Santiago - Región Metropolitana</v>
      </c>
      <c r="Q654" s="4" t="str">
        <f t="shared" si="4"/>
        <v>Inactivo</v>
      </c>
      <c r="R654" s="12" t="str">
        <f t="shared" si="5"/>
        <v>Riesgo Medio</v>
      </c>
    </row>
    <row r="655">
      <c r="A655" s="1" t="s">
        <v>4701</v>
      </c>
      <c r="B655" s="9" t="s">
        <v>4702</v>
      </c>
      <c r="C655" s="9" t="s">
        <v>4822</v>
      </c>
      <c r="D655" s="1" t="s">
        <v>4105</v>
      </c>
      <c r="E655" s="1" t="s">
        <v>25</v>
      </c>
      <c r="F655" s="1" t="s">
        <v>26</v>
      </c>
      <c r="G655" s="1" t="s">
        <v>27</v>
      </c>
      <c r="H655" s="2">
        <v>1.625E7</v>
      </c>
      <c r="I655" s="1">
        <v>15.0</v>
      </c>
      <c r="J655" s="9" t="s">
        <v>97</v>
      </c>
      <c r="K655" s="5">
        <v>46212.0</v>
      </c>
      <c r="L655" s="11" t="s">
        <v>207</v>
      </c>
      <c r="M655" s="11"/>
      <c r="N655" s="4" t="str">
        <f t="shared" si="1"/>
        <v>Macarena Pérez Araya</v>
      </c>
      <c r="O655" s="6" t="str">
        <f t="shared" si="2"/>
        <v>19.157.371-2</v>
      </c>
      <c r="P655" s="6" t="str">
        <f t="shared" si="3"/>
        <v>Viña del Mar - Valparaíso - Región de Valparaíso</v>
      </c>
      <c r="Q655" s="4" t="str">
        <f t="shared" si="4"/>
        <v>Inactivo</v>
      </c>
      <c r="R655" s="12" t="str">
        <f t="shared" si="5"/>
        <v>Riesgo Bajo</v>
      </c>
    </row>
    <row r="656">
      <c r="A656" s="1" t="s">
        <v>4166</v>
      </c>
      <c r="B656" s="9" t="s">
        <v>4167</v>
      </c>
      <c r="C656" s="9" t="s">
        <v>4823</v>
      </c>
      <c r="D656" s="1" t="s">
        <v>4105</v>
      </c>
      <c r="E656" s="1" t="s">
        <v>72</v>
      </c>
      <c r="F656" s="1" t="s">
        <v>62</v>
      </c>
      <c r="G656" s="1" t="s">
        <v>63</v>
      </c>
      <c r="H656" s="2">
        <v>1.01E7</v>
      </c>
      <c r="I656" s="1">
        <v>30.0</v>
      </c>
      <c r="J656" s="9" t="s">
        <v>28</v>
      </c>
      <c r="K656" s="5">
        <v>46166.0</v>
      </c>
      <c r="L656" s="11" t="s">
        <v>100</v>
      </c>
      <c r="M656" s="11"/>
      <c r="N656" s="4" t="str">
        <f t="shared" si="1"/>
        <v>Macarena Pérez Díaz</v>
      </c>
      <c r="O656" s="6" t="str">
        <f t="shared" si="2"/>
        <v>19125938-9</v>
      </c>
      <c r="P656" s="6" t="str">
        <f t="shared" si="3"/>
        <v>Providencia - Santiago - Región Metropolitana</v>
      </c>
      <c r="Q656" s="4" t="str">
        <f t="shared" si="4"/>
        <v>Activo</v>
      </c>
      <c r="R656" s="12" t="str">
        <f t="shared" si="5"/>
        <v>Riesgo Bajo</v>
      </c>
    </row>
    <row r="657">
      <c r="A657" s="1" t="s">
        <v>1147</v>
      </c>
      <c r="B657" s="9" t="s">
        <v>1148</v>
      </c>
      <c r="C657" s="9" t="s">
        <v>1149</v>
      </c>
      <c r="D657" s="1" t="s">
        <v>1150</v>
      </c>
      <c r="E657" s="1" t="s">
        <v>45</v>
      </c>
      <c r="F657" s="1" t="s">
        <v>45</v>
      </c>
      <c r="G657" s="1" t="s">
        <v>46</v>
      </c>
      <c r="H657" s="2">
        <v>4390000.0</v>
      </c>
      <c r="I657" s="1">
        <v>15.0</v>
      </c>
      <c r="J657" s="9" t="s">
        <v>28</v>
      </c>
      <c r="K657" s="5">
        <v>46220.0</v>
      </c>
      <c r="L657" s="11" t="s">
        <v>181</v>
      </c>
      <c r="M657" s="11"/>
      <c r="N657" s="4" t="str">
        <f t="shared" si="1"/>
        <v>Macarena Pérez González</v>
      </c>
      <c r="O657" s="6" t="str">
        <f t="shared" si="2"/>
        <v>17.980.299-5</v>
      </c>
      <c r="P657" s="6" t="str">
        <f t="shared" si="3"/>
        <v>Temuco - Temuco - Región de la Araucanía</v>
      </c>
      <c r="Q657" s="4" t="str">
        <f t="shared" si="4"/>
        <v>Activo</v>
      </c>
      <c r="R657" s="12" t="str">
        <f t="shared" si="5"/>
        <v>Riesgo Bajo</v>
      </c>
    </row>
    <row r="658">
      <c r="A658" s="1" t="s">
        <v>4102</v>
      </c>
      <c r="B658" s="9" t="s">
        <v>4103</v>
      </c>
      <c r="C658" s="9" t="s">
        <v>4824</v>
      </c>
      <c r="D658" s="1" t="s">
        <v>4105</v>
      </c>
      <c r="E658" s="1" t="s">
        <v>33</v>
      </c>
      <c r="F658" s="1" t="s">
        <v>33</v>
      </c>
      <c r="G658" s="1" t="s">
        <v>34</v>
      </c>
      <c r="H658" s="2">
        <v>5940000.0</v>
      </c>
      <c r="I658" s="1">
        <v>0.0</v>
      </c>
      <c r="J658" s="9" t="s">
        <v>28</v>
      </c>
      <c r="K658" s="5">
        <v>46060.0</v>
      </c>
      <c r="L658" s="11" t="s">
        <v>100</v>
      </c>
      <c r="M658" s="11"/>
      <c r="N658" s="4" t="str">
        <f t="shared" si="1"/>
        <v>Macarena Pérez Sepúlveda</v>
      </c>
      <c r="O658" s="6" t="str">
        <f t="shared" si="2"/>
        <v>21.504.667-4</v>
      </c>
      <c r="P658" s="6" t="str">
        <f t="shared" si="3"/>
        <v>Puerto Montt - Puerto Montt - Región de Los Lagos</v>
      </c>
      <c r="Q658" s="4" t="str">
        <f t="shared" si="4"/>
        <v>Activo</v>
      </c>
      <c r="R658" s="12" t="str">
        <f t="shared" si="5"/>
        <v>Riesgo Bajo</v>
      </c>
    </row>
    <row r="659">
      <c r="A659" s="1" t="s">
        <v>4463</v>
      </c>
      <c r="B659" s="9" t="s">
        <v>4464</v>
      </c>
      <c r="C659" s="9" t="s">
        <v>4825</v>
      </c>
      <c r="D659" s="1" t="s">
        <v>4466</v>
      </c>
      <c r="E659" s="1" t="s">
        <v>39</v>
      </c>
      <c r="F659" s="1" t="s">
        <v>39</v>
      </c>
      <c r="G659" s="1" t="s">
        <v>40</v>
      </c>
      <c r="H659" s="2">
        <v>1.137E7</v>
      </c>
      <c r="I659" s="1">
        <v>0.0</v>
      </c>
      <c r="J659" s="9" t="s">
        <v>97</v>
      </c>
      <c r="K659" s="5">
        <v>46218.0</v>
      </c>
      <c r="L659" s="11" t="s">
        <v>207</v>
      </c>
      <c r="M659" s="11"/>
      <c r="N659" s="4" t="str">
        <f t="shared" si="1"/>
        <v>Macarena Pérez Vergara</v>
      </c>
      <c r="O659" s="6" t="str">
        <f t="shared" si="2"/>
        <v>21241989-7</v>
      </c>
      <c r="P659" s="6" t="str">
        <f t="shared" si="3"/>
        <v>Concepción - Concepción - Región del Biobío</v>
      </c>
      <c r="Q659" s="4" t="str">
        <f t="shared" si="4"/>
        <v>Inactivo</v>
      </c>
      <c r="R659" s="12" t="str">
        <f t="shared" si="5"/>
        <v>Riesgo Bajo</v>
      </c>
    </row>
    <row r="660">
      <c r="A660" s="1" t="s">
        <v>4320</v>
      </c>
      <c r="B660" s="9" t="s">
        <v>4322</v>
      </c>
      <c r="C660" s="9" t="s">
        <v>4323</v>
      </c>
      <c r="D660" s="1" t="s">
        <v>4324</v>
      </c>
      <c r="E660" s="1" t="s">
        <v>56</v>
      </c>
      <c r="F660" s="1" t="s">
        <v>39</v>
      </c>
      <c r="G660" s="1" t="s">
        <v>40</v>
      </c>
      <c r="H660" s="2">
        <v>1.925E7</v>
      </c>
      <c r="I660" s="1">
        <v>45.0</v>
      </c>
      <c r="J660" s="9" t="s">
        <v>20</v>
      </c>
      <c r="K660" s="5">
        <v>46027.0</v>
      </c>
      <c r="L660" s="11" t="s">
        <v>160</v>
      </c>
      <c r="M660" s="11"/>
      <c r="N660" s="4" t="str">
        <f t="shared" si="1"/>
        <v>Macarena Rodríguez Díaz</v>
      </c>
      <c r="O660" s="6" t="str">
        <f t="shared" si="2"/>
        <v>21.504.216-K</v>
      </c>
      <c r="P660" s="6" t="str">
        <f t="shared" si="3"/>
        <v>Talcahuano - Concepción - Región del Biobío</v>
      </c>
      <c r="Q660" s="4" t="str">
        <f t="shared" si="4"/>
        <v>En Revisión</v>
      </c>
      <c r="R660" s="12" t="str">
        <f t="shared" si="5"/>
        <v>Riesgo Medio</v>
      </c>
    </row>
    <row r="661">
      <c r="A661" s="1" t="s">
        <v>700</v>
      </c>
      <c r="B661" s="9" t="s">
        <v>702</v>
      </c>
      <c r="C661" s="9" t="s">
        <v>703</v>
      </c>
      <c r="D661" s="1" t="s">
        <v>705</v>
      </c>
      <c r="E661" s="1" t="s">
        <v>72</v>
      </c>
      <c r="F661" s="1" t="s">
        <v>62</v>
      </c>
      <c r="G661" s="1" t="s">
        <v>63</v>
      </c>
      <c r="H661" s="2">
        <v>980000.0</v>
      </c>
      <c r="I661" s="1">
        <v>15.0</v>
      </c>
      <c r="J661" s="9" t="s">
        <v>28</v>
      </c>
      <c r="K661" s="5">
        <v>46080.0</v>
      </c>
      <c r="L661" s="11" t="s">
        <v>160</v>
      </c>
      <c r="M661" s="11"/>
      <c r="N661" s="4" t="str">
        <f t="shared" si="1"/>
        <v>Macarena Rodríguez Muñoz</v>
      </c>
      <c r="O661" s="6" t="str">
        <f t="shared" si="2"/>
        <v>12.449.255-5</v>
      </c>
      <c r="P661" s="6" t="str">
        <f t="shared" si="3"/>
        <v>Providencia - Santiago - Región Metropolitana</v>
      </c>
      <c r="Q661" s="4" t="str">
        <f t="shared" si="4"/>
        <v>Activo</v>
      </c>
      <c r="R661" s="12" t="str">
        <f t="shared" si="5"/>
        <v>Riesgo Bajo</v>
      </c>
    </row>
    <row r="662">
      <c r="A662" s="1" t="s">
        <v>1445</v>
      </c>
      <c r="B662" s="9" t="s">
        <v>1446</v>
      </c>
      <c r="C662" s="9" t="s">
        <v>4826</v>
      </c>
      <c r="D662" s="1" t="s">
        <v>1449</v>
      </c>
      <c r="E662" s="1" t="s">
        <v>109</v>
      </c>
      <c r="F662" s="1" t="s">
        <v>62</v>
      </c>
      <c r="G662" s="1" t="s">
        <v>63</v>
      </c>
      <c r="H662" s="2">
        <v>2500000.0</v>
      </c>
      <c r="I662" s="1">
        <v>0.0</v>
      </c>
      <c r="J662" s="9" t="s">
        <v>28</v>
      </c>
      <c r="K662" s="5">
        <v>46109.0</v>
      </c>
      <c r="L662" s="11" t="s">
        <v>181</v>
      </c>
      <c r="M662" s="11"/>
      <c r="N662" s="4" t="str">
        <f t="shared" si="1"/>
        <v>Macarena Rodríguez Rodríguez</v>
      </c>
      <c r="O662" s="6" t="str">
        <f t="shared" si="2"/>
        <v>22.397.117-0</v>
      </c>
      <c r="P662" s="6" t="str">
        <f t="shared" si="3"/>
        <v>Ñuñoa - Santiago - Región Metropolitana</v>
      </c>
      <c r="Q662" s="4" t="str">
        <f t="shared" si="4"/>
        <v>Activo</v>
      </c>
      <c r="R662" s="12" t="str">
        <f t="shared" si="5"/>
        <v>Riesgo Bajo</v>
      </c>
    </row>
    <row r="663">
      <c r="A663" s="1" t="s">
        <v>4799</v>
      </c>
      <c r="B663" s="9" t="s">
        <v>4800</v>
      </c>
      <c r="C663" s="9" t="s">
        <v>4801</v>
      </c>
      <c r="D663" s="1" t="s">
        <v>4802</v>
      </c>
      <c r="E663" s="1" t="s">
        <v>56</v>
      </c>
      <c r="F663" s="1" t="s">
        <v>39</v>
      </c>
      <c r="G663" s="1" t="s">
        <v>40</v>
      </c>
      <c r="H663" s="2">
        <v>8900000.0</v>
      </c>
      <c r="I663" s="1">
        <v>15.0</v>
      </c>
      <c r="J663" s="9" t="s">
        <v>97</v>
      </c>
      <c r="K663" s="5">
        <v>46098.0</v>
      </c>
      <c r="L663" s="11" t="s">
        <v>160</v>
      </c>
      <c r="M663" s="11"/>
      <c r="N663" s="4" t="str">
        <f t="shared" si="1"/>
        <v>Macarena Rodríguez Silva</v>
      </c>
      <c r="O663" s="6" t="str">
        <f t="shared" si="2"/>
        <v>19.033.265-0</v>
      </c>
      <c r="P663" s="6" t="str">
        <f t="shared" si="3"/>
        <v>Talcahuano - Concepción - Región del Biobío</v>
      </c>
      <c r="Q663" s="4" t="str">
        <f t="shared" si="4"/>
        <v>Inactivo</v>
      </c>
      <c r="R663" s="12" t="str">
        <f t="shared" si="5"/>
        <v>Riesgo Bajo</v>
      </c>
    </row>
    <row r="664">
      <c r="A664" s="1" t="s">
        <v>1743</v>
      </c>
      <c r="B664" s="9" t="s">
        <v>1744</v>
      </c>
      <c r="C664" s="9" t="s">
        <v>1745</v>
      </c>
      <c r="D664" s="1" t="s">
        <v>1746</v>
      </c>
      <c r="E664" s="1" t="s">
        <v>25</v>
      </c>
      <c r="F664" s="1" t="s">
        <v>26</v>
      </c>
      <c r="G664" s="1" t="s">
        <v>27</v>
      </c>
      <c r="H664" s="2">
        <v>7080000.0</v>
      </c>
      <c r="I664" s="1">
        <v>60.0</v>
      </c>
      <c r="J664" s="9" t="s">
        <v>97</v>
      </c>
      <c r="K664" s="5">
        <v>46199.0</v>
      </c>
      <c r="L664" s="11" t="s">
        <v>160</v>
      </c>
      <c r="M664" s="11"/>
      <c r="N664" s="4" t="str">
        <f t="shared" si="1"/>
        <v>Macarena Rojas Espinoza</v>
      </c>
      <c r="O664" s="6" t="str">
        <f t="shared" si="2"/>
        <v>18.375.973-3</v>
      </c>
      <c r="P664" s="6" t="str">
        <f t="shared" si="3"/>
        <v>Viña del Mar - Valparaíso - Región de Valparaíso</v>
      </c>
      <c r="Q664" s="4" t="str">
        <f t="shared" si="4"/>
        <v>Inactivo</v>
      </c>
      <c r="R664" s="12" t="str">
        <f t="shared" si="5"/>
        <v>Riesgo Medio</v>
      </c>
    </row>
    <row r="665">
      <c r="A665" s="1" t="s">
        <v>301</v>
      </c>
      <c r="B665" s="9" t="s">
        <v>302</v>
      </c>
      <c r="C665" s="9" t="s">
        <v>303</v>
      </c>
      <c r="D665" s="1" t="s">
        <v>305</v>
      </c>
      <c r="E665" s="1" t="s">
        <v>194</v>
      </c>
      <c r="F665" s="1" t="s">
        <v>62</v>
      </c>
      <c r="G665" s="1" t="s">
        <v>63</v>
      </c>
      <c r="H665" s="2">
        <v>7750000.0</v>
      </c>
      <c r="I665" s="1">
        <v>0.0</v>
      </c>
      <c r="J665" s="9" t="s">
        <v>20</v>
      </c>
      <c r="K665" s="5">
        <v>46113.0</v>
      </c>
      <c r="L665" s="11" t="s">
        <v>207</v>
      </c>
      <c r="M665" s="11"/>
      <c r="N665" s="4" t="str">
        <f t="shared" si="1"/>
        <v>Macarena Rojas Silva</v>
      </c>
      <c r="O665" s="6" t="str">
        <f t="shared" si="2"/>
        <v>20.762.083-9</v>
      </c>
      <c r="P665" s="6" t="str">
        <f t="shared" si="3"/>
        <v>Las Condes - Santiago - Región Metropolitana</v>
      </c>
      <c r="Q665" s="4" t="str">
        <f t="shared" si="4"/>
        <v>En Revisión</v>
      </c>
      <c r="R665" s="12" t="str">
        <f t="shared" si="5"/>
        <v>Riesgo Medio</v>
      </c>
    </row>
    <row r="666">
      <c r="A666" s="1" t="s">
        <v>4258</v>
      </c>
      <c r="B666" s="9" t="s">
        <v>4259</v>
      </c>
      <c r="C666" s="9" t="s">
        <v>4827</v>
      </c>
      <c r="D666" s="1" t="s">
        <v>4261</v>
      </c>
      <c r="E666" s="1" t="s">
        <v>26</v>
      </c>
      <c r="F666" s="1" t="s">
        <v>26</v>
      </c>
      <c r="G666" s="1" t="s">
        <v>27</v>
      </c>
      <c r="H666" s="2">
        <v>1.693E7</v>
      </c>
      <c r="I666" s="1">
        <v>15.0</v>
      </c>
      <c r="J666" s="9" t="s">
        <v>28</v>
      </c>
      <c r="K666" s="5">
        <v>46197.0</v>
      </c>
      <c r="L666" s="11" t="s">
        <v>160</v>
      </c>
      <c r="M666" s="11"/>
      <c r="N666" s="4" t="str">
        <f t="shared" si="1"/>
        <v>Macarena Rojas Vergara</v>
      </c>
      <c r="O666" s="6" t="str">
        <f t="shared" si="2"/>
        <v>17006297-5</v>
      </c>
      <c r="P666" s="6" t="str">
        <f t="shared" si="3"/>
        <v>Valparaíso - Valparaíso - Región de Valparaíso</v>
      </c>
      <c r="Q666" s="4" t="str">
        <f t="shared" si="4"/>
        <v>Activo</v>
      </c>
      <c r="R666" s="12" t="str">
        <f t="shared" si="5"/>
        <v>Riesgo Bajo</v>
      </c>
    </row>
    <row r="667">
      <c r="A667" s="1" t="s">
        <v>3927</v>
      </c>
      <c r="B667" s="9" t="s">
        <v>3928</v>
      </c>
      <c r="C667" s="9" t="s">
        <v>4828</v>
      </c>
      <c r="D667" s="1" t="s">
        <v>3767</v>
      </c>
      <c r="E667" s="1" t="s">
        <v>26</v>
      </c>
      <c r="F667" s="1" t="s">
        <v>26</v>
      </c>
      <c r="G667" s="1" t="s">
        <v>27</v>
      </c>
      <c r="H667" s="2">
        <v>9190000.0</v>
      </c>
      <c r="I667" s="1">
        <v>0.0</v>
      </c>
      <c r="J667" s="9" t="s">
        <v>28</v>
      </c>
      <c r="K667" s="5">
        <v>46210.0</v>
      </c>
      <c r="L667" s="11" t="s">
        <v>207</v>
      </c>
      <c r="M667" s="11"/>
      <c r="N667" s="4" t="str">
        <f t="shared" si="1"/>
        <v>Macarena Sepúlveda Díaz</v>
      </c>
      <c r="O667" s="6" t="str">
        <f t="shared" si="2"/>
        <v>18.506.049-K</v>
      </c>
      <c r="P667" s="6" t="str">
        <f t="shared" si="3"/>
        <v>Valparaíso - Valparaíso - Región de Valparaíso</v>
      </c>
      <c r="Q667" s="4" t="str">
        <f t="shared" si="4"/>
        <v>Activo</v>
      </c>
      <c r="R667" s="12" t="str">
        <f t="shared" si="5"/>
        <v>Riesgo Bajo</v>
      </c>
    </row>
    <row r="668">
      <c r="A668" s="1" t="s">
        <v>4181</v>
      </c>
      <c r="B668" s="9" t="s">
        <v>4182</v>
      </c>
      <c r="C668" s="9" t="s">
        <v>4183</v>
      </c>
      <c r="D668" s="1" t="s">
        <v>4184</v>
      </c>
      <c r="E668" s="1" t="s">
        <v>25</v>
      </c>
      <c r="F668" s="1" t="s">
        <v>26</v>
      </c>
      <c r="G668" s="1" t="s">
        <v>27</v>
      </c>
      <c r="H668" s="2">
        <v>5070000.0</v>
      </c>
      <c r="I668" s="1">
        <v>90.0</v>
      </c>
      <c r="J668" s="9" t="s">
        <v>97</v>
      </c>
      <c r="K668" s="5">
        <v>46160.0</v>
      </c>
      <c r="L668" s="11" t="s">
        <v>100</v>
      </c>
      <c r="M668" s="11"/>
      <c r="N668" s="4" t="str">
        <f t="shared" si="1"/>
        <v>Macarena Sepúlveda Sepúlveda</v>
      </c>
      <c r="O668" s="6" t="str">
        <f t="shared" si="2"/>
        <v>18.786.048-7</v>
      </c>
      <c r="P668" s="6" t="str">
        <f t="shared" si="3"/>
        <v>Viña del Mar - Valparaíso - Región de Valparaíso</v>
      </c>
      <c r="Q668" s="4" t="str">
        <f t="shared" si="4"/>
        <v>Inactivo</v>
      </c>
      <c r="R668" s="12" t="str">
        <f t="shared" si="5"/>
        <v>Riesgo Medio</v>
      </c>
    </row>
    <row r="669">
      <c r="A669" s="1" t="s">
        <v>3764</v>
      </c>
      <c r="B669" s="9" t="s">
        <v>3765</v>
      </c>
      <c r="C669" s="9" t="s">
        <v>3766</v>
      </c>
      <c r="D669" s="1" t="s">
        <v>3767</v>
      </c>
      <c r="E669" s="1" t="s">
        <v>194</v>
      </c>
      <c r="F669" s="1" t="s">
        <v>62</v>
      </c>
      <c r="G669" s="1" t="s">
        <v>63</v>
      </c>
      <c r="H669" s="2">
        <v>1.754E7</v>
      </c>
      <c r="I669" s="1">
        <v>0.0</v>
      </c>
      <c r="J669" s="9" t="s">
        <v>28</v>
      </c>
      <c r="K669" s="5">
        <v>46136.0</v>
      </c>
      <c r="L669" s="11" t="s">
        <v>207</v>
      </c>
      <c r="M669" s="11"/>
      <c r="N669" s="4" t="str">
        <f t="shared" si="1"/>
        <v>Macarena Sepúlveda Vergara</v>
      </c>
      <c r="O669" s="6" t="str">
        <f t="shared" si="2"/>
        <v>16714058-4</v>
      </c>
      <c r="P669" s="6" t="str">
        <f t="shared" si="3"/>
        <v>Las Condes - Santiago - Región Metropolitana</v>
      </c>
      <c r="Q669" s="4" t="str">
        <f t="shared" si="4"/>
        <v>Activo</v>
      </c>
      <c r="R669" s="12" t="str">
        <f t="shared" si="5"/>
        <v>Riesgo Bajo</v>
      </c>
    </row>
    <row r="670">
      <c r="A670" s="1" t="s">
        <v>4014</v>
      </c>
      <c r="B670" s="9" t="s">
        <v>4015</v>
      </c>
      <c r="C670" s="9" t="s">
        <v>4016</v>
      </c>
      <c r="D670" s="1" t="s">
        <v>259</v>
      </c>
      <c r="E670" s="1" t="s">
        <v>25</v>
      </c>
      <c r="F670" s="1" t="s">
        <v>26</v>
      </c>
      <c r="G670" s="1" t="s">
        <v>27</v>
      </c>
      <c r="H670" s="2">
        <v>1120000.0</v>
      </c>
      <c r="I670" s="1">
        <v>120.0</v>
      </c>
      <c r="J670" s="9" t="s">
        <v>28</v>
      </c>
      <c r="K670" s="5">
        <v>46057.0</v>
      </c>
      <c r="L670" s="11" t="s">
        <v>160</v>
      </c>
      <c r="M670" s="11"/>
      <c r="N670" s="4" t="str">
        <f t="shared" si="1"/>
        <v>Macarena Soto Araya</v>
      </c>
      <c r="O670" s="6" t="str">
        <f t="shared" si="2"/>
        <v>22.488.731-4</v>
      </c>
      <c r="P670" s="6" t="str">
        <f t="shared" si="3"/>
        <v>Viña del Mar - Valparaíso - Región de Valparaíso</v>
      </c>
      <c r="Q670" s="4" t="str">
        <f t="shared" si="4"/>
        <v>Activo</v>
      </c>
      <c r="R670" s="12" t="str">
        <f t="shared" si="5"/>
        <v>Riesgo Alto</v>
      </c>
    </row>
    <row r="671">
      <c r="A671" s="1" t="s">
        <v>256</v>
      </c>
      <c r="B671" s="9" t="s">
        <v>257</v>
      </c>
      <c r="C671" s="9" t="s">
        <v>258</v>
      </c>
      <c r="D671" s="1" t="s">
        <v>259</v>
      </c>
      <c r="E671" s="1" t="s">
        <v>33</v>
      </c>
      <c r="F671" s="1" t="s">
        <v>33</v>
      </c>
      <c r="G671" s="1" t="s">
        <v>34</v>
      </c>
      <c r="H671" s="2">
        <v>1.728E7</v>
      </c>
      <c r="I671" s="1">
        <v>45.0</v>
      </c>
      <c r="J671" s="9" t="s">
        <v>28</v>
      </c>
      <c r="K671" s="5">
        <v>46122.0</v>
      </c>
      <c r="L671" s="11" t="s">
        <v>207</v>
      </c>
      <c r="M671" s="11"/>
      <c r="N671" s="4" t="str">
        <f t="shared" si="1"/>
        <v>Macarena Soto Morales</v>
      </c>
      <c r="O671" s="6" t="str">
        <f t="shared" si="2"/>
        <v>16.747.630-6</v>
      </c>
      <c r="P671" s="6" t="str">
        <f t="shared" si="3"/>
        <v>Puerto Montt - Puerto Montt - Región de Los Lagos</v>
      </c>
      <c r="Q671" s="4" t="str">
        <f t="shared" si="4"/>
        <v>Activo</v>
      </c>
      <c r="R671" s="12" t="str">
        <f t="shared" si="5"/>
        <v>Riesgo Medio</v>
      </c>
    </row>
    <row r="672">
      <c r="A672" s="1" t="s">
        <v>3270</v>
      </c>
      <c r="B672" s="9" t="s">
        <v>3271</v>
      </c>
      <c r="C672" s="9" t="s">
        <v>3272</v>
      </c>
      <c r="D672" s="1" t="s">
        <v>3273</v>
      </c>
      <c r="E672" s="1" t="s">
        <v>194</v>
      </c>
      <c r="F672" s="1" t="s">
        <v>62</v>
      </c>
      <c r="G672" s="1" t="s">
        <v>63</v>
      </c>
      <c r="H672" s="2">
        <v>1.935E7</v>
      </c>
      <c r="I672" s="1">
        <v>120.0</v>
      </c>
      <c r="J672" s="9" t="s">
        <v>20</v>
      </c>
      <c r="K672" s="5">
        <v>46093.0</v>
      </c>
      <c r="L672" s="11" t="s">
        <v>100</v>
      </c>
      <c r="M672" s="11"/>
      <c r="N672" s="4" t="str">
        <f t="shared" si="1"/>
        <v>Macarena Soto Muñoz</v>
      </c>
      <c r="O672" s="6" t="str">
        <f t="shared" si="2"/>
        <v>16.987.090-9</v>
      </c>
      <c r="P672" s="6" t="str">
        <f t="shared" si="3"/>
        <v>Las Condes - Santiago - Región Metropolitana</v>
      </c>
      <c r="Q672" s="4" t="str">
        <f t="shared" si="4"/>
        <v>En Revisión</v>
      </c>
      <c r="R672" s="12" t="str">
        <f t="shared" si="5"/>
        <v>Riesgo Medio</v>
      </c>
    </row>
    <row r="673">
      <c r="A673" s="1" t="s">
        <v>4650</v>
      </c>
      <c r="B673" s="9" t="s">
        <v>4651</v>
      </c>
      <c r="C673" s="9" t="s">
        <v>4652</v>
      </c>
      <c r="D673" s="1" t="s">
        <v>4653</v>
      </c>
      <c r="E673" s="1" t="s">
        <v>118</v>
      </c>
      <c r="F673" s="1" t="s">
        <v>62</v>
      </c>
      <c r="G673" s="1" t="s">
        <v>63</v>
      </c>
      <c r="H673" s="2">
        <v>8380000.0</v>
      </c>
      <c r="I673" s="1">
        <v>90.0</v>
      </c>
      <c r="J673" s="9" t="s">
        <v>28</v>
      </c>
      <c r="K673" s="5">
        <v>46040.0</v>
      </c>
      <c r="L673" s="11" t="s">
        <v>207</v>
      </c>
      <c r="M673" s="11"/>
      <c r="N673" s="4" t="str">
        <f t="shared" si="1"/>
        <v>Macarena Soto Rodríguez</v>
      </c>
      <c r="O673" s="6" t="str">
        <f t="shared" si="2"/>
        <v>19.492.163-0</v>
      </c>
      <c r="P673" s="6" t="str">
        <f t="shared" si="3"/>
        <v>Maipú - Santiago - Región Metropolitana</v>
      </c>
      <c r="Q673" s="4" t="str">
        <f t="shared" si="4"/>
        <v>Activo</v>
      </c>
      <c r="R673" s="12" t="str">
        <f t="shared" si="5"/>
        <v>Riesgo Alto</v>
      </c>
    </row>
    <row r="674">
      <c r="A674" s="1" t="s">
        <v>14</v>
      </c>
      <c r="B674" s="9" t="s">
        <v>15</v>
      </c>
      <c r="C674" s="9" t="s">
        <v>4829</v>
      </c>
      <c r="D674" s="1" t="s">
        <v>17</v>
      </c>
      <c r="E674" s="1" t="s">
        <v>18</v>
      </c>
      <c r="F674" s="1" t="s">
        <v>18</v>
      </c>
      <c r="G674" s="1" t="s">
        <v>19</v>
      </c>
      <c r="H674" s="2">
        <v>3640000.0</v>
      </c>
      <c r="I674" s="1">
        <v>0.0</v>
      </c>
      <c r="J674" s="9" t="s">
        <v>20</v>
      </c>
      <c r="K674" s="5">
        <v>46156.0</v>
      </c>
      <c r="L674" s="11" t="s">
        <v>207</v>
      </c>
      <c r="M674" s="11"/>
      <c r="N674" s="4" t="str">
        <f t="shared" si="1"/>
        <v>Macarena Tapia Morales</v>
      </c>
      <c r="O674" s="6" t="str">
        <f t="shared" si="2"/>
        <v>12.857.780-8</v>
      </c>
      <c r="P674" s="6" t="str">
        <f t="shared" si="3"/>
        <v>La Serena - La Serena - Región de Coquimbo</v>
      </c>
      <c r="Q674" s="4" t="str">
        <f t="shared" si="4"/>
        <v>En Revisión</v>
      </c>
      <c r="R674" s="12" t="str">
        <f t="shared" si="5"/>
        <v>Riesgo Medio</v>
      </c>
    </row>
    <row r="675">
      <c r="A675" s="1" t="s">
        <v>4274</v>
      </c>
      <c r="B675" s="9" t="s">
        <v>4275</v>
      </c>
      <c r="C675" s="9" t="s">
        <v>4830</v>
      </c>
      <c r="D675" s="1" t="s">
        <v>3732</v>
      </c>
      <c r="E675" s="1" t="s">
        <v>61</v>
      </c>
      <c r="F675" s="1" t="s">
        <v>62</v>
      </c>
      <c r="G675" s="1" t="s">
        <v>63</v>
      </c>
      <c r="H675" s="2">
        <v>1.236E7</v>
      </c>
      <c r="I675" s="1">
        <v>120.0</v>
      </c>
      <c r="J675" s="9" t="s">
        <v>28</v>
      </c>
      <c r="K675" s="5">
        <v>46217.0</v>
      </c>
      <c r="L675" s="11" t="s">
        <v>100</v>
      </c>
      <c r="M675" s="11"/>
      <c r="N675" s="4" t="str">
        <f t="shared" si="1"/>
        <v>Macarena Tapia Rodríguez</v>
      </c>
      <c r="O675" s="6" t="str">
        <f t="shared" si="2"/>
        <v>21.668.331-2</v>
      </c>
      <c r="P675" s="6" t="str">
        <f t="shared" si="3"/>
        <v>Santiago Centro - Santiago - Región Metropolitana</v>
      </c>
      <c r="Q675" s="4" t="str">
        <f t="shared" si="4"/>
        <v>Activo</v>
      </c>
      <c r="R675" s="12" t="str">
        <f t="shared" si="5"/>
        <v>Riesgo Alto</v>
      </c>
    </row>
    <row r="676">
      <c r="A676" s="1" t="s">
        <v>3956</v>
      </c>
      <c r="B676" s="9" t="s">
        <v>3957</v>
      </c>
      <c r="C676" s="9" t="s">
        <v>3958</v>
      </c>
      <c r="D676" s="1" t="s">
        <v>17</v>
      </c>
      <c r="E676" s="1" t="s">
        <v>158</v>
      </c>
      <c r="F676" s="1" t="s">
        <v>158</v>
      </c>
      <c r="G676" s="1" t="s">
        <v>159</v>
      </c>
      <c r="H676" s="2">
        <v>5090000.0</v>
      </c>
      <c r="I676" s="1">
        <v>15.0</v>
      </c>
      <c r="J676" s="9" t="s">
        <v>28</v>
      </c>
      <c r="K676" s="5">
        <v>46036.0</v>
      </c>
      <c r="L676" s="11" t="s">
        <v>207</v>
      </c>
      <c r="M676" s="11"/>
      <c r="N676" s="4" t="str">
        <f t="shared" si="1"/>
        <v>Macarena Tapia Silva</v>
      </c>
      <c r="O676" s="6" t="str">
        <f t="shared" si="2"/>
        <v>16.406.929-5</v>
      </c>
      <c r="P676" s="6" t="str">
        <f t="shared" si="3"/>
        <v>Antofagasta - Antofagasta - Región de Antofagasta</v>
      </c>
      <c r="Q676" s="4" t="str">
        <f t="shared" si="4"/>
        <v>Activo</v>
      </c>
      <c r="R676" s="12" t="str">
        <f t="shared" si="5"/>
        <v>Riesgo Bajo</v>
      </c>
    </row>
    <row r="677">
      <c r="A677" s="1" t="s">
        <v>3726</v>
      </c>
      <c r="B677" s="9" t="s">
        <v>3728</v>
      </c>
      <c r="C677" s="9" t="s">
        <v>4831</v>
      </c>
      <c r="D677" s="1" t="s">
        <v>3732</v>
      </c>
      <c r="E677" s="1" t="s">
        <v>72</v>
      </c>
      <c r="F677" s="1" t="s">
        <v>62</v>
      </c>
      <c r="G677" s="1" t="s">
        <v>63</v>
      </c>
      <c r="H677" s="2">
        <v>1.497E7</v>
      </c>
      <c r="I677" s="1">
        <v>0.0</v>
      </c>
      <c r="J677" s="9" t="s">
        <v>97</v>
      </c>
      <c r="K677" s="5">
        <v>46207.0</v>
      </c>
      <c r="L677" s="11" t="s">
        <v>100</v>
      </c>
      <c r="M677" s="11"/>
      <c r="N677" s="4" t="str">
        <f t="shared" si="1"/>
        <v>Macarena Tapia Valenzuela</v>
      </c>
      <c r="O677" s="6" t="str">
        <f t="shared" si="2"/>
        <v>12.665.727-0</v>
      </c>
      <c r="P677" s="6" t="str">
        <f t="shared" si="3"/>
        <v>Providencia - Santiago - Región Metropolitana</v>
      </c>
      <c r="Q677" s="4" t="str">
        <f t="shared" si="4"/>
        <v>Inactivo</v>
      </c>
      <c r="R677" s="12" t="str">
        <f t="shared" si="5"/>
        <v>Riesgo Bajo</v>
      </c>
    </row>
    <row r="678">
      <c r="A678" s="1" t="s">
        <v>1833</v>
      </c>
      <c r="B678" s="9" t="s">
        <v>1834</v>
      </c>
      <c r="C678" s="9" t="s">
        <v>1835</v>
      </c>
      <c r="D678" s="1" t="s">
        <v>1837</v>
      </c>
      <c r="E678" s="1" t="s">
        <v>56</v>
      </c>
      <c r="F678" s="1" t="s">
        <v>39</v>
      </c>
      <c r="G678" s="1" t="s">
        <v>40</v>
      </c>
      <c r="H678" s="2">
        <v>1.984E7</v>
      </c>
      <c r="I678" s="1">
        <v>120.0</v>
      </c>
      <c r="J678" s="9" t="s">
        <v>20</v>
      </c>
      <c r="K678" s="5">
        <v>46139.0</v>
      </c>
      <c r="L678" s="11" t="s">
        <v>160</v>
      </c>
      <c r="M678" s="11"/>
      <c r="N678" s="4" t="str">
        <f t="shared" si="1"/>
        <v>Macarena Valenzuela Soto</v>
      </c>
      <c r="O678" s="6" t="str">
        <f t="shared" si="2"/>
        <v>17391541-7</v>
      </c>
      <c r="P678" s="6" t="str">
        <f t="shared" si="3"/>
        <v>Talcahuano - Concepción - Región del Biobío</v>
      </c>
      <c r="Q678" s="4" t="str">
        <f t="shared" si="4"/>
        <v>En Revisión</v>
      </c>
      <c r="R678" s="12" t="str">
        <f t="shared" si="5"/>
        <v>Riesgo Medio</v>
      </c>
    </row>
    <row r="679">
      <c r="A679" s="1" t="s">
        <v>4169</v>
      </c>
      <c r="B679" s="9" t="s">
        <v>4170</v>
      </c>
      <c r="C679" s="9" t="s">
        <v>4832</v>
      </c>
      <c r="D679" s="1" t="s">
        <v>4172</v>
      </c>
      <c r="E679" s="1" t="s">
        <v>18</v>
      </c>
      <c r="F679" s="1" t="s">
        <v>18</v>
      </c>
      <c r="G679" s="1" t="s">
        <v>19</v>
      </c>
      <c r="H679" s="2">
        <v>1.83E7</v>
      </c>
      <c r="I679" s="1">
        <v>15.0</v>
      </c>
      <c r="J679" s="9" t="s">
        <v>20</v>
      </c>
      <c r="K679" s="5">
        <v>46074.0</v>
      </c>
      <c r="L679" s="11" t="s">
        <v>181</v>
      </c>
      <c r="M679" s="11"/>
      <c r="N679" s="4" t="str">
        <f t="shared" si="1"/>
        <v>Marcela Araya Pérez</v>
      </c>
      <c r="O679" s="6" t="str">
        <f t="shared" si="2"/>
        <v>15.607.588-8</v>
      </c>
      <c r="P679" s="6" t="str">
        <f t="shared" si="3"/>
        <v>La Serena - La Serena - Región de Coquimbo</v>
      </c>
      <c r="Q679" s="4" t="str">
        <f t="shared" si="4"/>
        <v>En Revisión</v>
      </c>
      <c r="R679" s="12" t="str">
        <f t="shared" si="5"/>
        <v>Riesgo Medio</v>
      </c>
    </row>
    <row r="680">
      <c r="A680" s="1" t="s">
        <v>2888</v>
      </c>
      <c r="B680" s="9" t="s">
        <v>2889</v>
      </c>
      <c r="C680" s="9" t="s">
        <v>2890</v>
      </c>
      <c r="D680" s="1" t="s">
        <v>2891</v>
      </c>
      <c r="E680" s="1" t="s">
        <v>33</v>
      </c>
      <c r="F680" s="1" t="s">
        <v>33</v>
      </c>
      <c r="G680" s="1" t="s">
        <v>34</v>
      </c>
      <c r="H680" s="2">
        <v>1.333E7</v>
      </c>
      <c r="I680" s="1">
        <v>60.0</v>
      </c>
      <c r="J680" s="9" t="s">
        <v>20</v>
      </c>
      <c r="K680" s="5">
        <v>46088.0</v>
      </c>
      <c r="L680" s="11" t="s">
        <v>199</v>
      </c>
      <c r="M680" s="11"/>
      <c r="N680" s="4" t="str">
        <f t="shared" si="1"/>
        <v>Marcela Contreras Soto</v>
      </c>
      <c r="O680" s="6" t="str">
        <f t="shared" si="2"/>
        <v>18.066.386-0</v>
      </c>
      <c r="P680" s="6" t="str">
        <f t="shared" si="3"/>
        <v>Puerto Montt - Puerto Montt - Región de Los Lagos</v>
      </c>
      <c r="Q680" s="4" t="str">
        <f t="shared" si="4"/>
        <v>En Revisión</v>
      </c>
      <c r="R680" s="12" t="str">
        <f t="shared" si="5"/>
        <v>Riesgo Medio</v>
      </c>
    </row>
    <row r="681">
      <c r="A681" s="1" t="s">
        <v>288</v>
      </c>
      <c r="B681" s="9" t="s">
        <v>289</v>
      </c>
      <c r="C681" s="9" t="s">
        <v>291</v>
      </c>
      <c r="D681" s="1" t="s">
        <v>292</v>
      </c>
      <c r="E681" s="1" t="s">
        <v>25</v>
      </c>
      <c r="F681" s="1" t="s">
        <v>26</v>
      </c>
      <c r="G681" s="1" t="s">
        <v>27</v>
      </c>
      <c r="H681" s="2">
        <v>1.759E7</v>
      </c>
      <c r="I681" s="1">
        <v>30.0</v>
      </c>
      <c r="J681" s="9" t="s">
        <v>20</v>
      </c>
      <c r="K681" s="5">
        <v>46043.0</v>
      </c>
      <c r="L681" s="11" t="s">
        <v>207</v>
      </c>
      <c r="M681" s="11"/>
      <c r="N681" s="4" t="str">
        <f t="shared" si="1"/>
        <v>Marcela Díaz Morales</v>
      </c>
      <c r="O681" s="6" t="str">
        <f t="shared" si="2"/>
        <v>18.346.735-2</v>
      </c>
      <c r="P681" s="6" t="str">
        <f t="shared" si="3"/>
        <v>Viña del Mar - Valparaíso - Región de Valparaíso</v>
      </c>
      <c r="Q681" s="4" t="str">
        <f t="shared" si="4"/>
        <v>En Revisión</v>
      </c>
      <c r="R681" s="12" t="str">
        <f t="shared" si="5"/>
        <v>Riesgo Medio</v>
      </c>
    </row>
    <row r="682">
      <c r="A682" s="1" t="s">
        <v>1601</v>
      </c>
      <c r="B682" s="9" t="s">
        <v>1603</v>
      </c>
      <c r="C682" s="9" t="s">
        <v>1606</v>
      </c>
      <c r="D682" s="1" t="s">
        <v>1608</v>
      </c>
      <c r="E682" s="1" t="s">
        <v>18</v>
      </c>
      <c r="F682" s="1" t="s">
        <v>18</v>
      </c>
      <c r="G682" s="1" t="s">
        <v>19</v>
      </c>
      <c r="H682" s="2">
        <v>1.595E7</v>
      </c>
      <c r="I682" s="1">
        <v>120.0</v>
      </c>
      <c r="J682" s="9" t="s">
        <v>20</v>
      </c>
      <c r="K682" s="5">
        <v>46080.0</v>
      </c>
      <c r="L682" s="11" t="s">
        <v>160</v>
      </c>
      <c r="M682" s="11"/>
      <c r="N682" s="4" t="str">
        <f t="shared" si="1"/>
        <v>Marcela Díaz Rodríguez</v>
      </c>
      <c r="O682" s="6" t="str">
        <f t="shared" si="2"/>
        <v>18.159.339-0</v>
      </c>
      <c r="P682" s="6" t="str">
        <f t="shared" si="3"/>
        <v>La Serena - La Serena - Región de Coquimbo</v>
      </c>
      <c r="Q682" s="4" t="str">
        <f t="shared" si="4"/>
        <v>En Revisión</v>
      </c>
      <c r="R682" s="12" t="str">
        <f t="shared" si="5"/>
        <v>Riesgo Medio</v>
      </c>
    </row>
    <row r="683">
      <c r="A683" s="1" t="s">
        <v>3491</v>
      </c>
      <c r="B683" s="9" t="s">
        <v>3492</v>
      </c>
      <c r="C683" s="9" t="s">
        <v>3493</v>
      </c>
      <c r="D683" s="1" t="s">
        <v>3494</v>
      </c>
      <c r="E683" s="1" t="s">
        <v>25</v>
      </c>
      <c r="F683" s="1" t="s">
        <v>26</v>
      </c>
      <c r="G683" s="1" t="s">
        <v>27</v>
      </c>
      <c r="H683" s="2">
        <v>8570000.0</v>
      </c>
      <c r="I683" s="1">
        <v>90.0</v>
      </c>
      <c r="J683" s="9" t="s">
        <v>28</v>
      </c>
      <c r="K683" s="5">
        <v>46223.0</v>
      </c>
      <c r="L683" s="11" t="s">
        <v>100</v>
      </c>
      <c r="M683" s="11"/>
      <c r="N683" s="4" t="str">
        <f t="shared" si="1"/>
        <v>Marcela Díaz Soto</v>
      </c>
      <c r="O683" s="6" t="str">
        <f t="shared" si="2"/>
        <v>19.242.265-4</v>
      </c>
      <c r="P683" s="6" t="str">
        <f t="shared" si="3"/>
        <v>Viña del Mar - Valparaíso - Región de Valparaíso</v>
      </c>
      <c r="Q683" s="4" t="str">
        <f t="shared" si="4"/>
        <v>Activo</v>
      </c>
      <c r="R683" s="12" t="str">
        <f t="shared" si="5"/>
        <v>Riesgo Alto</v>
      </c>
    </row>
    <row r="684">
      <c r="A684" s="1" t="s">
        <v>628</v>
      </c>
      <c r="B684" s="9" t="s">
        <v>630</v>
      </c>
      <c r="C684" s="9" t="s">
        <v>631</v>
      </c>
      <c r="D684" s="1" t="s">
        <v>130</v>
      </c>
      <c r="E684" s="1" t="s">
        <v>33</v>
      </c>
      <c r="F684" s="1" t="s">
        <v>33</v>
      </c>
      <c r="G684" s="1" t="s">
        <v>34</v>
      </c>
      <c r="H684" s="2">
        <v>9020000.0</v>
      </c>
      <c r="I684" s="1">
        <v>60.0</v>
      </c>
      <c r="J684" s="9" t="s">
        <v>20</v>
      </c>
      <c r="K684" s="5">
        <v>46179.0</v>
      </c>
      <c r="L684" s="11" t="s">
        <v>160</v>
      </c>
      <c r="M684" s="11"/>
      <c r="N684" s="4" t="str">
        <f t="shared" si="1"/>
        <v>Marcela Espinoza Díaz</v>
      </c>
      <c r="O684" s="6" t="str">
        <f t="shared" si="2"/>
        <v>13856777-7</v>
      </c>
      <c r="P684" s="6" t="str">
        <f t="shared" si="3"/>
        <v>Puerto Montt - Puerto Montt - Región de Los Lagos</v>
      </c>
      <c r="Q684" s="4" t="str">
        <f t="shared" si="4"/>
        <v>En Revisión</v>
      </c>
      <c r="R684" s="12" t="str">
        <f t="shared" si="5"/>
        <v>Riesgo Medio</v>
      </c>
    </row>
    <row r="685">
      <c r="A685" s="1" t="s">
        <v>127</v>
      </c>
      <c r="B685" s="9" t="s">
        <v>128</v>
      </c>
      <c r="C685" s="9" t="s">
        <v>4833</v>
      </c>
      <c r="D685" s="1" t="s">
        <v>130</v>
      </c>
      <c r="E685" s="1" t="s">
        <v>56</v>
      </c>
      <c r="F685" s="1" t="s">
        <v>39</v>
      </c>
      <c r="G685" s="1" t="s">
        <v>40</v>
      </c>
      <c r="H685" s="2">
        <v>4910000.0</v>
      </c>
      <c r="I685" s="1">
        <v>120.0</v>
      </c>
      <c r="J685" s="9" t="s">
        <v>97</v>
      </c>
      <c r="K685" s="5">
        <v>46231.0</v>
      </c>
      <c r="L685" s="11" t="s">
        <v>160</v>
      </c>
      <c r="M685" s="11"/>
      <c r="N685" s="4" t="str">
        <f t="shared" si="1"/>
        <v>Marcela Espinoza Espinoza</v>
      </c>
      <c r="O685" s="6" t="str">
        <f t="shared" si="2"/>
        <v>22051983-2</v>
      </c>
      <c r="P685" s="6" t="str">
        <f t="shared" si="3"/>
        <v>Talcahuano - Concepción - Región del Biobío</v>
      </c>
      <c r="Q685" s="4" t="str">
        <f t="shared" si="4"/>
        <v>Inactivo</v>
      </c>
      <c r="R685" s="12" t="str">
        <f t="shared" si="5"/>
        <v>Riesgo Medio</v>
      </c>
    </row>
    <row r="686">
      <c r="A686" s="1" t="s">
        <v>2114</v>
      </c>
      <c r="B686" s="9" t="s">
        <v>2115</v>
      </c>
      <c r="C686" s="9" t="s">
        <v>2116</v>
      </c>
      <c r="D686" s="1" t="s">
        <v>130</v>
      </c>
      <c r="E686" s="1" t="s">
        <v>33</v>
      </c>
      <c r="F686" s="1" t="s">
        <v>33</v>
      </c>
      <c r="G686" s="1" t="s">
        <v>34</v>
      </c>
      <c r="H686" s="2">
        <v>2.189E7</v>
      </c>
      <c r="I686" s="1">
        <v>30.0</v>
      </c>
      <c r="J686" s="9" t="s">
        <v>28</v>
      </c>
      <c r="K686" s="5">
        <v>46071.0</v>
      </c>
      <c r="L686" s="11" t="s">
        <v>181</v>
      </c>
      <c r="M686" s="11"/>
      <c r="N686" s="4" t="str">
        <f t="shared" si="1"/>
        <v>Marcela Espinoza López</v>
      </c>
      <c r="O686" s="6" t="str">
        <f t="shared" si="2"/>
        <v>12886659-4</v>
      </c>
      <c r="P686" s="6" t="str">
        <f t="shared" si="3"/>
        <v>Puerto Montt - Puerto Montt - Región de Los Lagos</v>
      </c>
      <c r="Q686" s="4" t="str">
        <f t="shared" si="4"/>
        <v>Activo</v>
      </c>
      <c r="R686" s="12" t="str">
        <f t="shared" si="5"/>
        <v>Riesgo Bajo</v>
      </c>
    </row>
    <row r="687">
      <c r="A687" s="1" t="s">
        <v>4213</v>
      </c>
      <c r="B687" s="9" t="s">
        <v>4214</v>
      </c>
      <c r="C687" s="9" t="s">
        <v>4834</v>
      </c>
      <c r="D687" s="1" t="s">
        <v>4216</v>
      </c>
      <c r="E687" s="1" t="s">
        <v>56</v>
      </c>
      <c r="F687" s="1" t="s">
        <v>39</v>
      </c>
      <c r="G687" s="1" t="s">
        <v>40</v>
      </c>
      <c r="H687" s="2">
        <v>7490000.0</v>
      </c>
      <c r="I687" s="1">
        <v>30.0</v>
      </c>
      <c r="J687" s="9" t="s">
        <v>28</v>
      </c>
      <c r="K687" s="5">
        <v>46193.0</v>
      </c>
      <c r="L687" s="11" t="s">
        <v>160</v>
      </c>
      <c r="M687" s="11"/>
      <c r="N687" s="4" t="str">
        <f t="shared" si="1"/>
        <v>Marcela Espinoza Rodríguez</v>
      </c>
      <c r="O687" s="6" t="str">
        <f t="shared" si="2"/>
        <v>14317116-3</v>
      </c>
      <c r="P687" s="6" t="str">
        <f t="shared" si="3"/>
        <v>Talcahuano - Concepción - Región del Biobío</v>
      </c>
      <c r="Q687" s="4" t="str">
        <f t="shared" si="4"/>
        <v>Activo</v>
      </c>
      <c r="R687" s="12" t="str">
        <f t="shared" si="5"/>
        <v>Riesgo Bajo</v>
      </c>
    </row>
    <row r="688">
      <c r="A688" s="1" t="s">
        <v>4027</v>
      </c>
      <c r="B688" s="9" t="s">
        <v>4028</v>
      </c>
      <c r="C688" s="9" t="s">
        <v>4029</v>
      </c>
      <c r="D688" s="1" t="s">
        <v>4030</v>
      </c>
      <c r="E688" s="1" t="s">
        <v>56</v>
      </c>
      <c r="F688" s="1" t="s">
        <v>39</v>
      </c>
      <c r="G688" s="1" t="s">
        <v>40</v>
      </c>
      <c r="H688" s="2">
        <v>1.075E7</v>
      </c>
      <c r="I688" s="1">
        <v>0.0</v>
      </c>
      <c r="J688" s="9" t="s">
        <v>97</v>
      </c>
      <c r="K688" s="5">
        <v>46188.0</v>
      </c>
      <c r="L688" s="11" t="s">
        <v>160</v>
      </c>
      <c r="M688" s="11"/>
      <c r="N688" s="4" t="str">
        <f t="shared" si="1"/>
        <v>Marcela Espinoza Valenzuela</v>
      </c>
      <c r="O688" s="6" t="str">
        <f t="shared" si="2"/>
        <v>14.214.378-9</v>
      </c>
      <c r="P688" s="6" t="str">
        <f t="shared" si="3"/>
        <v>Talcahuano - Concepción - Región del Biobío</v>
      </c>
      <c r="Q688" s="4" t="str">
        <f t="shared" si="4"/>
        <v>Inactivo</v>
      </c>
      <c r="R688" s="12" t="str">
        <f t="shared" si="5"/>
        <v>Riesgo Bajo</v>
      </c>
    </row>
    <row r="689">
      <c r="A689" s="1" t="s">
        <v>1805</v>
      </c>
      <c r="B689" s="9" t="s">
        <v>1806</v>
      </c>
      <c r="C689" s="9" t="s">
        <v>1807</v>
      </c>
      <c r="D689" s="1" t="s">
        <v>1808</v>
      </c>
      <c r="E689" s="1" t="s">
        <v>56</v>
      </c>
      <c r="F689" s="1" t="s">
        <v>39</v>
      </c>
      <c r="G689" s="1" t="s">
        <v>40</v>
      </c>
      <c r="H689" s="2">
        <v>1.503E7</v>
      </c>
      <c r="I689" s="1">
        <v>15.0</v>
      </c>
      <c r="J689" s="9" t="s">
        <v>28</v>
      </c>
      <c r="K689" s="5">
        <v>46205.0</v>
      </c>
      <c r="L689" s="11" t="s">
        <v>207</v>
      </c>
      <c r="M689" s="11"/>
      <c r="N689" s="4" t="str">
        <f t="shared" si="1"/>
        <v>Marcela Fuentes Araya</v>
      </c>
      <c r="O689" s="6" t="str">
        <f t="shared" si="2"/>
        <v>14409785-2</v>
      </c>
      <c r="P689" s="6" t="str">
        <f t="shared" si="3"/>
        <v>Talcahuano - Concepción - Región del Biobío</v>
      </c>
      <c r="Q689" s="4" t="str">
        <f t="shared" si="4"/>
        <v>Activo</v>
      </c>
      <c r="R689" s="12" t="str">
        <f t="shared" si="5"/>
        <v>Riesgo Bajo</v>
      </c>
    </row>
    <row r="690">
      <c r="A690" s="1" t="s">
        <v>4262</v>
      </c>
      <c r="B690" s="9" t="s">
        <v>4263</v>
      </c>
      <c r="C690" s="9" t="s">
        <v>4835</v>
      </c>
      <c r="D690" s="1" t="s">
        <v>4265</v>
      </c>
      <c r="E690" s="1" t="s">
        <v>39</v>
      </c>
      <c r="F690" s="1" t="s">
        <v>39</v>
      </c>
      <c r="G690" s="1" t="s">
        <v>40</v>
      </c>
      <c r="H690" s="2">
        <v>2.053E7</v>
      </c>
      <c r="I690" s="1">
        <v>90.0</v>
      </c>
      <c r="J690" s="9" t="s">
        <v>28</v>
      </c>
      <c r="K690" s="5">
        <v>46199.0</v>
      </c>
      <c r="L690" s="11" t="s">
        <v>160</v>
      </c>
      <c r="M690" s="11"/>
      <c r="N690" s="4" t="str">
        <f t="shared" si="1"/>
        <v>Marcela Fuentes Rodríguez</v>
      </c>
      <c r="O690" s="6" t="str">
        <f t="shared" si="2"/>
        <v>13.137.317-K</v>
      </c>
      <c r="P690" s="6" t="str">
        <f t="shared" si="3"/>
        <v>Concepción - Concepción - Región del Biobío</v>
      </c>
      <c r="Q690" s="4" t="str">
        <f t="shared" si="4"/>
        <v>Activo</v>
      </c>
      <c r="R690" s="12" t="str">
        <f t="shared" si="5"/>
        <v>Riesgo Alto</v>
      </c>
    </row>
    <row r="691">
      <c r="A691" s="1" t="s">
        <v>4781</v>
      </c>
      <c r="B691" s="9" t="s">
        <v>4782</v>
      </c>
      <c r="C691" s="9" t="s">
        <v>4783</v>
      </c>
      <c r="D691" s="1" t="s">
        <v>4784</v>
      </c>
      <c r="E691" s="1" t="s">
        <v>56</v>
      </c>
      <c r="F691" s="1" t="s">
        <v>39</v>
      </c>
      <c r="G691" s="1" t="s">
        <v>40</v>
      </c>
      <c r="H691" s="2">
        <v>550000.0</v>
      </c>
      <c r="I691" s="1">
        <v>15.0</v>
      </c>
      <c r="J691" s="9" t="s">
        <v>28</v>
      </c>
      <c r="K691" s="5">
        <v>46156.0</v>
      </c>
      <c r="L691" s="11" t="s">
        <v>207</v>
      </c>
      <c r="M691" s="11"/>
      <c r="N691" s="4" t="str">
        <f t="shared" si="1"/>
        <v>Marcela González Valenzuela</v>
      </c>
      <c r="O691" s="6" t="str">
        <f t="shared" si="2"/>
        <v>14.102.561-4</v>
      </c>
      <c r="P691" s="6" t="str">
        <f t="shared" si="3"/>
        <v>Talcahuano - Concepción - Región del Biobío</v>
      </c>
      <c r="Q691" s="4" t="str">
        <f t="shared" si="4"/>
        <v>Activo</v>
      </c>
      <c r="R691" s="12" t="str">
        <f t="shared" si="5"/>
        <v>Riesgo Bajo</v>
      </c>
    </row>
    <row r="692">
      <c r="A692" s="1" t="s">
        <v>1268</v>
      </c>
      <c r="B692" s="9" t="s">
        <v>1269</v>
      </c>
      <c r="C692" s="9" t="s">
        <v>4836</v>
      </c>
      <c r="D692" s="1" t="s">
        <v>1272</v>
      </c>
      <c r="E692" s="1" t="s">
        <v>158</v>
      </c>
      <c r="F692" s="1" t="s">
        <v>158</v>
      </c>
      <c r="G692" s="1" t="s">
        <v>159</v>
      </c>
      <c r="H692" s="2">
        <v>7920000.0</v>
      </c>
      <c r="I692" s="1">
        <v>15.0</v>
      </c>
      <c r="J692" s="9" t="s">
        <v>28</v>
      </c>
      <c r="K692" s="5">
        <v>46135.0</v>
      </c>
      <c r="L692" s="11" t="s">
        <v>100</v>
      </c>
      <c r="M692" s="11"/>
      <c r="N692" s="4" t="str">
        <f t="shared" si="1"/>
        <v>Marcela López Vergara</v>
      </c>
      <c r="O692" s="6" t="str">
        <f t="shared" si="2"/>
        <v>17.537.410-9</v>
      </c>
      <c r="P692" s="6" t="str">
        <f t="shared" si="3"/>
        <v>Antofagasta - Antofagasta - Región de Antofagasta</v>
      </c>
      <c r="Q692" s="4" t="str">
        <f t="shared" si="4"/>
        <v>Activo</v>
      </c>
      <c r="R692" s="12" t="str">
        <f t="shared" si="5"/>
        <v>Riesgo Bajo</v>
      </c>
    </row>
    <row r="693">
      <c r="A693" s="1" t="s">
        <v>4536</v>
      </c>
      <c r="B693" s="9" t="s">
        <v>4537</v>
      </c>
      <c r="C693" s="9" t="s">
        <v>4837</v>
      </c>
      <c r="D693" s="1" t="s">
        <v>4443</v>
      </c>
      <c r="E693" s="1" t="s">
        <v>56</v>
      </c>
      <c r="F693" s="1" t="s">
        <v>39</v>
      </c>
      <c r="G693" s="1" t="s">
        <v>40</v>
      </c>
      <c r="H693" s="2">
        <v>1.101E7</v>
      </c>
      <c r="I693" s="1">
        <v>0.0</v>
      </c>
      <c r="J693" s="9" t="s">
        <v>20</v>
      </c>
      <c r="K693" s="5">
        <v>46127.0</v>
      </c>
      <c r="L693" s="11" t="s">
        <v>207</v>
      </c>
      <c r="M693" s="11"/>
      <c r="N693" s="4" t="str">
        <f t="shared" si="1"/>
        <v>Marcela Morales López</v>
      </c>
      <c r="O693" s="6" t="str">
        <f t="shared" si="2"/>
        <v>18460324-5</v>
      </c>
      <c r="P693" s="6" t="str">
        <f t="shared" si="3"/>
        <v>Talcahuano - Concepción - Región del Biobío</v>
      </c>
      <c r="Q693" s="4" t="str">
        <f t="shared" si="4"/>
        <v>En Revisión</v>
      </c>
      <c r="R693" s="12" t="str">
        <f t="shared" si="5"/>
        <v>Riesgo Medio</v>
      </c>
    </row>
    <row r="694">
      <c r="A694" s="1" t="s">
        <v>4440</v>
      </c>
      <c r="B694" s="9" t="s">
        <v>4441</v>
      </c>
      <c r="C694" s="9" t="s">
        <v>4838</v>
      </c>
      <c r="D694" s="1" t="s">
        <v>4443</v>
      </c>
      <c r="E694" s="1" t="s">
        <v>26</v>
      </c>
      <c r="F694" s="1" t="s">
        <v>26</v>
      </c>
      <c r="G694" s="1" t="s">
        <v>27</v>
      </c>
      <c r="H694" s="2">
        <v>1.509E7</v>
      </c>
      <c r="I694" s="1">
        <v>120.0</v>
      </c>
      <c r="J694" s="9" t="s">
        <v>20</v>
      </c>
      <c r="K694" s="5">
        <v>46097.0</v>
      </c>
      <c r="L694" s="11" t="s">
        <v>207</v>
      </c>
      <c r="M694" s="11"/>
      <c r="N694" s="4" t="str">
        <f t="shared" si="1"/>
        <v>Marcela Morales Morales</v>
      </c>
      <c r="O694" s="6" t="str">
        <f t="shared" si="2"/>
        <v>16.570.888-6</v>
      </c>
      <c r="P694" s="6" t="str">
        <f t="shared" si="3"/>
        <v>Valparaíso - Valparaíso - Región de Valparaíso</v>
      </c>
      <c r="Q694" s="4" t="str">
        <f t="shared" si="4"/>
        <v>En Revisión</v>
      </c>
      <c r="R694" s="12" t="str">
        <f t="shared" si="5"/>
        <v>Riesgo Medio</v>
      </c>
    </row>
    <row r="695">
      <c r="A695" s="1" t="s">
        <v>3840</v>
      </c>
      <c r="B695" s="9" t="s">
        <v>3841</v>
      </c>
      <c r="C695" s="9" t="s">
        <v>4839</v>
      </c>
      <c r="D695" s="1" t="s">
        <v>3844</v>
      </c>
      <c r="E695" s="1" t="s">
        <v>109</v>
      </c>
      <c r="F695" s="1" t="s">
        <v>62</v>
      </c>
      <c r="G695" s="1" t="s">
        <v>63</v>
      </c>
      <c r="H695" s="2">
        <v>1.027E7</v>
      </c>
      <c r="I695" s="1">
        <v>90.0</v>
      </c>
      <c r="J695" s="9" t="s">
        <v>20</v>
      </c>
      <c r="K695" s="5">
        <v>46197.0</v>
      </c>
      <c r="L695" s="11" t="s">
        <v>100</v>
      </c>
      <c r="M695" s="11"/>
      <c r="N695" s="4" t="str">
        <f t="shared" si="1"/>
        <v>Marcela Morales Rodríguez</v>
      </c>
      <c r="O695" s="6" t="str">
        <f t="shared" si="2"/>
        <v>12.592.312-3</v>
      </c>
      <c r="P695" s="6" t="str">
        <f t="shared" si="3"/>
        <v>Ñuñoa - Santiago - Región Metropolitana</v>
      </c>
      <c r="Q695" s="4" t="str">
        <f t="shared" si="4"/>
        <v>En Revisión</v>
      </c>
      <c r="R695" s="12" t="str">
        <f t="shared" si="5"/>
        <v>Riesgo Medio</v>
      </c>
    </row>
    <row r="696">
      <c r="A696" s="1" t="s">
        <v>1024</v>
      </c>
      <c r="B696" s="9" t="s">
        <v>1025</v>
      </c>
      <c r="C696" s="9" t="s">
        <v>4840</v>
      </c>
      <c r="D696" s="1" t="s">
        <v>1027</v>
      </c>
      <c r="E696" s="1" t="s">
        <v>61</v>
      </c>
      <c r="F696" s="1" t="s">
        <v>62</v>
      </c>
      <c r="G696" s="1" t="s">
        <v>63</v>
      </c>
      <c r="H696" s="2">
        <v>2.119E7</v>
      </c>
      <c r="I696" s="1">
        <v>45.0</v>
      </c>
      <c r="J696" s="9" t="s">
        <v>97</v>
      </c>
      <c r="K696" s="5">
        <v>46091.0</v>
      </c>
      <c r="L696" s="11" t="s">
        <v>207</v>
      </c>
      <c r="M696" s="11"/>
      <c r="N696" s="4" t="str">
        <f t="shared" si="1"/>
        <v>Marcela Pérez Fuentes</v>
      </c>
      <c r="O696" s="6" t="str">
        <f t="shared" si="2"/>
        <v>11964091-1</v>
      </c>
      <c r="P696" s="6" t="str">
        <f t="shared" si="3"/>
        <v>Santiago Centro - Santiago - Región Metropolitana</v>
      </c>
      <c r="Q696" s="4" t="str">
        <f t="shared" si="4"/>
        <v>Inactivo</v>
      </c>
      <c r="R696" s="12" t="str">
        <f t="shared" si="5"/>
        <v>Riesgo Medio</v>
      </c>
    </row>
    <row r="697">
      <c r="A697" s="1" t="s">
        <v>4575</v>
      </c>
      <c r="B697" s="9" t="s">
        <v>4576</v>
      </c>
      <c r="C697" s="9" t="s">
        <v>4840</v>
      </c>
      <c r="D697" s="1" t="s">
        <v>1027</v>
      </c>
      <c r="E697" s="1" t="s">
        <v>26</v>
      </c>
      <c r="F697" s="1" t="s">
        <v>26</v>
      </c>
      <c r="G697" s="1" t="s">
        <v>27</v>
      </c>
      <c r="H697" s="2">
        <v>1.327E7</v>
      </c>
      <c r="I697" s="1">
        <v>120.0</v>
      </c>
      <c r="J697" s="9" t="s">
        <v>28</v>
      </c>
      <c r="K697" s="5">
        <v>46140.0</v>
      </c>
      <c r="L697" s="11" t="s">
        <v>100</v>
      </c>
      <c r="M697" s="11"/>
      <c r="N697" s="4" t="str">
        <f t="shared" si="1"/>
        <v>Marcela Pérez Fuentes</v>
      </c>
      <c r="O697" s="6" t="str">
        <f t="shared" si="2"/>
        <v>21.872.901-7</v>
      </c>
      <c r="P697" s="6" t="str">
        <f t="shared" si="3"/>
        <v>Valparaíso - Valparaíso - Región de Valparaíso</v>
      </c>
      <c r="Q697" s="4" t="str">
        <f t="shared" si="4"/>
        <v>Activo</v>
      </c>
      <c r="R697" s="12" t="str">
        <f t="shared" si="5"/>
        <v>Riesgo Alto</v>
      </c>
    </row>
    <row r="698">
      <c r="A698" s="1" t="s">
        <v>3578</v>
      </c>
      <c r="B698" s="9" t="s">
        <v>3579</v>
      </c>
      <c r="C698" s="9" t="s">
        <v>3657</v>
      </c>
      <c r="D698" s="1" t="s">
        <v>1027</v>
      </c>
      <c r="E698" s="1" t="s">
        <v>45</v>
      </c>
      <c r="F698" s="1" t="s">
        <v>45</v>
      </c>
      <c r="G698" s="1" t="s">
        <v>46</v>
      </c>
      <c r="H698" s="2">
        <v>1.536E7</v>
      </c>
      <c r="I698" s="1">
        <v>0.0</v>
      </c>
      <c r="J698" s="9" t="s">
        <v>97</v>
      </c>
      <c r="K698" s="5">
        <v>46182.0</v>
      </c>
      <c r="L698" s="11" t="s">
        <v>160</v>
      </c>
      <c r="M698" s="11"/>
      <c r="N698" s="4" t="str">
        <f t="shared" si="1"/>
        <v>Marcela Pérez López</v>
      </c>
      <c r="O698" s="6" t="str">
        <f t="shared" si="2"/>
        <v>18.203.155-2</v>
      </c>
      <c r="P698" s="6" t="str">
        <f t="shared" si="3"/>
        <v>Temuco - Temuco - Región de la Araucanía</v>
      </c>
      <c r="Q698" s="4" t="str">
        <f t="shared" si="4"/>
        <v>Inactivo</v>
      </c>
      <c r="R698" s="12" t="str">
        <f t="shared" si="5"/>
        <v>Riesgo Bajo</v>
      </c>
    </row>
    <row r="699">
      <c r="A699" s="1" t="s">
        <v>3655</v>
      </c>
      <c r="B699" s="9" t="s">
        <v>3656</v>
      </c>
      <c r="C699" s="9" t="s">
        <v>3657</v>
      </c>
      <c r="D699" s="1" t="s">
        <v>3658</v>
      </c>
      <c r="E699" s="1" t="s">
        <v>72</v>
      </c>
      <c r="F699" s="1" t="s">
        <v>62</v>
      </c>
      <c r="G699" s="1" t="s">
        <v>63</v>
      </c>
      <c r="H699" s="2">
        <v>7700000.0</v>
      </c>
      <c r="I699" s="1">
        <v>0.0</v>
      </c>
      <c r="J699" s="9" t="s">
        <v>97</v>
      </c>
      <c r="K699" s="5">
        <v>46034.0</v>
      </c>
      <c r="L699" s="11" t="s">
        <v>181</v>
      </c>
      <c r="M699" s="11"/>
      <c r="N699" s="4" t="str">
        <f t="shared" si="1"/>
        <v>Marcela Pérez López</v>
      </c>
      <c r="O699" s="6" t="str">
        <f t="shared" si="2"/>
        <v>21.373.232-6</v>
      </c>
      <c r="P699" s="6" t="str">
        <f t="shared" si="3"/>
        <v>Providencia - Santiago - Región Metropolitana</v>
      </c>
      <c r="Q699" s="4" t="str">
        <f t="shared" si="4"/>
        <v>Inactivo</v>
      </c>
      <c r="R699" s="12" t="str">
        <f t="shared" si="5"/>
        <v>Riesgo Bajo</v>
      </c>
    </row>
    <row r="700">
      <c r="A700" s="1" t="s">
        <v>2139</v>
      </c>
      <c r="B700" s="9" t="s">
        <v>2140</v>
      </c>
      <c r="C700" s="9" t="s">
        <v>4841</v>
      </c>
      <c r="D700" s="1" t="s">
        <v>2142</v>
      </c>
      <c r="E700" s="1" t="s">
        <v>33</v>
      </c>
      <c r="F700" s="1" t="s">
        <v>33</v>
      </c>
      <c r="G700" s="1" t="s">
        <v>34</v>
      </c>
      <c r="H700" s="2">
        <v>7270000.0</v>
      </c>
      <c r="I700" s="1">
        <v>0.0</v>
      </c>
      <c r="J700" s="9" t="s">
        <v>28</v>
      </c>
      <c r="K700" s="5">
        <v>46179.0</v>
      </c>
      <c r="L700" s="11" t="s">
        <v>199</v>
      </c>
      <c r="M700" s="11"/>
      <c r="N700" s="4" t="str">
        <f t="shared" si="1"/>
        <v>Marcela Rodríguez Araya</v>
      </c>
      <c r="O700" s="6" t="str">
        <f t="shared" si="2"/>
        <v>20616469-6</v>
      </c>
      <c r="P700" s="6" t="str">
        <f t="shared" si="3"/>
        <v>Puerto Montt - Puerto Montt - Región de Los Lagos</v>
      </c>
      <c r="Q700" s="4" t="str">
        <f t="shared" si="4"/>
        <v>Activo</v>
      </c>
      <c r="R700" s="12" t="str">
        <f t="shared" si="5"/>
        <v>Riesgo Bajo</v>
      </c>
    </row>
    <row r="701">
      <c r="A701" s="1" t="s">
        <v>4634</v>
      </c>
      <c r="B701" s="9" t="s">
        <v>4635</v>
      </c>
      <c r="C701" s="9" t="s">
        <v>4636</v>
      </c>
      <c r="D701" s="1" t="s">
        <v>4637</v>
      </c>
      <c r="E701" s="1" t="s">
        <v>33</v>
      </c>
      <c r="F701" s="1" t="s">
        <v>33</v>
      </c>
      <c r="G701" s="1" t="s">
        <v>34</v>
      </c>
      <c r="H701" s="2">
        <v>6380000.0</v>
      </c>
      <c r="I701" s="1">
        <v>15.0</v>
      </c>
      <c r="J701" s="9" t="s">
        <v>20</v>
      </c>
      <c r="K701" s="5">
        <v>46062.0</v>
      </c>
      <c r="L701" s="11" t="s">
        <v>207</v>
      </c>
      <c r="M701" s="11"/>
      <c r="N701" s="4" t="str">
        <f t="shared" si="1"/>
        <v>Marcela Rodríguez Espinoza</v>
      </c>
      <c r="O701" s="6" t="str">
        <f t="shared" si="2"/>
        <v>14.550.971-4</v>
      </c>
      <c r="P701" s="6" t="str">
        <f t="shared" si="3"/>
        <v>Puerto Montt - Puerto Montt - Región de Los Lagos</v>
      </c>
      <c r="Q701" s="4" t="str">
        <f t="shared" si="4"/>
        <v>En Revisión</v>
      </c>
      <c r="R701" s="12" t="str">
        <f t="shared" si="5"/>
        <v>Riesgo Medio</v>
      </c>
    </row>
    <row r="702">
      <c r="A702" s="1" t="s">
        <v>3262</v>
      </c>
      <c r="B702" s="9" t="s">
        <v>3263</v>
      </c>
      <c r="C702" s="9" t="s">
        <v>3264</v>
      </c>
      <c r="D702" s="1" t="s">
        <v>3265</v>
      </c>
      <c r="E702" s="1" t="s">
        <v>194</v>
      </c>
      <c r="F702" s="1" t="s">
        <v>62</v>
      </c>
      <c r="G702" s="1" t="s">
        <v>63</v>
      </c>
      <c r="H702" s="2">
        <v>5250000.0</v>
      </c>
      <c r="I702" s="1">
        <v>30.0</v>
      </c>
      <c r="J702" s="9" t="s">
        <v>20</v>
      </c>
      <c r="K702" s="5">
        <v>46047.0</v>
      </c>
      <c r="L702" s="11" t="s">
        <v>160</v>
      </c>
      <c r="M702" s="11"/>
      <c r="N702" s="4" t="str">
        <f t="shared" si="1"/>
        <v>Marcela Rodríguez González</v>
      </c>
      <c r="O702" s="6" t="str">
        <f t="shared" si="2"/>
        <v>12.224.435-5</v>
      </c>
      <c r="P702" s="6" t="str">
        <f t="shared" si="3"/>
        <v>Las Condes - Santiago - Región Metropolitana</v>
      </c>
      <c r="Q702" s="4" t="str">
        <f t="shared" si="4"/>
        <v>En Revisión</v>
      </c>
      <c r="R702" s="12" t="str">
        <f t="shared" si="5"/>
        <v>Riesgo Medio</v>
      </c>
    </row>
    <row r="703">
      <c r="A703" s="1" t="s">
        <v>3010</v>
      </c>
      <c r="B703" s="9" t="s">
        <v>3011</v>
      </c>
      <c r="C703" s="9" t="s">
        <v>4842</v>
      </c>
      <c r="D703" s="1" t="s">
        <v>3013</v>
      </c>
      <c r="E703" s="1" t="s">
        <v>18</v>
      </c>
      <c r="F703" s="1" t="s">
        <v>18</v>
      </c>
      <c r="G703" s="1" t="s">
        <v>19</v>
      </c>
      <c r="H703" s="2">
        <v>1910000.0</v>
      </c>
      <c r="I703" s="1">
        <v>15.0</v>
      </c>
      <c r="J703" s="9" t="s">
        <v>97</v>
      </c>
      <c r="K703" s="5">
        <v>46070.0</v>
      </c>
      <c r="L703" s="11" t="s">
        <v>100</v>
      </c>
      <c r="M703" s="11"/>
      <c r="N703" s="4" t="str">
        <f t="shared" si="1"/>
        <v>Marcela Rojas Muñoz</v>
      </c>
      <c r="O703" s="6" t="str">
        <f t="shared" si="2"/>
        <v>14831577-1</v>
      </c>
      <c r="P703" s="6" t="str">
        <f t="shared" si="3"/>
        <v>La Serena - La Serena - Región de Coquimbo</v>
      </c>
      <c r="Q703" s="4" t="str">
        <f t="shared" si="4"/>
        <v>Inactivo</v>
      </c>
      <c r="R703" s="12" t="str">
        <f t="shared" si="5"/>
        <v>Riesgo Bajo</v>
      </c>
    </row>
    <row r="704">
      <c r="A704" s="1" t="s">
        <v>597</v>
      </c>
      <c r="B704" s="9" t="s">
        <v>598</v>
      </c>
      <c r="C704" s="9" t="s">
        <v>599</v>
      </c>
      <c r="D704" s="1" t="s">
        <v>600</v>
      </c>
      <c r="E704" s="1" t="s">
        <v>158</v>
      </c>
      <c r="F704" s="1" t="s">
        <v>158</v>
      </c>
      <c r="G704" s="1" t="s">
        <v>159</v>
      </c>
      <c r="H704" s="2">
        <v>1.227E7</v>
      </c>
      <c r="I704" s="1">
        <v>0.0</v>
      </c>
      <c r="J704" s="9" t="s">
        <v>97</v>
      </c>
      <c r="K704" s="5">
        <v>46228.0</v>
      </c>
      <c r="L704" s="11" t="s">
        <v>160</v>
      </c>
      <c r="M704" s="11"/>
      <c r="N704" s="4" t="str">
        <f t="shared" si="1"/>
        <v>Marcela Sepúlveda Espinoza</v>
      </c>
      <c r="O704" s="6" t="str">
        <f t="shared" si="2"/>
        <v>17.345.273-4</v>
      </c>
      <c r="P704" s="6" t="str">
        <f t="shared" si="3"/>
        <v>Antofagasta - Antofagasta - Región de Antofagasta</v>
      </c>
      <c r="Q704" s="4" t="str">
        <f t="shared" si="4"/>
        <v>Inactivo</v>
      </c>
      <c r="R704" s="12" t="str">
        <f t="shared" si="5"/>
        <v>Riesgo Bajo</v>
      </c>
    </row>
    <row r="705">
      <c r="A705" s="1" t="s">
        <v>3051</v>
      </c>
      <c r="B705" s="9" t="s">
        <v>3052</v>
      </c>
      <c r="C705" s="9" t="s">
        <v>3053</v>
      </c>
      <c r="D705" s="1" t="s">
        <v>3054</v>
      </c>
      <c r="E705" s="1" t="s">
        <v>61</v>
      </c>
      <c r="F705" s="1" t="s">
        <v>62</v>
      </c>
      <c r="G705" s="1" t="s">
        <v>63</v>
      </c>
      <c r="H705" s="2">
        <v>9840000.0</v>
      </c>
      <c r="I705" s="1">
        <v>0.0</v>
      </c>
      <c r="J705" s="9" t="s">
        <v>20</v>
      </c>
      <c r="K705" s="5">
        <v>46095.0</v>
      </c>
      <c r="L705" s="11" t="s">
        <v>160</v>
      </c>
      <c r="M705" s="11"/>
      <c r="N705" s="4" t="str">
        <f t="shared" si="1"/>
        <v>Marcela Sepúlveda Pérez</v>
      </c>
      <c r="O705" s="6" t="str">
        <f t="shared" si="2"/>
        <v>11.947.956-9</v>
      </c>
      <c r="P705" s="6" t="str">
        <f t="shared" si="3"/>
        <v>Santiago Centro - Santiago - Región Metropolitana</v>
      </c>
      <c r="Q705" s="4" t="str">
        <f t="shared" si="4"/>
        <v>En Revisión</v>
      </c>
      <c r="R705" s="12" t="str">
        <f t="shared" si="5"/>
        <v>Riesgo Medio</v>
      </c>
    </row>
    <row r="706">
      <c r="A706" s="1" t="s">
        <v>1460</v>
      </c>
      <c r="B706" s="9" t="s">
        <v>1462</v>
      </c>
      <c r="C706" s="9" t="s">
        <v>4843</v>
      </c>
      <c r="D706" s="1" t="s">
        <v>1466</v>
      </c>
      <c r="E706" s="1" t="s">
        <v>25</v>
      </c>
      <c r="F706" s="1" t="s">
        <v>26</v>
      </c>
      <c r="G706" s="1" t="s">
        <v>27</v>
      </c>
      <c r="H706" s="2">
        <v>2250000.0</v>
      </c>
      <c r="I706" s="1">
        <v>15.0</v>
      </c>
      <c r="J706" s="9" t="s">
        <v>28</v>
      </c>
      <c r="K706" s="5">
        <v>46128.0</v>
      </c>
      <c r="L706" s="11" t="s">
        <v>181</v>
      </c>
      <c r="M706" s="11"/>
      <c r="N706" s="4" t="str">
        <f t="shared" si="1"/>
        <v>Marcela Silva Soto</v>
      </c>
      <c r="O706" s="6" t="str">
        <f t="shared" si="2"/>
        <v>19.764.054-K</v>
      </c>
      <c r="P706" s="6" t="str">
        <f t="shared" si="3"/>
        <v>Viña del Mar - Valparaíso - Región de Valparaíso</v>
      </c>
      <c r="Q706" s="4" t="str">
        <f t="shared" si="4"/>
        <v>Activo</v>
      </c>
      <c r="R706" s="12" t="str">
        <f t="shared" si="5"/>
        <v>Riesgo Bajo</v>
      </c>
    </row>
    <row r="707">
      <c r="A707" s="1" t="s">
        <v>804</v>
      </c>
      <c r="B707" s="9" t="s">
        <v>806</v>
      </c>
      <c r="C707" s="9" t="s">
        <v>808</v>
      </c>
      <c r="D707" s="1" t="s">
        <v>810</v>
      </c>
      <c r="E707" s="1" t="s">
        <v>26</v>
      </c>
      <c r="F707" s="1" t="s">
        <v>26</v>
      </c>
      <c r="G707" s="1" t="s">
        <v>27</v>
      </c>
      <c r="H707" s="2">
        <v>9130000.0</v>
      </c>
      <c r="I707" s="1">
        <v>90.0</v>
      </c>
      <c r="J707" s="9" t="s">
        <v>97</v>
      </c>
      <c r="K707" s="5">
        <v>46170.0</v>
      </c>
      <c r="L707" s="11" t="s">
        <v>160</v>
      </c>
      <c r="M707" s="11"/>
      <c r="N707" s="4" t="str">
        <f t="shared" si="1"/>
        <v>Marcela Tapia Morales</v>
      </c>
      <c r="O707" s="6" t="str">
        <f t="shared" si="2"/>
        <v>15.488.455-5</v>
      </c>
      <c r="P707" s="6" t="str">
        <f t="shared" si="3"/>
        <v>Valparaíso - Valparaíso - Región de Valparaíso</v>
      </c>
      <c r="Q707" s="4" t="str">
        <f t="shared" si="4"/>
        <v>Inactivo</v>
      </c>
      <c r="R707" s="12" t="str">
        <f t="shared" si="5"/>
        <v>Riesgo Medio</v>
      </c>
    </row>
    <row r="708">
      <c r="A708" s="1" t="s">
        <v>2024</v>
      </c>
      <c r="B708" s="9" t="s">
        <v>2025</v>
      </c>
      <c r="C708" s="9" t="s">
        <v>2026</v>
      </c>
      <c r="D708" s="1" t="s">
        <v>2028</v>
      </c>
      <c r="E708" s="1" t="s">
        <v>45</v>
      </c>
      <c r="F708" s="1" t="s">
        <v>45</v>
      </c>
      <c r="G708" s="1" t="s">
        <v>46</v>
      </c>
      <c r="H708" s="2">
        <v>9330000.0</v>
      </c>
      <c r="I708" s="1">
        <v>120.0</v>
      </c>
      <c r="J708" s="9" t="s">
        <v>97</v>
      </c>
      <c r="K708" s="5">
        <v>46178.0</v>
      </c>
      <c r="L708" s="11" t="s">
        <v>160</v>
      </c>
      <c r="M708" s="11"/>
      <c r="N708" s="4" t="str">
        <f t="shared" si="1"/>
        <v>Marcela Valenzuela Espinoza</v>
      </c>
      <c r="O708" s="6" t="str">
        <f t="shared" si="2"/>
        <v>17.165.614-7</v>
      </c>
      <c r="P708" s="6" t="str">
        <f t="shared" si="3"/>
        <v>Temuco - Temuco - Región de la Araucanía</v>
      </c>
      <c r="Q708" s="4" t="str">
        <f t="shared" si="4"/>
        <v>Inactivo</v>
      </c>
      <c r="R708" s="12" t="str">
        <f t="shared" si="5"/>
        <v>Riesgo Medio</v>
      </c>
    </row>
    <row r="709">
      <c r="A709" s="1" t="s">
        <v>4035</v>
      </c>
      <c r="B709" s="9" t="s">
        <v>4036</v>
      </c>
      <c r="C709" s="9" t="s">
        <v>4037</v>
      </c>
      <c r="D709" s="1" t="s">
        <v>4038</v>
      </c>
      <c r="E709" s="1" t="s">
        <v>61</v>
      </c>
      <c r="F709" s="1" t="s">
        <v>62</v>
      </c>
      <c r="G709" s="1" t="s">
        <v>63</v>
      </c>
      <c r="H709" s="2">
        <v>1.187E7</v>
      </c>
      <c r="I709" s="1">
        <v>15.0</v>
      </c>
      <c r="J709" s="9" t="s">
        <v>20</v>
      </c>
      <c r="K709" s="5">
        <v>46132.0</v>
      </c>
      <c r="L709" s="11" t="s">
        <v>207</v>
      </c>
      <c r="M709" s="11"/>
      <c r="N709" s="4" t="str">
        <f t="shared" si="1"/>
        <v>Marcela Valenzuela González</v>
      </c>
      <c r="O709" s="6" t="str">
        <f t="shared" si="2"/>
        <v>17.415.100-2</v>
      </c>
      <c r="P709" s="6" t="str">
        <f t="shared" si="3"/>
        <v>Santiago Centro - Santiago - Región Metropolitana</v>
      </c>
      <c r="Q709" s="4" t="str">
        <f t="shared" si="4"/>
        <v>En Revisión</v>
      </c>
      <c r="R709" s="12" t="str">
        <f t="shared" si="5"/>
        <v>Riesgo Medio</v>
      </c>
    </row>
    <row r="710">
      <c r="A710" s="1" t="s">
        <v>4352</v>
      </c>
      <c r="B710" s="9" t="s">
        <v>4353</v>
      </c>
      <c r="C710" s="9" t="s">
        <v>4354</v>
      </c>
      <c r="D710" s="1" t="s">
        <v>4355</v>
      </c>
      <c r="E710" s="1" t="s">
        <v>118</v>
      </c>
      <c r="F710" s="1" t="s">
        <v>62</v>
      </c>
      <c r="G710" s="1" t="s">
        <v>63</v>
      </c>
      <c r="H710" s="2">
        <v>3710000.0</v>
      </c>
      <c r="I710" s="1">
        <v>0.0</v>
      </c>
      <c r="J710" s="9" t="s">
        <v>20</v>
      </c>
      <c r="K710" s="5">
        <v>46065.0</v>
      </c>
      <c r="L710" s="11" t="s">
        <v>160</v>
      </c>
      <c r="M710" s="11"/>
      <c r="N710" s="4" t="str">
        <f t="shared" si="1"/>
        <v>Marcela Valenzuela Muñoz</v>
      </c>
      <c r="O710" s="6" t="str">
        <f t="shared" si="2"/>
        <v>15.578.153-2</v>
      </c>
      <c r="P710" s="6" t="str">
        <f t="shared" si="3"/>
        <v>Maipú - Santiago - Región Metropolitana</v>
      </c>
      <c r="Q710" s="4" t="str">
        <f t="shared" si="4"/>
        <v>En Revisión</v>
      </c>
      <c r="R710" s="12" t="str">
        <f t="shared" si="5"/>
        <v>Riesgo Medio</v>
      </c>
    </row>
    <row r="711">
      <c r="A711" s="1" t="s">
        <v>3447</v>
      </c>
      <c r="B711" s="9" t="s">
        <v>3448</v>
      </c>
      <c r="C711" s="9" t="s">
        <v>3449</v>
      </c>
      <c r="D711" s="1" t="s">
        <v>3450</v>
      </c>
      <c r="E711" s="1" t="s">
        <v>26</v>
      </c>
      <c r="F711" s="1" t="s">
        <v>26</v>
      </c>
      <c r="G711" s="1" t="s">
        <v>27</v>
      </c>
      <c r="H711" s="2">
        <v>1.432E7</v>
      </c>
      <c r="I711" s="1">
        <v>0.0</v>
      </c>
      <c r="J711" s="9" t="s">
        <v>28</v>
      </c>
      <c r="K711" s="5">
        <v>46229.0</v>
      </c>
      <c r="L711" s="11" t="s">
        <v>207</v>
      </c>
      <c r="M711" s="11"/>
      <c r="N711" s="4" t="str">
        <f t="shared" si="1"/>
        <v>Marcela Valenzuela Vergara</v>
      </c>
      <c r="O711" s="6" t="str">
        <f t="shared" si="2"/>
        <v>14.508.733-0</v>
      </c>
      <c r="P711" s="6" t="str">
        <f t="shared" si="3"/>
        <v>Valparaíso - Valparaíso - Región de Valparaíso</v>
      </c>
      <c r="Q711" s="4" t="str">
        <f t="shared" si="4"/>
        <v>Activo</v>
      </c>
      <c r="R711" s="12" t="str">
        <f t="shared" si="5"/>
        <v>Riesgo Bajo</v>
      </c>
    </row>
    <row r="712">
      <c r="A712" s="1" t="s">
        <v>2436</v>
      </c>
      <c r="B712" s="9" t="s">
        <v>2438</v>
      </c>
      <c r="C712" s="9" t="s">
        <v>4844</v>
      </c>
      <c r="D712" s="1" t="s">
        <v>2440</v>
      </c>
      <c r="E712" s="1" t="s">
        <v>72</v>
      </c>
      <c r="F712" s="1" t="s">
        <v>62</v>
      </c>
      <c r="G712" s="1" t="s">
        <v>63</v>
      </c>
      <c r="H712" s="2">
        <v>1130000.0</v>
      </c>
      <c r="I712" s="1">
        <v>30.0</v>
      </c>
      <c r="J712" s="9" t="s">
        <v>20</v>
      </c>
      <c r="K712" s="5">
        <v>46206.0</v>
      </c>
      <c r="L712" s="11" t="s">
        <v>100</v>
      </c>
      <c r="M712" s="11"/>
      <c r="N712" s="4" t="str">
        <f t="shared" si="1"/>
        <v>Marcela Vergara Valenzuela</v>
      </c>
      <c r="O712" s="6" t="str">
        <f t="shared" si="2"/>
        <v>20772777-8</v>
      </c>
      <c r="P712" s="6" t="str">
        <f t="shared" si="3"/>
        <v>Providencia - Santiago - Región Metropolitana</v>
      </c>
      <c r="Q712" s="4" t="str">
        <f t="shared" si="4"/>
        <v>En Revisión</v>
      </c>
      <c r="R712" s="12" t="str">
        <f t="shared" si="5"/>
        <v>Riesgo Medio</v>
      </c>
    </row>
    <row r="713">
      <c r="A713" s="1" t="s">
        <v>2748</v>
      </c>
      <c r="B713" s="9" t="s">
        <v>2749</v>
      </c>
      <c r="C713" s="9" t="s">
        <v>4845</v>
      </c>
      <c r="D713" s="1" t="s">
        <v>2751</v>
      </c>
      <c r="E713" s="1" t="s">
        <v>25</v>
      </c>
      <c r="F713" s="1" t="s">
        <v>26</v>
      </c>
      <c r="G713" s="1" t="s">
        <v>27</v>
      </c>
      <c r="H713" s="2">
        <v>1.875E7</v>
      </c>
      <c r="I713" s="1">
        <v>90.0</v>
      </c>
      <c r="J713" s="9" t="s">
        <v>97</v>
      </c>
      <c r="K713" s="5">
        <v>46136.0</v>
      </c>
      <c r="L713" s="11" t="s">
        <v>207</v>
      </c>
      <c r="M713" s="11"/>
      <c r="N713" s="4" t="str">
        <f t="shared" si="1"/>
        <v>Matías Araya Pérez</v>
      </c>
      <c r="O713" s="6" t="str">
        <f t="shared" si="2"/>
        <v>14680066-K</v>
      </c>
      <c r="P713" s="6" t="str">
        <f t="shared" si="3"/>
        <v>Viña del Mar - Valparaíso - Región de Valparaíso</v>
      </c>
      <c r="Q713" s="4" t="str">
        <f t="shared" si="4"/>
        <v>Inactivo</v>
      </c>
      <c r="R713" s="12" t="str">
        <f t="shared" si="5"/>
        <v>Riesgo Medio</v>
      </c>
    </row>
    <row r="714">
      <c r="A714" s="1" t="s">
        <v>4706</v>
      </c>
      <c r="B714" s="9" t="s">
        <v>4707</v>
      </c>
      <c r="C714" s="9" t="s">
        <v>4708</v>
      </c>
      <c r="D714" s="1" t="s">
        <v>4709</v>
      </c>
      <c r="E714" s="1" t="s">
        <v>158</v>
      </c>
      <c r="F714" s="1" t="s">
        <v>158</v>
      </c>
      <c r="G714" s="1" t="s">
        <v>159</v>
      </c>
      <c r="H714" s="2">
        <v>1.648E7</v>
      </c>
      <c r="I714" s="1">
        <v>0.0</v>
      </c>
      <c r="J714" s="9" t="s">
        <v>28</v>
      </c>
      <c r="K714" s="5">
        <v>46216.0</v>
      </c>
      <c r="L714" s="11" t="s">
        <v>207</v>
      </c>
      <c r="M714" s="11"/>
      <c r="N714" s="4" t="str">
        <f t="shared" si="1"/>
        <v>Matías Araya Silva</v>
      </c>
      <c r="O714" s="6" t="str">
        <f t="shared" si="2"/>
        <v>19534637-4</v>
      </c>
      <c r="P714" s="6" t="str">
        <f t="shared" si="3"/>
        <v>Antofagasta - Antofagasta - Región de Antofagasta</v>
      </c>
      <c r="Q714" s="4" t="str">
        <f t="shared" si="4"/>
        <v>Activo</v>
      </c>
      <c r="R714" s="12" t="str">
        <f t="shared" si="5"/>
        <v>Riesgo Bajo</v>
      </c>
    </row>
    <row r="715">
      <c r="A715" s="1" t="s">
        <v>4097</v>
      </c>
      <c r="B715" s="9" t="s">
        <v>4098</v>
      </c>
      <c r="C715" s="9" t="s">
        <v>4846</v>
      </c>
      <c r="D715" s="1" t="s">
        <v>4100</v>
      </c>
      <c r="E715" s="1" t="s">
        <v>158</v>
      </c>
      <c r="F715" s="1" t="s">
        <v>158</v>
      </c>
      <c r="G715" s="1" t="s">
        <v>159</v>
      </c>
      <c r="H715" s="2">
        <v>5330000.0</v>
      </c>
      <c r="I715" s="1">
        <v>0.0</v>
      </c>
      <c r="J715" s="9" t="s">
        <v>28</v>
      </c>
      <c r="K715" s="5">
        <v>46064.0</v>
      </c>
      <c r="L715" s="11" t="s">
        <v>100</v>
      </c>
      <c r="M715" s="11"/>
      <c r="N715" s="4" t="str">
        <f t="shared" si="1"/>
        <v>Matías Contreras Sepúlveda</v>
      </c>
      <c r="O715" s="6" t="str">
        <f t="shared" si="2"/>
        <v>21.871.275-1</v>
      </c>
      <c r="P715" s="6" t="str">
        <f t="shared" si="3"/>
        <v>Antofagasta - Antofagasta - Región de Antofagasta</v>
      </c>
      <c r="Q715" s="4" t="str">
        <f t="shared" si="4"/>
        <v>Activo</v>
      </c>
      <c r="R715" s="12" t="str">
        <f t="shared" si="5"/>
        <v>Riesgo Bajo</v>
      </c>
    </row>
    <row r="716">
      <c r="A716" s="1" t="s">
        <v>4393</v>
      </c>
      <c r="B716" s="9" t="s">
        <v>4394</v>
      </c>
      <c r="C716" s="9" t="s">
        <v>4847</v>
      </c>
      <c r="D716" s="1" t="s">
        <v>4396</v>
      </c>
      <c r="E716" s="1" t="s">
        <v>33</v>
      </c>
      <c r="F716" s="1" t="s">
        <v>33</v>
      </c>
      <c r="G716" s="1" t="s">
        <v>34</v>
      </c>
      <c r="H716" s="2">
        <v>1.844E7</v>
      </c>
      <c r="I716" s="1">
        <v>60.0</v>
      </c>
      <c r="J716" s="9" t="s">
        <v>20</v>
      </c>
      <c r="K716" s="5">
        <v>46176.0</v>
      </c>
      <c r="L716" s="11" t="s">
        <v>181</v>
      </c>
      <c r="M716" s="11"/>
      <c r="N716" s="4" t="str">
        <f t="shared" si="1"/>
        <v>Matías Díaz Sepúlveda</v>
      </c>
      <c r="O716" s="6" t="str">
        <f t="shared" si="2"/>
        <v>20.139.527-6</v>
      </c>
      <c r="P716" s="6" t="str">
        <f t="shared" si="3"/>
        <v>Puerto Montt - Puerto Montt - Región de Los Lagos</v>
      </c>
      <c r="Q716" s="4" t="str">
        <f t="shared" si="4"/>
        <v>En Revisión</v>
      </c>
      <c r="R716" s="12" t="str">
        <f t="shared" si="5"/>
        <v>Riesgo Medio</v>
      </c>
    </row>
    <row r="717">
      <c r="A717" s="1" t="s">
        <v>3889</v>
      </c>
      <c r="B717" s="9" t="s">
        <v>3891</v>
      </c>
      <c r="C717" s="9" t="s">
        <v>3893</v>
      </c>
      <c r="D717" s="1" t="s">
        <v>3894</v>
      </c>
      <c r="E717" s="1" t="s">
        <v>26</v>
      </c>
      <c r="F717" s="1" t="s">
        <v>26</v>
      </c>
      <c r="G717" s="1" t="s">
        <v>27</v>
      </c>
      <c r="H717" s="2">
        <v>5240000.0</v>
      </c>
      <c r="I717" s="1">
        <v>120.0</v>
      </c>
      <c r="J717" s="9" t="s">
        <v>28</v>
      </c>
      <c r="K717" s="5">
        <v>46134.0</v>
      </c>
      <c r="L717" s="11" t="s">
        <v>100</v>
      </c>
      <c r="M717" s="11"/>
      <c r="N717" s="4" t="str">
        <f t="shared" si="1"/>
        <v>Matías Fuentes Araya</v>
      </c>
      <c r="O717" s="6" t="str">
        <f t="shared" si="2"/>
        <v>20.920.402-8</v>
      </c>
      <c r="P717" s="6" t="str">
        <f t="shared" si="3"/>
        <v>Valparaíso - Valparaíso - Región de Valparaíso</v>
      </c>
      <c r="Q717" s="4" t="str">
        <f t="shared" si="4"/>
        <v>Activo</v>
      </c>
      <c r="R717" s="12" t="str">
        <f t="shared" si="5"/>
        <v>Riesgo Alto</v>
      </c>
    </row>
    <row r="718">
      <c r="A718" s="1" t="s">
        <v>1377</v>
      </c>
      <c r="B718" s="9" t="s">
        <v>1379</v>
      </c>
      <c r="C718" s="9" t="s">
        <v>1380</v>
      </c>
      <c r="D718" s="1" t="s">
        <v>1382</v>
      </c>
      <c r="E718" s="1" t="s">
        <v>118</v>
      </c>
      <c r="F718" s="1" t="s">
        <v>62</v>
      </c>
      <c r="G718" s="1" t="s">
        <v>63</v>
      </c>
      <c r="H718" s="2">
        <v>4970000.0</v>
      </c>
      <c r="I718" s="1">
        <v>90.0</v>
      </c>
      <c r="J718" s="9" t="s">
        <v>28</v>
      </c>
      <c r="K718" s="5">
        <v>46120.0</v>
      </c>
      <c r="L718" s="11" t="s">
        <v>207</v>
      </c>
      <c r="M718" s="11"/>
      <c r="N718" s="4" t="str">
        <f t="shared" si="1"/>
        <v>Matías Fuentes Contreras</v>
      </c>
      <c r="O718" s="6" t="str">
        <f t="shared" si="2"/>
        <v>22.116.094-3</v>
      </c>
      <c r="P718" s="6" t="str">
        <f t="shared" si="3"/>
        <v>Maipú - Santiago - Región Metropolitana</v>
      </c>
      <c r="Q718" s="4" t="str">
        <f t="shared" si="4"/>
        <v>Activo</v>
      </c>
      <c r="R718" s="12" t="str">
        <f t="shared" si="5"/>
        <v>Riesgo Alto</v>
      </c>
    </row>
    <row r="719">
      <c r="A719" s="1" t="s">
        <v>2566</v>
      </c>
      <c r="B719" s="9" t="s">
        <v>2568</v>
      </c>
      <c r="C719" s="9" t="s">
        <v>4848</v>
      </c>
      <c r="D719" s="1" t="s">
        <v>1382</v>
      </c>
      <c r="E719" s="1" t="s">
        <v>72</v>
      </c>
      <c r="F719" s="1" t="s">
        <v>62</v>
      </c>
      <c r="G719" s="1" t="s">
        <v>63</v>
      </c>
      <c r="H719" s="2">
        <v>1.217E7</v>
      </c>
      <c r="I719" s="1">
        <v>0.0</v>
      </c>
      <c r="J719" s="9" t="s">
        <v>28</v>
      </c>
      <c r="K719" s="5">
        <v>46118.0</v>
      </c>
      <c r="L719" s="11" t="s">
        <v>160</v>
      </c>
      <c r="M719" s="11"/>
      <c r="N719" s="4" t="str">
        <f t="shared" si="1"/>
        <v>Matías Fuentes Espinoza</v>
      </c>
      <c r="O719" s="6" t="str">
        <f t="shared" si="2"/>
        <v>14.754.313-4</v>
      </c>
      <c r="P719" s="6" t="str">
        <f t="shared" si="3"/>
        <v>Providencia - Santiago - Región Metropolitana</v>
      </c>
      <c r="Q719" s="4" t="str">
        <f t="shared" si="4"/>
        <v>Activo</v>
      </c>
      <c r="R719" s="12" t="str">
        <f t="shared" si="5"/>
        <v>Riesgo Bajo</v>
      </c>
    </row>
    <row r="720">
      <c r="A720" s="1" t="s">
        <v>512</v>
      </c>
      <c r="B720" s="9" t="s">
        <v>513</v>
      </c>
      <c r="C720" s="9" t="s">
        <v>4849</v>
      </c>
      <c r="D720" s="1" t="s">
        <v>515</v>
      </c>
      <c r="E720" s="1" t="s">
        <v>26</v>
      </c>
      <c r="F720" s="1" t="s">
        <v>26</v>
      </c>
      <c r="G720" s="1" t="s">
        <v>27</v>
      </c>
      <c r="H720" s="2">
        <v>1.086E7</v>
      </c>
      <c r="I720" s="1">
        <v>0.0</v>
      </c>
      <c r="J720" s="9" t="s">
        <v>28</v>
      </c>
      <c r="K720" s="5">
        <v>46182.0</v>
      </c>
      <c r="L720" s="11" t="s">
        <v>160</v>
      </c>
      <c r="M720" s="11"/>
      <c r="N720" s="4" t="str">
        <f t="shared" si="1"/>
        <v>Matías Fuentes Morales</v>
      </c>
      <c r="O720" s="6" t="str">
        <f t="shared" si="2"/>
        <v>20.069.414-5</v>
      </c>
      <c r="P720" s="6" t="str">
        <f t="shared" si="3"/>
        <v>Valparaíso - Valparaíso - Región de Valparaíso</v>
      </c>
      <c r="Q720" s="4" t="str">
        <f t="shared" si="4"/>
        <v>Activo</v>
      </c>
      <c r="R720" s="12" t="str">
        <f t="shared" si="5"/>
        <v>Riesgo Bajo</v>
      </c>
    </row>
    <row r="721">
      <c r="A721" s="1" t="s">
        <v>4583</v>
      </c>
      <c r="B721" s="9" t="s">
        <v>4584</v>
      </c>
      <c r="C721" s="9" t="s">
        <v>4585</v>
      </c>
      <c r="D721" s="1" t="s">
        <v>4586</v>
      </c>
      <c r="E721" s="1" t="s">
        <v>194</v>
      </c>
      <c r="F721" s="1" t="s">
        <v>62</v>
      </c>
      <c r="G721" s="1" t="s">
        <v>63</v>
      </c>
      <c r="H721" s="2">
        <v>660000.0</v>
      </c>
      <c r="I721" s="1">
        <v>60.0</v>
      </c>
      <c r="J721" s="9" t="s">
        <v>20</v>
      </c>
      <c r="K721" s="5">
        <v>46120.0</v>
      </c>
      <c r="L721" s="11" t="s">
        <v>181</v>
      </c>
      <c r="M721" s="11"/>
      <c r="N721" s="4" t="str">
        <f t="shared" si="1"/>
        <v>Matías González López</v>
      </c>
      <c r="O721" s="6" t="str">
        <f t="shared" si="2"/>
        <v>16.466.946-4</v>
      </c>
      <c r="P721" s="6" t="str">
        <f t="shared" si="3"/>
        <v>Las Condes - Santiago - Región Metropolitana</v>
      </c>
      <c r="Q721" s="4" t="str">
        <f t="shared" si="4"/>
        <v>En Revisión</v>
      </c>
      <c r="R721" s="12" t="str">
        <f t="shared" si="5"/>
        <v>Riesgo Medio</v>
      </c>
    </row>
    <row r="722">
      <c r="A722" s="1" t="s">
        <v>4552</v>
      </c>
      <c r="B722" s="9" t="s">
        <v>4553</v>
      </c>
      <c r="C722" s="9" t="s">
        <v>4850</v>
      </c>
      <c r="D722" s="1" t="s">
        <v>4555</v>
      </c>
      <c r="E722" s="1" t="s">
        <v>56</v>
      </c>
      <c r="F722" s="1" t="s">
        <v>39</v>
      </c>
      <c r="G722" s="1" t="s">
        <v>40</v>
      </c>
      <c r="H722" s="2">
        <v>7090000.0</v>
      </c>
      <c r="I722" s="1">
        <v>90.0</v>
      </c>
      <c r="J722" s="9" t="s">
        <v>28</v>
      </c>
      <c r="K722" s="5">
        <v>46090.0</v>
      </c>
      <c r="L722" s="11" t="s">
        <v>160</v>
      </c>
      <c r="M722" s="11"/>
      <c r="N722" s="4" t="str">
        <f t="shared" si="1"/>
        <v>Matías Morales Araya</v>
      </c>
      <c r="O722" s="6" t="str">
        <f t="shared" si="2"/>
        <v>13.923.397-K</v>
      </c>
      <c r="P722" s="6" t="str">
        <f t="shared" si="3"/>
        <v>Talcahuano - Concepción - Región del Biobío</v>
      </c>
      <c r="Q722" s="4" t="str">
        <f t="shared" si="4"/>
        <v>Activo</v>
      </c>
      <c r="R722" s="12" t="str">
        <f t="shared" si="5"/>
        <v>Riesgo Alto</v>
      </c>
    </row>
    <row r="723">
      <c r="A723" s="1" t="s">
        <v>2609</v>
      </c>
      <c r="B723" s="9" t="s">
        <v>2610</v>
      </c>
      <c r="C723" s="9" t="s">
        <v>2611</v>
      </c>
      <c r="D723" s="1" t="s">
        <v>2613</v>
      </c>
      <c r="E723" s="1" t="s">
        <v>26</v>
      </c>
      <c r="F723" s="1" t="s">
        <v>26</v>
      </c>
      <c r="G723" s="1" t="s">
        <v>27</v>
      </c>
      <c r="H723" s="2">
        <v>1.353E7</v>
      </c>
      <c r="I723" s="1">
        <v>0.0</v>
      </c>
      <c r="J723" s="9" t="s">
        <v>20</v>
      </c>
      <c r="K723" s="5">
        <v>46195.0</v>
      </c>
      <c r="L723" s="11" t="s">
        <v>160</v>
      </c>
      <c r="M723" s="11"/>
      <c r="N723" s="4" t="str">
        <f t="shared" si="1"/>
        <v>Matías Morales González</v>
      </c>
      <c r="O723" s="6" t="str">
        <f t="shared" si="2"/>
        <v>17.186.427-9</v>
      </c>
      <c r="P723" s="6" t="str">
        <f t="shared" si="3"/>
        <v>Valparaíso - Valparaíso - Región de Valparaíso</v>
      </c>
      <c r="Q723" s="4" t="str">
        <f t="shared" si="4"/>
        <v>En Revisión</v>
      </c>
      <c r="R723" s="12" t="str">
        <f t="shared" si="5"/>
        <v>Riesgo Medio</v>
      </c>
    </row>
    <row r="724">
      <c r="A724" s="1" t="s">
        <v>4566</v>
      </c>
      <c r="B724" s="9" t="s">
        <v>4567</v>
      </c>
      <c r="C724" s="9" t="s">
        <v>4568</v>
      </c>
      <c r="D724" s="1" t="s">
        <v>4569</v>
      </c>
      <c r="E724" s="1" t="s">
        <v>194</v>
      </c>
      <c r="F724" s="1" t="s">
        <v>62</v>
      </c>
      <c r="G724" s="1" t="s">
        <v>63</v>
      </c>
      <c r="H724" s="2">
        <v>750000.0</v>
      </c>
      <c r="I724" s="1">
        <v>0.0</v>
      </c>
      <c r="J724" s="9" t="s">
        <v>28</v>
      </c>
      <c r="K724" s="5">
        <v>46163.0</v>
      </c>
      <c r="L724" s="11" t="s">
        <v>207</v>
      </c>
      <c r="M724" s="11"/>
      <c r="N724" s="4" t="str">
        <f t="shared" si="1"/>
        <v>Matías Morales Rojas</v>
      </c>
      <c r="O724" s="6" t="str">
        <f t="shared" si="2"/>
        <v>20.947.049-9</v>
      </c>
      <c r="P724" s="6" t="str">
        <f t="shared" si="3"/>
        <v>Las Condes - Santiago - Región Metropolitana</v>
      </c>
      <c r="Q724" s="4" t="str">
        <f t="shared" si="4"/>
        <v>Activo</v>
      </c>
      <c r="R724" s="12" t="str">
        <f t="shared" si="5"/>
        <v>Riesgo Bajo</v>
      </c>
    </row>
    <row r="725">
      <c r="A725" s="1" t="s">
        <v>4149</v>
      </c>
      <c r="B725" s="9" t="s">
        <v>4150</v>
      </c>
      <c r="C725" s="9" t="s">
        <v>4851</v>
      </c>
      <c r="D725" s="1" t="s">
        <v>4152</v>
      </c>
      <c r="E725" s="1" t="s">
        <v>61</v>
      </c>
      <c r="F725" s="1" t="s">
        <v>62</v>
      </c>
      <c r="G725" s="1" t="s">
        <v>63</v>
      </c>
      <c r="H725" s="2">
        <v>2.192E7</v>
      </c>
      <c r="I725" s="1">
        <v>0.0</v>
      </c>
      <c r="J725" s="9" t="s">
        <v>20</v>
      </c>
      <c r="K725" s="5">
        <v>46228.0</v>
      </c>
      <c r="L725" s="11" t="s">
        <v>160</v>
      </c>
      <c r="M725" s="11"/>
      <c r="N725" s="4" t="str">
        <f t="shared" si="1"/>
        <v>Matías Muñoz Fuentes</v>
      </c>
      <c r="O725" s="6" t="str">
        <f t="shared" si="2"/>
        <v>19.527.046-6</v>
      </c>
      <c r="P725" s="6" t="str">
        <f t="shared" si="3"/>
        <v>Santiago Centro - Santiago - Región Metropolitana</v>
      </c>
      <c r="Q725" s="4" t="str">
        <f t="shared" si="4"/>
        <v>En Revisión</v>
      </c>
      <c r="R725" s="12" t="str">
        <f t="shared" si="5"/>
        <v>Riesgo Medio</v>
      </c>
    </row>
    <row r="726">
      <c r="A726" s="1" t="s">
        <v>1663</v>
      </c>
      <c r="B726" s="9" t="s">
        <v>1664</v>
      </c>
      <c r="C726" s="9" t="s">
        <v>4852</v>
      </c>
      <c r="D726" s="1" t="s">
        <v>1666</v>
      </c>
      <c r="E726" s="1" t="s">
        <v>45</v>
      </c>
      <c r="F726" s="1" t="s">
        <v>45</v>
      </c>
      <c r="G726" s="1" t="s">
        <v>46</v>
      </c>
      <c r="H726" s="2">
        <v>4960000.0</v>
      </c>
      <c r="I726" s="1">
        <v>45.0</v>
      </c>
      <c r="J726" s="9" t="s">
        <v>20</v>
      </c>
      <c r="K726" s="5">
        <v>46099.0</v>
      </c>
      <c r="L726" s="11" t="s">
        <v>207</v>
      </c>
      <c r="M726" s="11"/>
      <c r="N726" s="4" t="str">
        <f t="shared" si="1"/>
        <v>Matías Muñoz González</v>
      </c>
      <c r="O726" s="6" t="str">
        <f t="shared" si="2"/>
        <v>22.258.129-1</v>
      </c>
      <c r="P726" s="6" t="str">
        <f t="shared" si="3"/>
        <v>Temuco - Temuco - Región de la Araucanía</v>
      </c>
      <c r="Q726" s="4" t="str">
        <f t="shared" si="4"/>
        <v>En Revisión</v>
      </c>
      <c r="R726" s="12" t="str">
        <f t="shared" si="5"/>
        <v>Riesgo Medio</v>
      </c>
    </row>
    <row r="727">
      <c r="A727" s="1" t="s">
        <v>4020</v>
      </c>
      <c r="B727" s="9" t="s">
        <v>4021</v>
      </c>
      <c r="C727" s="9" t="s">
        <v>4022</v>
      </c>
      <c r="D727" s="1" t="s">
        <v>4023</v>
      </c>
      <c r="E727" s="1" t="s">
        <v>109</v>
      </c>
      <c r="F727" s="1" t="s">
        <v>62</v>
      </c>
      <c r="G727" s="1" t="s">
        <v>63</v>
      </c>
      <c r="H727" s="2">
        <v>1.412E7</v>
      </c>
      <c r="I727" s="1">
        <v>15.0</v>
      </c>
      <c r="J727" s="9" t="s">
        <v>20</v>
      </c>
      <c r="K727" s="5">
        <v>46136.0</v>
      </c>
      <c r="L727" s="11" t="s">
        <v>100</v>
      </c>
      <c r="M727" s="11"/>
      <c r="N727" s="4" t="str">
        <f t="shared" si="1"/>
        <v>Matías Muñoz Rodríguez</v>
      </c>
      <c r="O727" s="6" t="str">
        <f t="shared" si="2"/>
        <v>16358929-4</v>
      </c>
      <c r="P727" s="6" t="str">
        <f t="shared" si="3"/>
        <v>Ñuñoa - Santiago - Región Metropolitana</v>
      </c>
      <c r="Q727" s="4" t="str">
        <f t="shared" si="4"/>
        <v>En Revisión</v>
      </c>
      <c r="R727" s="12" t="str">
        <f t="shared" si="5"/>
        <v>Riesgo Medio</v>
      </c>
    </row>
    <row r="728">
      <c r="A728" s="1" t="s">
        <v>384</v>
      </c>
      <c r="B728" s="9" t="s">
        <v>386</v>
      </c>
      <c r="C728" s="9" t="s">
        <v>388</v>
      </c>
      <c r="D728" s="1" t="s">
        <v>390</v>
      </c>
      <c r="E728" s="1" t="s">
        <v>26</v>
      </c>
      <c r="F728" s="1" t="s">
        <v>26</v>
      </c>
      <c r="G728" s="1" t="s">
        <v>27</v>
      </c>
      <c r="H728" s="2">
        <v>1.35E7</v>
      </c>
      <c r="I728" s="1">
        <v>0.0</v>
      </c>
      <c r="J728" s="9" t="s">
        <v>20</v>
      </c>
      <c r="K728" s="5">
        <v>46040.0</v>
      </c>
      <c r="L728" s="11" t="s">
        <v>207</v>
      </c>
      <c r="M728" s="11"/>
      <c r="N728" s="4" t="str">
        <f t="shared" si="1"/>
        <v>Matías Pérez Pérez</v>
      </c>
      <c r="O728" s="6" t="str">
        <f t="shared" si="2"/>
        <v>14443843-0</v>
      </c>
      <c r="P728" s="6" t="str">
        <f t="shared" si="3"/>
        <v>Valparaíso - Valparaíso - Región de Valparaíso</v>
      </c>
      <c r="Q728" s="4" t="str">
        <f t="shared" si="4"/>
        <v>En Revisión</v>
      </c>
      <c r="R728" s="12" t="str">
        <f t="shared" si="5"/>
        <v>Riesgo Medio</v>
      </c>
    </row>
    <row r="729">
      <c r="A729" s="1" t="s">
        <v>4638</v>
      </c>
      <c r="B729" s="9" t="s">
        <v>4639</v>
      </c>
      <c r="C729" s="9" t="s">
        <v>4640</v>
      </c>
      <c r="D729" s="1" t="s">
        <v>4641</v>
      </c>
      <c r="E729" s="1" t="s">
        <v>26</v>
      </c>
      <c r="F729" s="1" t="s">
        <v>26</v>
      </c>
      <c r="G729" s="1" t="s">
        <v>27</v>
      </c>
      <c r="H729" s="2">
        <v>7750000.0</v>
      </c>
      <c r="I729" s="1">
        <v>30.0</v>
      </c>
      <c r="J729" s="9" t="s">
        <v>97</v>
      </c>
      <c r="K729" s="5">
        <v>46125.0</v>
      </c>
      <c r="L729" s="11" t="s">
        <v>160</v>
      </c>
      <c r="M729" s="11"/>
      <c r="N729" s="4" t="str">
        <f t="shared" si="1"/>
        <v>Matías Pérez Vergara</v>
      </c>
      <c r="O729" s="6" t="str">
        <f t="shared" si="2"/>
        <v>13.866.124-K</v>
      </c>
      <c r="P729" s="6" t="str">
        <f t="shared" si="3"/>
        <v>Valparaíso - Valparaíso - Región de Valparaíso</v>
      </c>
      <c r="Q729" s="4" t="str">
        <f t="shared" si="4"/>
        <v>Inactivo</v>
      </c>
      <c r="R729" s="12" t="str">
        <f t="shared" si="5"/>
        <v>Riesgo Bajo</v>
      </c>
    </row>
    <row r="730">
      <c r="A730" s="1" t="s">
        <v>4444</v>
      </c>
      <c r="B730" s="9" t="s">
        <v>4445</v>
      </c>
      <c r="C730" s="9" t="s">
        <v>4853</v>
      </c>
      <c r="D730" s="1" t="s">
        <v>2327</v>
      </c>
      <c r="E730" s="1" t="s">
        <v>118</v>
      </c>
      <c r="F730" s="1" t="s">
        <v>62</v>
      </c>
      <c r="G730" s="1" t="s">
        <v>63</v>
      </c>
      <c r="H730" s="2">
        <v>1410000.0</v>
      </c>
      <c r="I730" s="1">
        <v>0.0</v>
      </c>
      <c r="J730" s="9" t="s">
        <v>28</v>
      </c>
      <c r="K730" s="5">
        <v>46200.0</v>
      </c>
      <c r="L730" s="11" t="s">
        <v>207</v>
      </c>
      <c r="M730" s="11"/>
      <c r="N730" s="4" t="str">
        <f t="shared" si="1"/>
        <v>Matías Rojas Araya</v>
      </c>
      <c r="O730" s="6" t="str">
        <f t="shared" si="2"/>
        <v>18.344.489-0</v>
      </c>
      <c r="P730" s="6" t="str">
        <f t="shared" si="3"/>
        <v>Maipú - Santiago - Región Metropolitana</v>
      </c>
      <c r="Q730" s="4" t="str">
        <f t="shared" si="4"/>
        <v>Activo</v>
      </c>
      <c r="R730" s="12" t="str">
        <f t="shared" si="5"/>
        <v>Riesgo Bajo</v>
      </c>
    </row>
    <row r="731">
      <c r="A731" s="1" t="s">
        <v>2323</v>
      </c>
      <c r="B731" s="9" t="s">
        <v>2325</v>
      </c>
      <c r="C731" s="9" t="s">
        <v>4854</v>
      </c>
      <c r="D731" s="1" t="s">
        <v>2327</v>
      </c>
      <c r="E731" s="1" t="s">
        <v>25</v>
      </c>
      <c r="F731" s="1" t="s">
        <v>26</v>
      </c>
      <c r="G731" s="1" t="s">
        <v>27</v>
      </c>
      <c r="H731" s="2">
        <v>2.088E7</v>
      </c>
      <c r="I731" s="1">
        <v>0.0</v>
      </c>
      <c r="J731" s="9" t="s">
        <v>28</v>
      </c>
      <c r="K731" s="5">
        <v>46130.0</v>
      </c>
      <c r="L731" s="11" t="s">
        <v>100</v>
      </c>
      <c r="M731" s="11"/>
      <c r="N731" s="4" t="str">
        <f t="shared" si="1"/>
        <v>Matías Rojas Díaz</v>
      </c>
      <c r="O731" s="6" t="str">
        <f t="shared" si="2"/>
        <v>21.045.510-0</v>
      </c>
      <c r="P731" s="6" t="str">
        <f t="shared" si="3"/>
        <v>Viña del Mar - Valparaíso - Región de Valparaíso</v>
      </c>
      <c r="Q731" s="4" t="str">
        <f t="shared" si="4"/>
        <v>Activo</v>
      </c>
      <c r="R731" s="12" t="str">
        <f t="shared" si="5"/>
        <v>Riesgo Bajo</v>
      </c>
    </row>
    <row r="732">
      <c r="A732" s="1" t="s">
        <v>4758</v>
      </c>
      <c r="B732" s="9" t="s">
        <v>4759</v>
      </c>
      <c r="C732" s="9" t="s">
        <v>4761</v>
      </c>
      <c r="D732" s="1" t="s">
        <v>2327</v>
      </c>
      <c r="E732" s="1" t="s">
        <v>194</v>
      </c>
      <c r="F732" s="1" t="s">
        <v>62</v>
      </c>
      <c r="G732" s="1" t="s">
        <v>63</v>
      </c>
      <c r="H732" s="2">
        <v>2.2E7</v>
      </c>
      <c r="I732" s="1">
        <v>0.0</v>
      </c>
      <c r="J732" s="9" t="s">
        <v>20</v>
      </c>
      <c r="K732" s="5">
        <v>46098.0</v>
      </c>
      <c r="L732" s="11" t="s">
        <v>207</v>
      </c>
      <c r="M732" s="11"/>
      <c r="N732" s="4" t="str">
        <f t="shared" si="1"/>
        <v>Matías Rojas Espinoza</v>
      </c>
      <c r="O732" s="6" t="str">
        <f t="shared" si="2"/>
        <v>14.652.289-K</v>
      </c>
      <c r="P732" s="6" t="str">
        <f t="shared" si="3"/>
        <v>Las Condes - Santiago - Región Metropolitana</v>
      </c>
      <c r="Q732" s="4" t="str">
        <f t="shared" si="4"/>
        <v>En Revisión</v>
      </c>
      <c r="R732" s="12" t="str">
        <f t="shared" si="5"/>
        <v>Riesgo Medio</v>
      </c>
    </row>
    <row r="733">
      <c r="A733" s="1" t="s">
        <v>3613</v>
      </c>
      <c r="B733" s="9" t="s">
        <v>3614</v>
      </c>
      <c r="C733" s="9" t="s">
        <v>4855</v>
      </c>
      <c r="D733" s="1" t="s">
        <v>3616</v>
      </c>
      <c r="E733" s="1" t="s">
        <v>72</v>
      </c>
      <c r="F733" s="1" t="s">
        <v>62</v>
      </c>
      <c r="G733" s="1" t="s">
        <v>63</v>
      </c>
      <c r="H733" s="2">
        <v>1.887E7</v>
      </c>
      <c r="I733" s="1">
        <v>15.0</v>
      </c>
      <c r="J733" s="9" t="s">
        <v>20</v>
      </c>
      <c r="K733" s="5">
        <v>46029.0</v>
      </c>
      <c r="L733" s="11" t="s">
        <v>207</v>
      </c>
      <c r="M733" s="11"/>
      <c r="N733" s="4" t="str">
        <f t="shared" si="1"/>
        <v>Matías Rojas Rodríguez</v>
      </c>
      <c r="O733" s="6" t="str">
        <f t="shared" si="2"/>
        <v>19.362.264-8</v>
      </c>
      <c r="P733" s="6" t="str">
        <f t="shared" si="3"/>
        <v>Providencia - Santiago - Región Metropolitana</v>
      </c>
      <c r="Q733" s="4" t="str">
        <f t="shared" si="4"/>
        <v>En Revisión</v>
      </c>
      <c r="R733" s="12" t="str">
        <f t="shared" si="5"/>
        <v>Riesgo Medio</v>
      </c>
    </row>
    <row r="734">
      <c r="A734" s="1" t="s">
        <v>998</v>
      </c>
      <c r="B734" s="9" t="s">
        <v>999</v>
      </c>
      <c r="C734" s="9" t="s">
        <v>4856</v>
      </c>
      <c r="D734" s="1" t="s">
        <v>1001</v>
      </c>
      <c r="E734" s="1" t="s">
        <v>72</v>
      </c>
      <c r="F734" s="1" t="s">
        <v>62</v>
      </c>
      <c r="G734" s="1" t="s">
        <v>63</v>
      </c>
      <c r="H734" s="2">
        <v>1090000.0</v>
      </c>
      <c r="I734" s="1">
        <v>0.0</v>
      </c>
      <c r="J734" s="9" t="s">
        <v>97</v>
      </c>
      <c r="K734" s="5">
        <v>46180.0</v>
      </c>
      <c r="L734" s="11" t="s">
        <v>100</v>
      </c>
      <c r="M734" s="11"/>
      <c r="N734" s="4" t="str">
        <f t="shared" si="1"/>
        <v>Matías Sepúlveda Contreras</v>
      </c>
      <c r="O734" s="6" t="str">
        <f t="shared" si="2"/>
        <v>20183945-2</v>
      </c>
      <c r="P734" s="6" t="str">
        <f t="shared" si="3"/>
        <v>Providencia - Santiago - Región Metropolitana</v>
      </c>
      <c r="Q734" s="4" t="str">
        <f t="shared" si="4"/>
        <v>Inactivo</v>
      </c>
      <c r="R734" s="12" t="str">
        <f t="shared" si="5"/>
        <v>Riesgo Bajo</v>
      </c>
    </row>
    <row r="735">
      <c r="A735" s="1" t="s">
        <v>3297</v>
      </c>
      <c r="B735" s="9" t="s">
        <v>3298</v>
      </c>
      <c r="C735" s="9" t="s">
        <v>4857</v>
      </c>
      <c r="D735" s="1" t="s">
        <v>3300</v>
      </c>
      <c r="E735" s="1" t="s">
        <v>158</v>
      </c>
      <c r="F735" s="1" t="s">
        <v>158</v>
      </c>
      <c r="G735" s="1" t="s">
        <v>159</v>
      </c>
      <c r="H735" s="2">
        <v>1.798E7</v>
      </c>
      <c r="I735" s="1">
        <v>0.0</v>
      </c>
      <c r="J735" s="9" t="s">
        <v>28</v>
      </c>
      <c r="K735" s="5">
        <v>46195.0</v>
      </c>
      <c r="L735" s="11" t="s">
        <v>207</v>
      </c>
      <c r="M735" s="11"/>
      <c r="N735" s="4" t="str">
        <f t="shared" si="1"/>
        <v>Matías Sepúlveda Silva</v>
      </c>
      <c r="O735" s="6" t="str">
        <f t="shared" si="2"/>
        <v>16.879.611-K</v>
      </c>
      <c r="P735" s="6" t="str">
        <f t="shared" si="3"/>
        <v>Antofagasta - Antofagasta - Región de Antofagasta</v>
      </c>
      <c r="Q735" s="4" t="str">
        <f t="shared" si="4"/>
        <v>Activo</v>
      </c>
      <c r="R735" s="12" t="str">
        <f t="shared" si="5"/>
        <v>Riesgo Bajo</v>
      </c>
    </row>
    <row r="736">
      <c r="A736" s="1" t="s">
        <v>3463</v>
      </c>
      <c r="B736" s="9" t="s">
        <v>3464</v>
      </c>
      <c r="C736" s="9" t="s">
        <v>3465</v>
      </c>
      <c r="D736" s="1" t="s">
        <v>3466</v>
      </c>
      <c r="E736" s="1" t="s">
        <v>25</v>
      </c>
      <c r="F736" s="1" t="s">
        <v>26</v>
      </c>
      <c r="G736" s="1" t="s">
        <v>27</v>
      </c>
      <c r="H736" s="2">
        <v>8820000.0</v>
      </c>
      <c r="I736" s="1">
        <v>0.0</v>
      </c>
      <c r="J736" s="9" t="s">
        <v>20</v>
      </c>
      <c r="K736" s="5">
        <v>46149.0</v>
      </c>
      <c r="L736" s="11" t="s">
        <v>100</v>
      </c>
      <c r="M736" s="11"/>
      <c r="N736" s="4" t="str">
        <f t="shared" si="1"/>
        <v>Matías Soto Vergara</v>
      </c>
      <c r="O736" s="6" t="str">
        <f t="shared" si="2"/>
        <v>16.919.998-8</v>
      </c>
      <c r="P736" s="6" t="str">
        <f t="shared" si="3"/>
        <v>Viña del Mar - Valparaíso - Región de Valparaíso</v>
      </c>
      <c r="Q736" s="4" t="str">
        <f t="shared" si="4"/>
        <v>En Revisión</v>
      </c>
      <c r="R736" s="12" t="str">
        <f t="shared" si="5"/>
        <v>Riesgo Medio</v>
      </c>
    </row>
    <row r="737">
      <c r="A737" s="1" t="s">
        <v>1016</v>
      </c>
      <c r="B737" s="9" t="s">
        <v>1017</v>
      </c>
      <c r="C737" s="9" t="s">
        <v>4858</v>
      </c>
      <c r="D737" s="1" t="s">
        <v>1019</v>
      </c>
      <c r="E737" s="1" t="s">
        <v>56</v>
      </c>
      <c r="F737" s="1" t="s">
        <v>39</v>
      </c>
      <c r="G737" s="1" t="s">
        <v>40</v>
      </c>
      <c r="H737" s="2">
        <v>1.598E7</v>
      </c>
      <c r="I737" s="1">
        <v>0.0</v>
      </c>
      <c r="J737" s="9" t="s">
        <v>97</v>
      </c>
      <c r="K737" s="5">
        <v>46082.0</v>
      </c>
      <c r="L737" s="11" t="s">
        <v>160</v>
      </c>
      <c r="M737" s="11"/>
      <c r="N737" s="4" t="str">
        <f t="shared" si="1"/>
        <v>Matías Tapia Fuentes</v>
      </c>
      <c r="O737" s="6" t="str">
        <f t="shared" si="2"/>
        <v>21.955.710-0</v>
      </c>
      <c r="P737" s="6" t="str">
        <f t="shared" si="3"/>
        <v>Talcahuano - Concepción - Región del Biobío</v>
      </c>
      <c r="Q737" s="4" t="str">
        <f t="shared" si="4"/>
        <v>Inactivo</v>
      </c>
      <c r="R737" s="12" t="str">
        <f t="shared" si="5"/>
        <v>Riesgo Bajo</v>
      </c>
    </row>
    <row r="738">
      <c r="A738" s="1" t="s">
        <v>4356</v>
      </c>
      <c r="B738" s="9" t="s">
        <v>4357</v>
      </c>
      <c r="C738" s="9" t="s">
        <v>4859</v>
      </c>
      <c r="D738" s="1" t="s">
        <v>4359</v>
      </c>
      <c r="E738" s="1" t="s">
        <v>26</v>
      </c>
      <c r="F738" s="1" t="s">
        <v>26</v>
      </c>
      <c r="G738" s="1" t="s">
        <v>27</v>
      </c>
      <c r="H738" s="2">
        <v>1.932E7</v>
      </c>
      <c r="I738" s="1">
        <v>15.0</v>
      </c>
      <c r="J738" s="9" t="s">
        <v>28</v>
      </c>
      <c r="K738" s="5">
        <v>46101.0</v>
      </c>
      <c r="L738" s="11" t="s">
        <v>181</v>
      </c>
      <c r="M738" s="11"/>
      <c r="N738" s="4" t="str">
        <f t="shared" si="1"/>
        <v>Matías Valenzuela Araya</v>
      </c>
      <c r="O738" s="6" t="str">
        <f t="shared" si="2"/>
        <v>19556534-4</v>
      </c>
      <c r="P738" s="6" t="str">
        <f t="shared" si="3"/>
        <v>Valparaíso - Valparaíso - Región de Valparaíso</v>
      </c>
      <c r="Q738" s="4" t="str">
        <f t="shared" si="4"/>
        <v>Activo</v>
      </c>
      <c r="R738" s="12" t="str">
        <f t="shared" si="5"/>
        <v>Riesgo Bajo</v>
      </c>
    </row>
    <row r="739">
      <c r="A739" s="1" t="s">
        <v>1171</v>
      </c>
      <c r="B739" s="9" t="s">
        <v>1173</v>
      </c>
      <c r="C739" s="9" t="s">
        <v>4860</v>
      </c>
      <c r="D739" s="1" t="s">
        <v>1175</v>
      </c>
      <c r="E739" s="1" t="s">
        <v>158</v>
      </c>
      <c r="F739" s="1" t="s">
        <v>158</v>
      </c>
      <c r="G739" s="1" t="s">
        <v>159</v>
      </c>
      <c r="H739" s="2">
        <v>2960000.0</v>
      </c>
      <c r="I739" s="1">
        <v>0.0</v>
      </c>
      <c r="J739" s="9" t="s">
        <v>28</v>
      </c>
      <c r="K739" s="5">
        <v>46108.0</v>
      </c>
      <c r="L739" s="11" t="s">
        <v>199</v>
      </c>
      <c r="M739" s="11"/>
      <c r="N739" s="4" t="str">
        <f t="shared" si="1"/>
        <v>Matías Valenzuela López</v>
      </c>
      <c r="O739" s="6" t="str">
        <f t="shared" si="2"/>
        <v>16.712.548-7</v>
      </c>
      <c r="P739" s="6" t="str">
        <f t="shared" si="3"/>
        <v>Antofagasta - Antofagasta - Región de Antofagasta</v>
      </c>
      <c r="Q739" s="4" t="str">
        <f t="shared" si="4"/>
        <v>Activo</v>
      </c>
      <c r="R739" s="12" t="str">
        <f t="shared" si="5"/>
        <v>Riesgo Bajo</v>
      </c>
    </row>
    <row r="740">
      <c r="A740" s="1" t="s">
        <v>4804</v>
      </c>
      <c r="B740" s="9" t="s">
        <v>4805</v>
      </c>
      <c r="C740" s="9" t="s">
        <v>4861</v>
      </c>
      <c r="D740" s="1" t="s">
        <v>4477</v>
      </c>
      <c r="E740" s="1" t="s">
        <v>158</v>
      </c>
      <c r="F740" s="1" t="s">
        <v>158</v>
      </c>
      <c r="G740" s="1" t="s">
        <v>159</v>
      </c>
      <c r="H740" s="2">
        <v>1.915E7</v>
      </c>
      <c r="I740" s="1">
        <v>120.0</v>
      </c>
      <c r="J740" s="9" t="s">
        <v>20</v>
      </c>
      <c r="K740" s="5">
        <v>46160.0</v>
      </c>
      <c r="L740" s="11" t="s">
        <v>207</v>
      </c>
      <c r="M740" s="11"/>
      <c r="N740" s="4" t="str">
        <f t="shared" si="1"/>
        <v>Matías Valenzuela Soto</v>
      </c>
      <c r="O740" s="6" t="str">
        <f t="shared" si="2"/>
        <v>20.500.405-0</v>
      </c>
      <c r="P740" s="6" t="str">
        <f t="shared" si="3"/>
        <v>Antofagasta - Antofagasta - Región de Antofagasta</v>
      </c>
      <c r="Q740" s="4" t="str">
        <f t="shared" si="4"/>
        <v>En Revisión</v>
      </c>
      <c r="R740" s="12" t="str">
        <f t="shared" si="5"/>
        <v>Riesgo Medio</v>
      </c>
    </row>
    <row r="741">
      <c r="A741" s="1" t="s">
        <v>3421</v>
      </c>
      <c r="B741" s="9" t="s">
        <v>3422</v>
      </c>
      <c r="C741" s="9" t="s">
        <v>4862</v>
      </c>
      <c r="D741" s="1" t="s">
        <v>1175</v>
      </c>
      <c r="E741" s="1" t="s">
        <v>45</v>
      </c>
      <c r="F741" s="1" t="s">
        <v>45</v>
      </c>
      <c r="G741" s="1" t="s">
        <v>46</v>
      </c>
      <c r="H741" s="2">
        <v>6430000.0</v>
      </c>
      <c r="I741" s="1">
        <v>90.0</v>
      </c>
      <c r="J741" s="9" t="s">
        <v>20</v>
      </c>
      <c r="K741" s="5">
        <v>46098.0</v>
      </c>
      <c r="L741" s="11" t="s">
        <v>160</v>
      </c>
      <c r="M741" s="11"/>
      <c r="N741" s="4" t="str">
        <f t="shared" si="1"/>
        <v>Matías Valenzuela Tapia</v>
      </c>
      <c r="O741" s="6" t="str">
        <f t="shared" si="2"/>
        <v>22.089.634-3</v>
      </c>
      <c r="P741" s="6" t="str">
        <f t="shared" si="3"/>
        <v>Temuco - Temuco - Región de la Araucanía</v>
      </c>
      <c r="Q741" s="4" t="str">
        <f t="shared" si="4"/>
        <v>En Revisión</v>
      </c>
      <c r="R741" s="12" t="str">
        <f t="shared" si="5"/>
        <v>Riesgo Medio</v>
      </c>
    </row>
    <row r="742">
      <c r="A742" s="1" t="s">
        <v>4474</v>
      </c>
      <c r="B742" s="9" t="s">
        <v>4475</v>
      </c>
      <c r="C742" s="9" t="s">
        <v>4862</v>
      </c>
      <c r="D742" s="1" t="s">
        <v>4477</v>
      </c>
      <c r="E742" s="1" t="s">
        <v>109</v>
      </c>
      <c r="F742" s="1" t="s">
        <v>62</v>
      </c>
      <c r="G742" s="1" t="s">
        <v>63</v>
      </c>
      <c r="H742" s="2">
        <v>2850000.0</v>
      </c>
      <c r="I742" s="1">
        <v>15.0</v>
      </c>
      <c r="J742" s="9" t="s">
        <v>20</v>
      </c>
      <c r="K742" s="5">
        <v>46033.0</v>
      </c>
      <c r="L742" s="11" t="s">
        <v>100</v>
      </c>
      <c r="M742" s="11"/>
      <c r="N742" s="4" t="str">
        <f t="shared" si="1"/>
        <v>Matías Valenzuela Tapia</v>
      </c>
      <c r="O742" s="6" t="str">
        <f t="shared" si="2"/>
        <v>13.977.978-6</v>
      </c>
      <c r="P742" s="6" t="str">
        <f t="shared" si="3"/>
        <v>Ñuñoa - Santiago - Región Metropolitana</v>
      </c>
      <c r="Q742" s="4" t="str">
        <f t="shared" si="4"/>
        <v>En Revisión</v>
      </c>
      <c r="R742" s="12" t="str">
        <f t="shared" si="5"/>
        <v>Riesgo Medio</v>
      </c>
    </row>
    <row r="743">
      <c r="A743" s="1" t="s">
        <v>4220</v>
      </c>
      <c r="B743" s="9" t="s">
        <v>4221</v>
      </c>
      <c r="C743" s="9" t="s">
        <v>4222</v>
      </c>
      <c r="D743" s="1" t="s">
        <v>4223</v>
      </c>
      <c r="E743" s="1" t="s">
        <v>118</v>
      </c>
      <c r="F743" s="1" t="s">
        <v>62</v>
      </c>
      <c r="G743" s="1" t="s">
        <v>63</v>
      </c>
      <c r="H743" s="2">
        <v>3870000.0</v>
      </c>
      <c r="I743" s="1">
        <v>45.0</v>
      </c>
      <c r="J743" s="9" t="s">
        <v>28</v>
      </c>
      <c r="K743" s="5">
        <v>46067.0</v>
      </c>
      <c r="L743" s="11" t="s">
        <v>160</v>
      </c>
      <c r="M743" s="11"/>
      <c r="N743" s="4" t="str">
        <f t="shared" si="1"/>
        <v>Matías Vergara Soto</v>
      </c>
      <c r="O743" s="6" t="str">
        <f t="shared" si="2"/>
        <v>14.660.453-8</v>
      </c>
      <c r="P743" s="6" t="str">
        <f t="shared" si="3"/>
        <v>Maipú - Santiago - Región Metropolitana</v>
      </c>
      <c r="Q743" s="4" t="str">
        <f t="shared" si="4"/>
        <v>Activo</v>
      </c>
      <c r="R743" s="12" t="str">
        <f t="shared" si="5"/>
        <v>Riesgo Medio</v>
      </c>
    </row>
    <row r="744">
      <c r="A744" s="1" t="s">
        <v>4737</v>
      </c>
      <c r="B744" s="9" t="s">
        <v>4738</v>
      </c>
      <c r="C744" s="9" t="s">
        <v>4863</v>
      </c>
      <c r="D744" s="1" t="s">
        <v>4740</v>
      </c>
      <c r="E744" s="1" t="s">
        <v>18</v>
      </c>
      <c r="F744" s="1" t="s">
        <v>18</v>
      </c>
      <c r="G744" s="1" t="s">
        <v>19</v>
      </c>
      <c r="H744" s="2">
        <v>9780000.0</v>
      </c>
      <c r="I744" s="1">
        <v>90.0</v>
      </c>
      <c r="J744" s="9" t="s">
        <v>28</v>
      </c>
      <c r="K744" s="5">
        <v>46188.0</v>
      </c>
      <c r="L744" s="11" t="s">
        <v>160</v>
      </c>
      <c r="M744" s="11"/>
      <c r="N744" s="4" t="str">
        <f t="shared" si="1"/>
        <v>Mauricio Araya Contreras</v>
      </c>
      <c r="O744" s="6" t="str">
        <f t="shared" si="2"/>
        <v>19.510.024-1</v>
      </c>
      <c r="P744" s="6" t="str">
        <f t="shared" si="3"/>
        <v>La Serena - La Serena - Región de Coquimbo</v>
      </c>
      <c r="Q744" s="4" t="str">
        <f t="shared" si="4"/>
        <v>Activo</v>
      </c>
      <c r="R744" s="12" t="str">
        <f t="shared" si="5"/>
        <v>Riesgo Alto</v>
      </c>
    </row>
    <row r="745">
      <c r="A745" s="1" t="s">
        <v>541</v>
      </c>
      <c r="B745" s="9" t="s">
        <v>542</v>
      </c>
      <c r="C745" s="9" t="s">
        <v>4864</v>
      </c>
      <c r="D745" s="1" t="s">
        <v>545</v>
      </c>
      <c r="E745" s="1" t="s">
        <v>33</v>
      </c>
      <c r="F745" s="1" t="s">
        <v>33</v>
      </c>
      <c r="G745" s="1" t="s">
        <v>34</v>
      </c>
      <c r="H745" s="2">
        <v>1.685E7</v>
      </c>
      <c r="I745" s="1">
        <v>45.0</v>
      </c>
      <c r="J745" s="9" t="s">
        <v>20</v>
      </c>
      <c r="K745" s="5">
        <v>46049.0</v>
      </c>
      <c r="L745" s="11" t="s">
        <v>181</v>
      </c>
      <c r="M745" s="11"/>
      <c r="N745" s="4" t="str">
        <f t="shared" si="1"/>
        <v>Mauricio Araya Soto</v>
      </c>
      <c r="O745" s="6" t="str">
        <f t="shared" si="2"/>
        <v>20.266.869-8</v>
      </c>
      <c r="P745" s="6" t="str">
        <f t="shared" si="3"/>
        <v>Puerto Montt - Puerto Montt - Región de Los Lagos</v>
      </c>
      <c r="Q745" s="4" t="str">
        <f t="shared" si="4"/>
        <v>En Revisión</v>
      </c>
      <c r="R745" s="12" t="str">
        <f t="shared" si="5"/>
        <v>Riesgo Medio</v>
      </c>
    </row>
    <row r="746">
      <c r="A746" s="1" t="s">
        <v>57</v>
      </c>
      <c r="B746" s="9" t="s">
        <v>58</v>
      </c>
      <c r="C746" s="9" t="s">
        <v>59</v>
      </c>
      <c r="D746" s="1" t="s">
        <v>60</v>
      </c>
      <c r="E746" s="1" t="s">
        <v>61</v>
      </c>
      <c r="F746" s="1" t="s">
        <v>62</v>
      </c>
      <c r="G746" s="1" t="s">
        <v>63</v>
      </c>
      <c r="H746" s="2">
        <v>3170000.0</v>
      </c>
      <c r="I746" s="1">
        <v>0.0</v>
      </c>
      <c r="J746" s="9" t="s">
        <v>20</v>
      </c>
      <c r="K746" s="5">
        <v>46065.0</v>
      </c>
      <c r="L746" s="11" t="s">
        <v>160</v>
      </c>
      <c r="M746" s="11"/>
      <c r="N746" s="4" t="str">
        <f t="shared" si="1"/>
        <v>Mauricio Araya Tapia</v>
      </c>
      <c r="O746" s="6" t="str">
        <f t="shared" si="2"/>
        <v>20.205.046-2</v>
      </c>
      <c r="P746" s="6" t="str">
        <f t="shared" si="3"/>
        <v>Santiago Centro - Santiago - Región Metropolitana</v>
      </c>
      <c r="Q746" s="4" t="str">
        <f t="shared" si="4"/>
        <v>En Revisión</v>
      </c>
      <c r="R746" s="12" t="str">
        <f t="shared" si="5"/>
        <v>Riesgo Medio</v>
      </c>
    </row>
    <row r="747">
      <c r="A747" s="1" t="s">
        <v>4458</v>
      </c>
      <c r="B747" s="9" t="s">
        <v>4459</v>
      </c>
      <c r="C747" s="9" t="s">
        <v>4460</v>
      </c>
      <c r="D747" s="1" t="s">
        <v>4461</v>
      </c>
      <c r="E747" s="1" t="s">
        <v>18</v>
      </c>
      <c r="F747" s="1" t="s">
        <v>18</v>
      </c>
      <c r="G747" s="1" t="s">
        <v>19</v>
      </c>
      <c r="H747" s="2">
        <v>1.706E7</v>
      </c>
      <c r="I747" s="1">
        <v>45.0</v>
      </c>
      <c r="J747" s="9" t="s">
        <v>20</v>
      </c>
      <c r="K747" s="5">
        <v>46067.0</v>
      </c>
      <c r="L747" s="11" t="s">
        <v>160</v>
      </c>
      <c r="M747" s="11"/>
      <c r="N747" s="4" t="str">
        <f t="shared" si="1"/>
        <v>Mauricio Contreras González</v>
      </c>
      <c r="O747" s="6" t="str">
        <f t="shared" si="2"/>
        <v>13.095.448-9</v>
      </c>
      <c r="P747" s="6" t="str">
        <f t="shared" si="3"/>
        <v>La Serena - La Serena - Región de Coquimbo</v>
      </c>
      <c r="Q747" s="4" t="str">
        <f t="shared" si="4"/>
        <v>En Revisión</v>
      </c>
      <c r="R747" s="12" t="str">
        <f t="shared" si="5"/>
        <v>Riesgo Medio</v>
      </c>
    </row>
    <row r="748">
      <c r="A748" s="1" t="s">
        <v>4731</v>
      </c>
      <c r="B748" s="9" t="s">
        <v>4733</v>
      </c>
      <c r="C748" s="9" t="s">
        <v>4734</v>
      </c>
      <c r="D748" s="1" t="s">
        <v>4735</v>
      </c>
      <c r="E748" s="1" t="s">
        <v>72</v>
      </c>
      <c r="F748" s="1" t="s">
        <v>62</v>
      </c>
      <c r="G748" s="1" t="s">
        <v>63</v>
      </c>
      <c r="H748" s="2">
        <v>7940000.0</v>
      </c>
      <c r="I748" s="1">
        <v>60.0</v>
      </c>
      <c r="J748" s="9" t="s">
        <v>20</v>
      </c>
      <c r="K748" s="5">
        <v>46143.0</v>
      </c>
      <c r="L748" s="11" t="s">
        <v>207</v>
      </c>
      <c r="M748" s="11"/>
      <c r="N748" s="4" t="str">
        <f t="shared" si="1"/>
        <v>Mauricio Contreras Muñoz</v>
      </c>
      <c r="O748" s="6" t="str">
        <f t="shared" si="2"/>
        <v>20693029-2</v>
      </c>
      <c r="P748" s="6" t="str">
        <f t="shared" si="3"/>
        <v>Providencia - Santiago - Región Metropolitana</v>
      </c>
      <c r="Q748" s="4" t="str">
        <f t="shared" si="4"/>
        <v>En Revisión</v>
      </c>
      <c r="R748" s="12" t="str">
        <f t="shared" si="5"/>
        <v>Riesgo Medio</v>
      </c>
    </row>
    <row r="749">
      <c r="A749" s="1" t="s">
        <v>3878</v>
      </c>
      <c r="B749" s="9" t="s">
        <v>3879</v>
      </c>
      <c r="C749" s="9" t="s">
        <v>3880</v>
      </c>
      <c r="D749" s="1" t="s">
        <v>3881</v>
      </c>
      <c r="E749" s="1" t="s">
        <v>33</v>
      </c>
      <c r="F749" s="1" t="s">
        <v>33</v>
      </c>
      <c r="G749" s="1" t="s">
        <v>34</v>
      </c>
      <c r="H749" s="2">
        <v>9520000.0</v>
      </c>
      <c r="I749" s="1">
        <v>30.0</v>
      </c>
      <c r="J749" s="9" t="s">
        <v>28</v>
      </c>
      <c r="K749" s="5">
        <v>46222.0</v>
      </c>
      <c r="L749" s="11" t="s">
        <v>160</v>
      </c>
      <c r="M749" s="11"/>
      <c r="N749" s="4" t="str">
        <f t="shared" si="1"/>
        <v>Mauricio Contreras Valenzuela</v>
      </c>
      <c r="O749" s="6" t="str">
        <f t="shared" si="2"/>
        <v>18.129.373-8</v>
      </c>
      <c r="P749" s="6" t="str">
        <f t="shared" si="3"/>
        <v>Puerto Montt - Puerto Montt - Región de Los Lagos</v>
      </c>
      <c r="Q749" s="4" t="str">
        <f t="shared" si="4"/>
        <v>Activo</v>
      </c>
      <c r="R749" s="12" t="str">
        <f t="shared" si="5"/>
        <v>Riesgo Bajo</v>
      </c>
    </row>
    <row r="750">
      <c r="A750" s="1" t="s">
        <v>1560</v>
      </c>
      <c r="B750" s="9" t="s">
        <v>1561</v>
      </c>
      <c r="C750" s="9" t="s">
        <v>1562</v>
      </c>
      <c r="D750" s="1" t="s">
        <v>1563</v>
      </c>
      <c r="E750" s="1" t="s">
        <v>26</v>
      </c>
      <c r="F750" s="1" t="s">
        <v>26</v>
      </c>
      <c r="G750" s="1" t="s">
        <v>27</v>
      </c>
      <c r="H750" s="2">
        <v>5120000.0</v>
      </c>
      <c r="I750" s="1">
        <v>120.0</v>
      </c>
      <c r="J750" s="9" t="s">
        <v>97</v>
      </c>
      <c r="K750" s="5">
        <v>46127.0</v>
      </c>
      <c r="L750" s="11" t="s">
        <v>207</v>
      </c>
      <c r="M750" s="11"/>
      <c r="N750" s="4" t="str">
        <f t="shared" si="1"/>
        <v>Mauricio Díaz Morales</v>
      </c>
      <c r="O750" s="6" t="str">
        <f t="shared" si="2"/>
        <v>15.214.856-0</v>
      </c>
      <c r="P750" s="6" t="str">
        <f t="shared" si="3"/>
        <v>Valparaíso - Valparaíso - Región de Valparaíso</v>
      </c>
      <c r="Q750" s="4" t="str">
        <f t="shared" si="4"/>
        <v>Inactivo</v>
      </c>
      <c r="R750" s="12" t="str">
        <f t="shared" si="5"/>
        <v>Riesgo Medio</v>
      </c>
    </row>
    <row r="751">
      <c r="A751" s="1" t="s">
        <v>3029</v>
      </c>
      <c r="B751" s="9" t="s">
        <v>3031</v>
      </c>
      <c r="C751" s="9" t="s">
        <v>3033</v>
      </c>
      <c r="D751" s="1" t="s">
        <v>3034</v>
      </c>
      <c r="E751" s="1" t="s">
        <v>33</v>
      </c>
      <c r="F751" s="1" t="s">
        <v>33</v>
      </c>
      <c r="G751" s="1" t="s">
        <v>34</v>
      </c>
      <c r="H751" s="2">
        <v>9540000.0</v>
      </c>
      <c r="I751" s="1">
        <v>60.0</v>
      </c>
      <c r="J751" s="9" t="s">
        <v>28</v>
      </c>
      <c r="K751" s="5">
        <v>46220.0</v>
      </c>
      <c r="L751" s="11" t="s">
        <v>100</v>
      </c>
      <c r="M751" s="11"/>
      <c r="N751" s="4" t="str">
        <f t="shared" si="1"/>
        <v>Mauricio Díaz Silva</v>
      </c>
      <c r="O751" s="6" t="str">
        <f t="shared" si="2"/>
        <v>16.731.889-7</v>
      </c>
      <c r="P751" s="6" t="str">
        <f t="shared" si="3"/>
        <v>Puerto Montt - Puerto Montt - Región de Los Lagos</v>
      </c>
      <c r="Q751" s="4" t="str">
        <f t="shared" si="4"/>
        <v>Activo</v>
      </c>
      <c r="R751" s="12" t="str">
        <f t="shared" si="5"/>
        <v>Riesgo Medio</v>
      </c>
    </row>
    <row r="752">
      <c r="A752" s="1" t="s">
        <v>195</v>
      </c>
      <c r="B752" s="9" t="s">
        <v>196</v>
      </c>
      <c r="C752" s="9" t="s">
        <v>197</v>
      </c>
      <c r="D752" s="1" t="s">
        <v>198</v>
      </c>
      <c r="E752" s="1" t="s">
        <v>72</v>
      </c>
      <c r="F752" s="1" t="s">
        <v>62</v>
      </c>
      <c r="G752" s="1" t="s">
        <v>63</v>
      </c>
      <c r="H752" s="2">
        <v>1.037E7</v>
      </c>
      <c r="I752" s="1">
        <v>15.0</v>
      </c>
      <c r="J752" s="9" t="s">
        <v>28</v>
      </c>
      <c r="K752" s="5">
        <v>46134.0</v>
      </c>
      <c r="L752" s="11" t="s">
        <v>207</v>
      </c>
      <c r="M752" s="11"/>
      <c r="N752" s="4" t="str">
        <f t="shared" si="1"/>
        <v>Mauricio Espinoza Muñoz</v>
      </c>
      <c r="O752" s="6" t="str">
        <f t="shared" si="2"/>
        <v>17840614-1</v>
      </c>
      <c r="P752" s="6" t="str">
        <f t="shared" si="3"/>
        <v>Providencia - Santiago - Región Metropolitana</v>
      </c>
      <c r="Q752" s="4" t="str">
        <f t="shared" si="4"/>
        <v>Activo</v>
      </c>
      <c r="R752" s="12" t="str">
        <f t="shared" si="5"/>
        <v>Riesgo Bajo</v>
      </c>
    </row>
    <row r="753">
      <c r="A753" s="1" t="s">
        <v>4209</v>
      </c>
      <c r="B753" s="9" t="s">
        <v>4210</v>
      </c>
      <c r="C753" s="9" t="s">
        <v>4211</v>
      </c>
      <c r="D753" s="1" t="s">
        <v>4212</v>
      </c>
      <c r="E753" s="1" t="s">
        <v>39</v>
      </c>
      <c r="F753" s="1" t="s">
        <v>39</v>
      </c>
      <c r="G753" s="1" t="s">
        <v>40</v>
      </c>
      <c r="H753" s="2">
        <v>5840000.0</v>
      </c>
      <c r="I753" s="1">
        <v>90.0</v>
      </c>
      <c r="J753" s="9" t="s">
        <v>28</v>
      </c>
      <c r="K753" s="5">
        <v>46170.0</v>
      </c>
      <c r="L753" s="11" t="s">
        <v>207</v>
      </c>
      <c r="M753" s="11"/>
      <c r="N753" s="4" t="str">
        <f t="shared" si="1"/>
        <v>Mauricio Espinoza Pérez</v>
      </c>
      <c r="O753" s="6" t="str">
        <f t="shared" si="2"/>
        <v>12.277.419-6</v>
      </c>
      <c r="P753" s="6" t="str">
        <f t="shared" si="3"/>
        <v>Concepción - Concepción - Región del Biobío</v>
      </c>
      <c r="Q753" s="4" t="str">
        <f t="shared" si="4"/>
        <v>Activo</v>
      </c>
      <c r="R753" s="12" t="str">
        <f t="shared" si="5"/>
        <v>Riesgo Alto</v>
      </c>
    </row>
    <row r="754">
      <c r="A754" s="1" t="s">
        <v>1256</v>
      </c>
      <c r="B754" s="9" t="s">
        <v>1257</v>
      </c>
      <c r="C754" s="9" t="s">
        <v>4865</v>
      </c>
      <c r="D754" s="1" t="s">
        <v>1261</v>
      </c>
      <c r="E754" s="1" t="s">
        <v>25</v>
      </c>
      <c r="F754" s="1" t="s">
        <v>26</v>
      </c>
      <c r="G754" s="1" t="s">
        <v>27</v>
      </c>
      <c r="H754" s="2">
        <v>1390000.0</v>
      </c>
      <c r="I754" s="1">
        <v>0.0</v>
      </c>
      <c r="J754" s="9" t="s">
        <v>28</v>
      </c>
      <c r="K754" s="5">
        <v>46040.0</v>
      </c>
      <c r="L754" s="11" t="s">
        <v>100</v>
      </c>
      <c r="M754" s="11"/>
      <c r="N754" s="4" t="str">
        <f t="shared" si="1"/>
        <v>Mauricio Fuentes Soto</v>
      </c>
      <c r="O754" s="6" t="str">
        <f t="shared" si="2"/>
        <v>12019949-K</v>
      </c>
      <c r="P754" s="6" t="str">
        <f t="shared" si="3"/>
        <v>Viña del Mar - Valparaíso - Región de Valparaíso</v>
      </c>
      <c r="Q754" s="4" t="str">
        <f t="shared" si="4"/>
        <v>Activo</v>
      </c>
      <c r="R754" s="12" t="str">
        <f t="shared" si="5"/>
        <v>Riesgo Bajo</v>
      </c>
    </row>
    <row r="755">
      <c r="A755" s="1" t="s">
        <v>4190</v>
      </c>
      <c r="B755" s="9" t="s">
        <v>4191</v>
      </c>
      <c r="C755" s="9" t="s">
        <v>4866</v>
      </c>
      <c r="D755" s="1" t="s">
        <v>4193</v>
      </c>
      <c r="E755" s="1" t="s">
        <v>109</v>
      </c>
      <c r="F755" s="1" t="s">
        <v>62</v>
      </c>
      <c r="G755" s="1" t="s">
        <v>63</v>
      </c>
      <c r="H755" s="2">
        <v>1.843E7</v>
      </c>
      <c r="I755" s="1">
        <v>60.0</v>
      </c>
      <c r="J755" s="9" t="s">
        <v>97</v>
      </c>
      <c r="K755" s="5">
        <v>46095.0</v>
      </c>
      <c r="L755" s="11" t="s">
        <v>207</v>
      </c>
      <c r="M755" s="11"/>
      <c r="N755" s="4" t="str">
        <f t="shared" si="1"/>
        <v>Mauricio González López</v>
      </c>
      <c r="O755" s="6" t="str">
        <f t="shared" si="2"/>
        <v>14186186-0</v>
      </c>
      <c r="P755" s="6" t="str">
        <f t="shared" si="3"/>
        <v>Ñuñoa - Santiago - Región Metropolitana</v>
      </c>
      <c r="Q755" s="4" t="str">
        <f t="shared" si="4"/>
        <v>Inactivo</v>
      </c>
      <c r="R755" s="12" t="str">
        <f t="shared" si="5"/>
        <v>Riesgo Medio</v>
      </c>
    </row>
    <row r="756">
      <c r="A756" s="1" t="s">
        <v>4786</v>
      </c>
      <c r="B756" s="9" t="s">
        <v>4787</v>
      </c>
      <c r="C756" s="9" t="s">
        <v>4788</v>
      </c>
      <c r="D756" s="1" t="s">
        <v>2966</v>
      </c>
      <c r="E756" s="1" t="s">
        <v>194</v>
      </c>
      <c r="F756" s="1" t="s">
        <v>62</v>
      </c>
      <c r="G756" s="1" t="s">
        <v>63</v>
      </c>
      <c r="H756" s="2">
        <v>9980000.0</v>
      </c>
      <c r="I756" s="1">
        <v>90.0</v>
      </c>
      <c r="J756" s="9" t="s">
        <v>20</v>
      </c>
      <c r="K756" s="5">
        <v>46055.0</v>
      </c>
      <c r="L756" s="11" t="s">
        <v>100</v>
      </c>
      <c r="M756" s="11"/>
      <c r="N756" s="4" t="str">
        <f t="shared" si="1"/>
        <v>Mauricio González Rojas</v>
      </c>
      <c r="O756" s="6" t="str">
        <f t="shared" si="2"/>
        <v>20.909.324-5</v>
      </c>
      <c r="P756" s="6" t="str">
        <f t="shared" si="3"/>
        <v>Las Condes - Santiago - Región Metropolitana</v>
      </c>
      <c r="Q756" s="4" t="str">
        <f t="shared" si="4"/>
        <v>En Revisión</v>
      </c>
      <c r="R756" s="12" t="str">
        <f t="shared" si="5"/>
        <v>Riesgo Medio</v>
      </c>
    </row>
    <row r="757">
      <c r="A757" s="1" t="s">
        <v>4245</v>
      </c>
      <c r="B757" s="9" t="s">
        <v>4246</v>
      </c>
      <c r="C757" s="9" t="s">
        <v>4867</v>
      </c>
      <c r="D757" s="1" t="s">
        <v>4248</v>
      </c>
      <c r="E757" s="1" t="s">
        <v>118</v>
      </c>
      <c r="F757" s="1" t="s">
        <v>62</v>
      </c>
      <c r="G757" s="1" t="s">
        <v>63</v>
      </c>
      <c r="H757" s="2">
        <v>1.859E7</v>
      </c>
      <c r="I757" s="1">
        <v>90.0</v>
      </c>
      <c r="J757" s="9" t="s">
        <v>28</v>
      </c>
      <c r="K757" s="5">
        <v>46066.0</v>
      </c>
      <c r="L757" s="11" t="s">
        <v>160</v>
      </c>
      <c r="M757" s="11"/>
      <c r="N757" s="4" t="str">
        <f t="shared" si="1"/>
        <v>Mauricio González Silva</v>
      </c>
      <c r="O757" s="6" t="str">
        <f t="shared" si="2"/>
        <v>19062672-8</v>
      </c>
      <c r="P757" s="6" t="str">
        <f t="shared" si="3"/>
        <v>Maipú - Santiago - Región Metropolitana</v>
      </c>
      <c r="Q757" s="4" t="str">
        <f t="shared" si="4"/>
        <v>Activo</v>
      </c>
      <c r="R757" s="12" t="str">
        <f t="shared" si="5"/>
        <v>Riesgo Alto</v>
      </c>
    </row>
    <row r="758">
      <c r="A758" s="1" t="s">
        <v>2963</v>
      </c>
      <c r="B758" s="9" t="s">
        <v>2964</v>
      </c>
      <c r="C758" s="9" t="s">
        <v>2965</v>
      </c>
      <c r="D758" s="1" t="s">
        <v>2966</v>
      </c>
      <c r="E758" s="1" t="s">
        <v>26</v>
      </c>
      <c r="F758" s="1" t="s">
        <v>26</v>
      </c>
      <c r="G758" s="1" t="s">
        <v>27</v>
      </c>
      <c r="H758" s="2">
        <v>1.615E7</v>
      </c>
      <c r="I758" s="1">
        <v>0.0</v>
      </c>
      <c r="J758" s="9" t="s">
        <v>20</v>
      </c>
      <c r="K758" s="5">
        <v>46216.0</v>
      </c>
      <c r="L758" s="11" t="s">
        <v>181</v>
      </c>
      <c r="M758" s="11"/>
      <c r="N758" s="4" t="str">
        <f t="shared" si="1"/>
        <v>Mauricio González Vergara</v>
      </c>
      <c r="O758" s="6" t="str">
        <f t="shared" si="2"/>
        <v>20923128-9</v>
      </c>
      <c r="P758" s="6" t="str">
        <f t="shared" si="3"/>
        <v>Valparaíso - Valparaíso - Región de Valparaíso</v>
      </c>
      <c r="Q758" s="4" t="str">
        <f t="shared" si="4"/>
        <v>En Revisión</v>
      </c>
      <c r="R758" s="12" t="str">
        <f t="shared" si="5"/>
        <v>Riesgo Medio</v>
      </c>
    </row>
    <row r="759">
      <c r="A759" s="1" t="s">
        <v>1733</v>
      </c>
      <c r="B759" s="9" t="s">
        <v>1734</v>
      </c>
      <c r="C759" s="9" t="s">
        <v>1735</v>
      </c>
      <c r="D759" s="1" t="s">
        <v>1736</v>
      </c>
      <c r="E759" s="1" t="s">
        <v>56</v>
      </c>
      <c r="F759" s="1" t="s">
        <v>39</v>
      </c>
      <c r="G759" s="1" t="s">
        <v>40</v>
      </c>
      <c r="H759" s="2">
        <v>1.57E7</v>
      </c>
      <c r="I759" s="1">
        <v>0.0</v>
      </c>
      <c r="J759" s="9" t="s">
        <v>20</v>
      </c>
      <c r="K759" s="5">
        <v>46024.0</v>
      </c>
      <c r="L759" s="11" t="s">
        <v>199</v>
      </c>
      <c r="M759" s="11"/>
      <c r="N759" s="4" t="str">
        <f t="shared" si="1"/>
        <v>Mauricio Morales González</v>
      </c>
      <c r="O759" s="6" t="str">
        <f t="shared" si="2"/>
        <v>17.189.268-3</v>
      </c>
      <c r="P759" s="6" t="str">
        <f t="shared" si="3"/>
        <v>Talcahuano - Concepción - Región del Biobío</v>
      </c>
      <c r="Q759" s="4" t="str">
        <f t="shared" si="4"/>
        <v>En Revisión</v>
      </c>
      <c r="R759" s="12" t="str">
        <f t="shared" si="5"/>
        <v>Riesgo Medio</v>
      </c>
    </row>
    <row r="760">
      <c r="A760" s="1" t="s">
        <v>3684</v>
      </c>
      <c r="B760" s="9" t="s">
        <v>3685</v>
      </c>
      <c r="C760" s="9" t="s">
        <v>1735</v>
      </c>
      <c r="D760" s="1" t="s">
        <v>3686</v>
      </c>
      <c r="E760" s="1" t="s">
        <v>61</v>
      </c>
      <c r="F760" s="1" t="s">
        <v>62</v>
      </c>
      <c r="G760" s="1" t="s">
        <v>63</v>
      </c>
      <c r="H760" s="2">
        <v>1.802E7</v>
      </c>
      <c r="I760" s="1">
        <v>15.0</v>
      </c>
      <c r="J760" s="9" t="s">
        <v>97</v>
      </c>
      <c r="K760" s="5">
        <v>46074.0</v>
      </c>
      <c r="L760" s="11" t="s">
        <v>207</v>
      </c>
      <c r="M760" s="11"/>
      <c r="N760" s="4" t="str">
        <f t="shared" si="1"/>
        <v>Mauricio Morales González</v>
      </c>
      <c r="O760" s="6" t="str">
        <f t="shared" si="2"/>
        <v>16.210.224-6</v>
      </c>
      <c r="P760" s="6" t="str">
        <f t="shared" si="3"/>
        <v>Santiago Centro - Santiago - Región Metropolitana</v>
      </c>
      <c r="Q760" s="4" t="str">
        <f t="shared" si="4"/>
        <v>Inactivo</v>
      </c>
      <c r="R760" s="12" t="str">
        <f t="shared" si="5"/>
        <v>Riesgo Bajo</v>
      </c>
    </row>
    <row r="761">
      <c r="A761" s="1" t="s">
        <v>4074</v>
      </c>
      <c r="B761" s="9" t="s">
        <v>4075</v>
      </c>
      <c r="C761" s="9" t="s">
        <v>4076</v>
      </c>
      <c r="D761" s="1" t="s">
        <v>4077</v>
      </c>
      <c r="E761" s="1" t="s">
        <v>118</v>
      </c>
      <c r="F761" s="1" t="s">
        <v>62</v>
      </c>
      <c r="G761" s="1" t="s">
        <v>63</v>
      </c>
      <c r="H761" s="2">
        <v>1.642E7</v>
      </c>
      <c r="I761" s="1">
        <v>90.0</v>
      </c>
      <c r="J761" s="9" t="s">
        <v>20</v>
      </c>
      <c r="K761" s="5">
        <v>46182.0</v>
      </c>
      <c r="L761" s="11" t="s">
        <v>160</v>
      </c>
      <c r="M761" s="11"/>
      <c r="N761" s="4" t="str">
        <f t="shared" si="1"/>
        <v>Mauricio Muñoz Espinoza</v>
      </c>
      <c r="O761" s="6" t="str">
        <f t="shared" si="2"/>
        <v>20.604.176-8</v>
      </c>
      <c r="P761" s="6" t="str">
        <f t="shared" si="3"/>
        <v>Maipú - Santiago - Región Metropolitana</v>
      </c>
      <c r="Q761" s="4" t="str">
        <f t="shared" si="4"/>
        <v>En Revisión</v>
      </c>
      <c r="R761" s="12" t="str">
        <f t="shared" si="5"/>
        <v>Riesgo Medio</v>
      </c>
    </row>
    <row r="762">
      <c r="A762" s="1" t="s">
        <v>641</v>
      </c>
      <c r="B762" s="9" t="s">
        <v>642</v>
      </c>
      <c r="C762" s="9" t="s">
        <v>643</v>
      </c>
      <c r="D762" s="1" t="s">
        <v>644</v>
      </c>
      <c r="E762" s="1" t="s">
        <v>109</v>
      </c>
      <c r="F762" s="1" t="s">
        <v>62</v>
      </c>
      <c r="G762" s="1" t="s">
        <v>63</v>
      </c>
      <c r="H762" s="2">
        <v>5210000.0</v>
      </c>
      <c r="I762" s="1">
        <v>15.0</v>
      </c>
      <c r="J762" s="9" t="s">
        <v>97</v>
      </c>
      <c r="K762" s="5">
        <v>46170.0</v>
      </c>
      <c r="L762" s="11" t="s">
        <v>100</v>
      </c>
      <c r="M762" s="11"/>
      <c r="N762" s="4" t="str">
        <f t="shared" si="1"/>
        <v>Mauricio Pérez Espinoza</v>
      </c>
      <c r="O762" s="6" t="str">
        <f t="shared" si="2"/>
        <v>13.263.736-6</v>
      </c>
      <c r="P762" s="6" t="str">
        <f t="shared" si="3"/>
        <v>Ñuñoa - Santiago - Región Metropolitana</v>
      </c>
      <c r="Q762" s="4" t="str">
        <f t="shared" si="4"/>
        <v>Inactivo</v>
      </c>
      <c r="R762" s="12" t="str">
        <f t="shared" si="5"/>
        <v>Riesgo Bajo</v>
      </c>
    </row>
    <row r="763">
      <c r="A763" s="1" t="s">
        <v>708</v>
      </c>
      <c r="B763" s="9" t="s">
        <v>710</v>
      </c>
      <c r="C763" s="9" t="s">
        <v>711</v>
      </c>
      <c r="D763" s="1" t="s">
        <v>713</v>
      </c>
      <c r="E763" s="1" t="s">
        <v>45</v>
      </c>
      <c r="F763" s="1" t="s">
        <v>45</v>
      </c>
      <c r="G763" s="1" t="s">
        <v>46</v>
      </c>
      <c r="H763" s="2">
        <v>1.119E7</v>
      </c>
      <c r="I763" s="1">
        <v>45.0</v>
      </c>
      <c r="J763" s="9" t="s">
        <v>20</v>
      </c>
      <c r="K763" s="5">
        <v>46042.0</v>
      </c>
      <c r="L763" s="11" t="s">
        <v>160</v>
      </c>
      <c r="M763" s="11"/>
      <c r="N763" s="4" t="str">
        <f t="shared" si="1"/>
        <v>Mauricio Pérez Soto</v>
      </c>
      <c r="O763" s="6" t="str">
        <f t="shared" si="2"/>
        <v>20.269.276-3</v>
      </c>
      <c r="P763" s="6" t="str">
        <f t="shared" si="3"/>
        <v>Temuco - Temuco - Región de la Araucanía</v>
      </c>
      <c r="Q763" s="4" t="str">
        <f t="shared" si="4"/>
        <v>En Revisión</v>
      </c>
      <c r="R763" s="12" t="str">
        <f t="shared" si="5"/>
        <v>Riesgo Medio</v>
      </c>
    </row>
    <row r="764">
      <c r="A764" s="1" t="s">
        <v>480</v>
      </c>
      <c r="B764" s="9" t="s">
        <v>482</v>
      </c>
      <c r="C764" s="9" t="s">
        <v>484</v>
      </c>
      <c r="D764" s="1" t="s">
        <v>486</v>
      </c>
      <c r="E764" s="1" t="s">
        <v>39</v>
      </c>
      <c r="F764" s="1" t="s">
        <v>39</v>
      </c>
      <c r="G764" s="1" t="s">
        <v>40</v>
      </c>
      <c r="H764" s="2">
        <v>1.763E7</v>
      </c>
      <c r="I764" s="1">
        <v>15.0</v>
      </c>
      <c r="J764" s="9" t="s">
        <v>28</v>
      </c>
      <c r="K764" s="5">
        <v>46168.0</v>
      </c>
      <c r="L764" s="11" t="s">
        <v>160</v>
      </c>
      <c r="M764" s="11"/>
      <c r="N764" s="4" t="str">
        <f t="shared" si="1"/>
        <v>Mauricio Rodríguez Rojas</v>
      </c>
      <c r="O764" s="6" t="str">
        <f t="shared" si="2"/>
        <v>20.498.090-2</v>
      </c>
      <c r="P764" s="6" t="str">
        <f t="shared" si="3"/>
        <v>Concepción - Concepción - Región del Biobío</v>
      </c>
      <c r="Q764" s="4" t="str">
        <f t="shared" si="4"/>
        <v>Activo</v>
      </c>
      <c r="R764" s="12" t="str">
        <f t="shared" si="5"/>
        <v>Riesgo Bajo</v>
      </c>
    </row>
    <row r="765">
      <c r="A765" s="1" t="s">
        <v>2969</v>
      </c>
      <c r="B765" s="9" t="s">
        <v>2970</v>
      </c>
      <c r="C765" s="9" t="s">
        <v>484</v>
      </c>
      <c r="D765" s="1" t="s">
        <v>2971</v>
      </c>
      <c r="E765" s="1" t="s">
        <v>56</v>
      </c>
      <c r="F765" s="1" t="s">
        <v>39</v>
      </c>
      <c r="G765" s="1" t="s">
        <v>40</v>
      </c>
      <c r="H765" s="2">
        <v>1380000.0</v>
      </c>
      <c r="I765" s="1">
        <v>0.0</v>
      </c>
      <c r="J765" s="9" t="s">
        <v>28</v>
      </c>
      <c r="K765" s="5">
        <v>46107.0</v>
      </c>
      <c r="L765" s="11" t="s">
        <v>181</v>
      </c>
      <c r="M765" s="11"/>
      <c r="N765" s="4" t="str">
        <f t="shared" si="1"/>
        <v>Mauricio Rodríguez Rojas</v>
      </c>
      <c r="O765" s="6" t="str">
        <f t="shared" si="2"/>
        <v>12.819.085-3</v>
      </c>
      <c r="P765" s="6" t="str">
        <f t="shared" si="3"/>
        <v>Talcahuano - Concepción - Región del Biobío</v>
      </c>
      <c r="Q765" s="4" t="str">
        <f t="shared" si="4"/>
        <v>Activo</v>
      </c>
      <c r="R765" s="12" t="str">
        <f t="shared" si="5"/>
        <v>Riesgo Bajo</v>
      </c>
    </row>
    <row r="766">
      <c r="A766" s="1" t="s">
        <v>3796</v>
      </c>
      <c r="B766" s="9" t="s">
        <v>3797</v>
      </c>
      <c r="C766" s="9" t="s">
        <v>3798</v>
      </c>
      <c r="D766" s="1" t="s">
        <v>2971</v>
      </c>
      <c r="E766" s="1" t="s">
        <v>72</v>
      </c>
      <c r="F766" s="1" t="s">
        <v>62</v>
      </c>
      <c r="G766" s="1" t="s">
        <v>63</v>
      </c>
      <c r="H766" s="2">
        <v>1.346E7</v>
      </c>
      <c r="I766" s="1">
        <v>15.0</v>
      </c>
      <c r="J766" s="9" t="s">
        <v>97</v>
      </c>
      <c r="K766" s="5">
        <v>46207.0</v>
      </c>
      <c r="L766" s="11" t="s">
        <v>160</v>
      </c>
      <c r="M766" s="11"/>
      <c r="N766" s="4" t="str">
        <f t="shared" si="1"/>
        <v>Mauricio Rodríguez Sepúlveda</v>
      </c>
      <c r="O766" s="6" t="str">
        <f t="shared" si="2"/>
        <v>18349367-1</v>
      </c>
      <c r="P766" s="6" t="str">
        <f t="shared" si="3"/>
        <v>Providencia - Santiago - Región Metropolitana</v>
      </c>
      <c r="Q766" s="4" t="str">
        <f t="shared" si="4"/>
        <v>Inactivo</v>
      </c>
      <c r="R766" s="12" t="str">
        <f t="shared" si="5"/>
        <v>Riesgo Bajo</v>
      </c>
    </row>
    <row r="767">
      <c r="A767" s="1" t="s">
        <v>4507</v>
      </c>
      <c r="B767" s="9" t="s">
        <v>4508</v>
      </c>
      <c r="C767" s="9" t="s">
        <v>4509</v>
      </c>
      <c r="D767" s="1" t="s">
        <v>4510</v>
      </c>
      <c r="E767" s="1" t="s">
        <v>194</v>
      </c>
      <c r="F767" s="1" t="s">
        <v>62</v>
      </c>
      <c r="G767" s="1" t="s">
        <v>63</v>
      </c>
      <c r="H767" s="2">
        <v>2420000.0</v>
      </c>
      <c r="I767" s="1">
        <v>0.0</v>
      </c>
      <c r="J767" s="9" t="s">
        <v>97</v>
      </c>
      <c r="K767" s="5">
        <v>46164.0</v>
      </c>
      <c r="L767" s="11" t="s">
        <v>160</v>
      </c>
      <c r="M767" s="11"/>
      <c r="N767" s="4" t="str">
        <f t="shared" si="1"/>
        <v>Mauricio Rojas Fuentes</v>
      </c>
      <c r="O767" s="6" t="str">
        <f t="shared" si="2"/>
        <v>15.099.642-7</v>
      </c>
      <c r="P767" s="6" t="str">
        <f t="shared" si="3"/>
        <v>Las Condes - Santiago - Región Metropolitana</v>
      </c>
      <c r="Q767" s="4" t="str">
        <f t="shared" si="4"/>
        <v>Inactivo</v>
      </c>
      <c r="R767" s="12" t="str">
        <f t="shared" si="5"/>
        <v>Riesgo Bajo</v>
      </c>
    </row>
    <row r="768">
      <c r="A768" s="1" t="s">
        <v>2673</v>
      </c>
      <c r="B768" s="9" t="s">
        <v>2674</v>
      </c>
      <c r="C768" s="9" t="s">
        <v>2676</v>
      </c>
      <c r="D768" s="1" t="s">
        <v>2679</v>
      </c>
      <c r="E768" s="1" t="s">
        <v>45</v>
      </c>
      <c r="F768" s="1" t="s">
        <v>45</v>
      </c>
      <c r="G768" s="1" t="s">
        <v>46</v>
      </c>
      <c r="H768" s="2">
        <v>9690000.0</v>
      </c>
      <c r="I768" s="1">
        <v>0.0</v>
      </c>
      <c r="J768" s="9" t="s">
        <v>28</v>
      </c>
      <c r="K768" s="5">
        <v>46229.0</v>
      </c>
      <c r="L768" s="11" t="s">
        <v>207</v>
      </c>
      <c r="M768" s="11"/>
      <c r="N768" s="4" t="str">
        <f t="shared" si="1"/>
        <v>Mauricio Rojas López</v>
      </c>
      <c r="O768" s="6" t="str">
        <f t="shared" si="2"/>
        <v>16724811-4</v>
      </c>
      <c r="P768" s="6" t="str">
        <f t="shared" si="3"/>
        <v>Temuco - Temuco - Región de la Araucanía</v>
      </c>
      <c r="Q768" s="4" t="str">
        <f t="shared" si="4"/>
        <v>Activo</v>
      </c>
      <c r="R768" s="12" t="str">
        <f t="shared" si="5"/>
        <v>Riesgo Bajo</v>
      </c>
    </row>
    <row r="769">
      <c r="A769" s="1" t="s">
        <v>4493</v>
      </c>
      <c r="B769" s="9" t="s">
        <v>4494</v>
      </c>
      <c r="C769" s="9" t="s">
        <v>4868</v>
      </c>
      <c r="D769" s="1" t="s">
        <v>4496</v>
      </c>
      <c r="E769" s="1" t="s">
        <v>72</v>
      </c>
      <c r="F769" s="1" t="s">
        <v>62</v>
      </c>
      <c r="G769" s="1" t="s">
        <v>63</v>
      </c>
      <c r="H769" s="2">
        <v>9100000.0</v>
      </c>
      <c r="I769" s="1">
        <v>60.0</v>
      </c>
      <c r="J769" s="9" t="s">
        <v>28</v>
      </c>
      <c r="K769" s="5">
        <v>46225.0</v>
      </c>
      <c r="L769" s="11" t="s">
        <v>160</v>
      </c>
      <c r="M769" s="11"/>
      <c r="N769" s="4" t="str">
        <f t="shared" si="1"/>
        <v>Mauricio Rojas Pérez</v>
      </c>
      <c r="O769" s="6" t="str">
        <f t="shared" si="2"/>
        <v>17404614-9</v>
      </c>
      <c r="P769" s="6" t="str">
        <f t="shared" si="3"/>
        <v>Providencia - Santiago - Región Metropolitana</v>
      </c>
      <c r="Q769" s="4" t="str">
        <f t="shared" si="4"/>
        <v>Activo</v>
      </c>
      <c r="R769" s="12" t="str">
        <f t="shared" si="5"/>
        <v>Riesgo Medio</v>
      </c>
    </row>
    <row r="770">
      <c r="A770" s="1" t="s">
        <v>2995</v>
      </c>
      <c r="B770" s="9" t="s">
        <v>2996</v>
      </c>
      <c r="C770" s="9" t="s">
        <v>2997</v>
      </c>
      <c r="D770" s="1" t="s">
        <v>2998</v>
      </c>
      <c r="E770" s="1" t="s">
        <v>158</v>
      </c>
      <c r="F770" s="1" t="s">
        <v>158</v>
      </c>
      <c r="G770" s="1" t="s">
        <v>159</v>
      </c>
      <c r="H770" s="2">
        <v>2.039E7</v>
      </c>
      <c r="I770" s="1">
        <v>0.0</v>
      </c>
      <c r="J770" s="9" t="s">
        <v>28</v>
      </c>
      <c r="K770" s="5">
        <v>46041.0</v>
      </c>
      <c r="L770" s="11" t="s">
        <v>207</v>
      </c>
      <c r="M770" s="11"/>
      <c r="N770" s="4" t="str">
        <f t="shared" si="1"/>
        <v>Mauricio Sepúlveda Rojas</v>
      </c>
      <c r="O770" s="6" t="str">
        <f t="shared" si="2"/>
        <v>18.925.361-6</v>
      </c>
      <c r="P770" s="6" t="str">
        <f t="shared" si="3"/>
        <v>Antofagasta - Antofagasta - Región de Antofagasta</v>
      </c>
      <c r="Q770" s="4" t="str">
        <f t="shared" si="4"/>
        <v>Activo</v>
      </c>
      <c r="R770" s="12" t="str">
        <f t="shared" si="5"/>
        <v>Riesgo Bajo</v>
      </c>
    </row>
    <row r="771">
      <c r="A771" s="1" t="s">
        <v>3648</v>
      </c>
      <c r="B771" s="9" t="s">
        <v>3649</v>
      </c>
      <c r="C771" s="9" t="s">
        <v>3650</v>
      </c>
      <c r="D771" s="1" t="s">
        <v>3651</v>
      </c>
      <c r="E771" s="1" t="s">
        <v>194</v>
      </c>
      <c r="F771" s="1" t="s">
        <v>62</v>
      </c>
      <c r="G771" s="1" t="s">
        <v>63</v>
      </c>
      <c r="H771" s="2">
        <v>7550000.0</v>
      </c>
      <c r="I771" s="1">
        <v>15.0</v>
      </c>
      <c r="J771" s="9" t="s">
        <v>20</v>
      </c>
      <c r="K771" s="5">
        <v>46100.0</v>
      </c>
      <c r="L771" s="11" t="s">
        <v>100</v>
      </c>
      <c r="M771" s="11"/>
      <c r="N771" s="4" t="str">
        <f t="shared" si="1"/>
        <v>Mauricio Soto Pérez</v>
      </c>
      <c r="O771" s="6" t="str">
        <f t="shared" si="2"/>
        <v>11.115.623-8</v>
      </c>
      <c r="P771" s="6" t="str">
        <f t="shared" si="3"/>
        <v>Las Condes - Santiago - Región Metropolitana</v>
      </c>
      <c r="Q771" s="4" t="str">
        <f t="shared" si="4"/>
        <v>En Revisión</v>
      </c>
      <c r="R771" s="12" t="str">
        <f t="shared" si="5"/>
        <v>Riesgo Medio</v>
      </c>
    </row>
    <row r="772">
      <c r="A772" s="1" t="s">
        <v>3939</v>
      </c>
      <c r="B772" s="9" t="s">
        <v>3941</v>
      </c>
      <c r="C772" s="9" t="s">
        <v>4869</v>
      </c>
      <c r="D772" s="1" t="s">
        <v>3945</v>
      </c>
      <c r="E772" s="1" t="s">
        <v>72</v>
      </c>
      <c r="F772" s="1" t="s">
        <v>62</v>
      </c>
      <c r="G772" s="1" t="s">
        <v>63</v>
      </c>
      <c r="H772" s="2">
        <v>1.647E7</v>
      </c>
      <c r="I772" s="1">
        <v>60.0</v>
      </c>
      <c r="J772" s="9" t="s">
        <v>97</v>
      </c>
      <c r="K772" s="5">
        <v>46170.0</v>
      </c>
      <c r="L772" s="11" t="s">
        <v>207</v>
      </c>
      <c r="M772" s="11"/>
      <c r="N772" s="4" t="str">
        <f t="shared" si="1"/>
        <v>Mauricio Tapia Pérez</v>
      </c>
      <c r="O772" s="6" t="str">
        <f t="shared" si="2"/>
        <v>22.427.853-5</v>
      </c>
      <c r="P772" s="6" t="str">
        <f t="shared" si="3"/>
        <v>Providencia - Santiago - Región Metropolitana</v>
      </c>
      <c r="Q772" s="4" t="str">
        <f t="shared" si="4"/>
        <v>Inactivo</v>
      </c>
      <c r="R772" s="12" t="str">
        <f t="shared" si="5"/>
        <v>Riesgo Medio</v>
      </c>
    </row>
    <row r="773">
      <c r="A773" s="1" t="s">
        <v>1481</v>
      </c>
      <c r="B773" s="9" t="s">
        <v>1482</v>
      </c>
      <c r="C773" s="9" t="s">
        <v>4870</v>
      </c>
      <c r="D773" s="1" t="s">
        <v>1485</v>
      </c>
      <c r="E773" s="1" t="s">
        <v>39</v>
      </c>
      <c r="F773" s="1" t="s">
        <v>39</v>
      </c>
      <c r="G773" s="1" t="s">
        <v>40</v>
      </c>
      <c r="H773" s="2">
        <v>7780000.0</v>
      </c>
      <c r="I773" s="1">
        <v>0.0</v>
      </c>
      <c r="J773" s="9" t="s">
        <v>97</v>
      </c>
      <c r="K773" s="5">
        <v>46199.0</v>
      </c>
      <c r="L773" s="11" t="s">
        <v>207</v>
      </c>
      <c r="M773" s="11"/>
      <c r="N773" s="4" t="str">
        <f t="shared" si="1"/>
        <v>Mauricio Tapia Sepúlveda</v>
      </c>
      <c r="O773" s="6" t="str">
        <f t="shared" si="2"/>
        <v>18620093-6</v>
      </c>
      <c r="P773" s="6" t="str">
        <f t="shared" si="3"/>
        <v>Concepción - Concepción - Región del Biobío</v>
      </c>
      <c r="Q773" s="4" t="str">
        <f t="shared" si="4"/>
        <v>Inactivo</v>
      </c>
      <c r="R773" s="12" t="str">
        <f t="shared" si="5"/>
        <v>Riesgo Bajo</v>
      </c>
    </row>
    <row r="774">
      <c r="A774" s="1" t="s">
        <v>105</v>
      </c>
      <c r="B774" s="9" t="s">
        <v>106</v>
      </c>
      <c r="C774" s="9" t="s">
        <v>107</v>
      </c>
      <c r="D774" s="1" t="s">
        <v>108</v>
      </c>
      <c r="E774" s="1" t="s">
        <v>109</v>
      </c>
      <c r="F774" s="1" t="s">
        <v>62</v>
      </c>
      <c r="G774" s="1" t="s">
        <v>63</v>
      </c>
      <c r="H774" s="2">
        <v>1.562E7</v>
      </c>
      <c r="I774" s="1">
        <v>0.0</v>
      </c>
      <c r="J774" s="9" t="s">
        <v>20</v>
      </c>
      <c r="K774" s="5">
        <v>46206.0</v>
      </c>
      <c r="L774" s="11" t="s">
        <v>100</v>
      </c>
      <c r="M774" s="11"/>
      <c r="N774" s="4" t="str">
        <f t="shared" si="1"/>
        <v>Mauricio Valenzuela Morales</v>
      </c>
      <c r="O774" s="6" t="str">
        <f t="shared" si="2"/>
        <v>18686604-4</v>
      </c>
      <c r="P774" s="6" t="str">
        <f t="shared" si="3"/>
        <v>Ñuñoa - Santiago - Región Metropolitana</v>
      </c>
      <c r="Q774" s="4" t="str">
        <f t="shared" si="4"/>
        <v>En Revisión</v>
      </c>
      <c r="R774" s="12" t="str">
        <f t="shared" si="5"/>
        <v>Riesgo Medio</v>
      </c>
    </row>
    <row r="775">
      <c r="A775" s="1" t="s">
        <v>1918</v>
      </c>
      <c r="B775" s="9" t="s">
        <v>1919</v>
      </c>
      <c r="C775" s="9" t="s">
        <v>4871</v>
      </c>
      <c r="D775" s="1" t="s">
        <v>1921</v>
      </c>
      <c r="E775" s="1" t="s">
        <v>56</v>
      </c>
      <c r="F775" s="1" t="s">
        <v>39</v>
      </c>
      <c r="G775" s="1" t="s">
        <v>40</v>
      </c>
      <c r="H775" s="2">
        <v>4790000.0</v>
      </c>
      <c r="I775" s="1">
        <v>0.0</v>
      </c>
      <c r="J775" s="9" t="s">
        <v>28</v>
      </c>
      <c r="K775" s="5">
        <v>46162.0</v>
      </c>
      <c r="L775" s="11" t="s">
        <v>181</v>
      </c>
      <c r="M775" s="11"/>
      <c r="N775" s="4" t="str">
        <f t="shared" si="1"/>
        <v>Mauricio Valenzuela Soto</v>
      </c>
      <c r="O775" s="6" t="str">
        <f t="shared" si="2"/>
        <v>18.670.989-K</v>
      </c>
      <c r="P775" s="6" t="str">
        <f t="shared" si="3"/>
        <v>Talcahuano - Concepción - Región del Biobío</v>
      </c>
      <c r="Q775" s="4" t="str">
        <f t="shared" si="4"/>
        <v>Activo</v>
      </c>
      <c r="R775" s="12" t="str">
        <f t="shared" si="5"/>
        <v>Riesgo Bajo</v>
      </c>
    </row>
    <row r="776">
      <c r="A776" s="1" t="s">
        <v>110</v>
      </c>
      <c r="B776" s="9" t="s">
        <v>111</v>
      </c>
      <c r="C776" s="9" t="s">
        <v>112</v>
      </c>
      <c r="D776" s="1" t="s">
        <v>113</v>
      </c>
      <c r="E776" s="1" t="s">
        <v>72</v>
      </c>
      <c r="F776" s="1" t="s">
        <v>62</v>
      </c>
      <c r="G776" s="1" t="s">
        <v>63</v>
      </c>
      <c r="H776" s="2">
        <v>3490000.0</v>
      </c>
      <c r="I776" s="1">
        <v>45.0</v>
      </c>
      <c r="J776" s="9" t="s">
        <v>20</v>
      </c>
      <c r="K776" s="5">
        <v>46183.0</v>
      </c>
      <c r="L776" s="11" t="s">
        <v>100</v>
      </c>
      <c r="M776" s="11"/>
      <c r="N776" s="4" t="str">
        <f t="shared" si="1"/>
        <v>Paula Contreras Morales</v>
      </c>
      <c r="O776" s="6" t="str">
        <f t="shared" si="2"/>
        <v>19518387-3</v>
      </c>
      <c r="P776" s="6" t="str">
        <f t="shared" si="3"/>
        <v>Providencia - Santiago - Región Metropolitana</v>
      </c>
      <c r="Q776" s="4" t="str">
        <f t="shared" si="4"/>
        <v>En Revisión</v>
      </c>
      <c r="R776" s="12" t="str">
        <f t="shared" si="5"/>
        <v>Riesgo Medio</v>
      </c>
    </row>
    <row r="777">
      <c r="A777" s="1" t="s">
        <v>1869</v>
      </c>
      <c r="B777" s="9" t="s">
        <v>1870</v>
      </c>
      <c r="C777" s="9" t="s">
        <v>1871</v>
      </c>
      <c r="D777" s="1" t="s">
        <v>1872</v>
      </c>
      <c r="E777" s="1" t="s">
        <v>56</v>
      </c>
      <c r="F777" s="1" t="s">
        <v>39</v>
      </c>
      <c r="G777" s="1" t="s">
        <v>40</v>
      </c>
      <c r="H777" s="2">
        <v>6630000.0</v>
      </c>
      <c r="I777" s="1">
        <v>30.0</v>
      </c>
      <c r="J777" s="9" t="s">
        <v>20</v>
      </c>
      <c r="K777" s="5">
        <v>46133.0</v>
      </c>
      <c r="L777" s="11" t="s">
        <v>207</v>
      </c>
      <c r="M777" s="11"/>
      <c r="N777" s="4" t="str">
        <f t="shared" si="1"/>
        <v>Paula Díaz Silva</v>
      </c>
      <c r="O777" s="6" t="str">
        <f t="shared" si="2"/>
        <v>17.924.887-7</v>
      </c>
      <c r="P777" s="6" t="str">
        <f t="shared" si="3"/>
        <v>Talcahuano - Concepción - Región del Biobío</v>
      </c>
      <c r="Q777" s="4" t="str">
        <f t="shared" si="4"/>
        <v>En Revisión</v>
      </c>
      <c r="R777" s="12" t="str">
        <f t="shared" si="5"/>
        <v>Riesgo Medio</v>
      </c>
    </row>
    <row r="778">
      <c r="A778" s="1" t="s">
        <v>1753</v>
      </c>
      <c r="B778" s="9" t="s">
        <v>1754</v>
      </c>
      <c r="C778" s="9" t="s">
        <v>4872</v>
      </c>
      <c r="D778" s="1" t="s">
        <v>1756</v>
      </c>
      <c r="E778" s="1" t="s">
        <v>26</v>
      </c>
      <c r="F778" s="1" t="s">
        <v>26</v>
      </c>
      <c r="G778" s="1" t="s">
        <v>27</v>
      </c>
      <c r="H778" s="2">
        <v>760000.0</v>
      </c>
      <c r="I778" s="1">
        <v>45.0</v>
      </c>
      <c r="J778" s="9" t="s">
        <v>20</v>
      </c>
      <c r="K778" s="5">
        <v>46180.0</v>
      </c>
      <c r="L778" s="11" t="s">
        <v>160</v>
      </c>
      <c r="M778" s="11"/>
      <c r="N778" s="4" t="str">
        <f t="shared" si="1"/>
        <v>Paula Fuentes Araya</v>
      </c>
      <c r="O778" s="6" t="str">
        <f t="shared" si="2"/>
        <v>18.955.877-2</v>
      </c>
      <c r="P778" s="6" t="str">
        <f t="shared" si="3"/>
        <v>Valparaíso - Valparaíso - Región de Valparaíso</v>
      </c>
      <c r="Q778" s="4" t="str">
        <f t="shared" si="4"/>
        <v>En Revisión</v>
      </c>
      <c r="R778" s="12" t="str">
        <f t="shared" si="5"/>
        <v>Riesgo Medio</v>
      </c>
    </row>
    <row r="779">
      <c r="A779" s="1" t="s">
        <v>2990</v>
      </c>
      <c r="B779" s="9" t="s">
        <v>2991</v>
      </c>
      <c r="C779" s="9" t="s">
        <v>4873</v>
      </c>
      <c r="D779" s="1" t="s">
        <v>2993</v>
      </c>
      <c r="E779" s="1" t="s">
        <v>25</v>
      </c>
      <c r="F779" s="1" t="s">
        <v>26</v>
      </c>
      <c r="G779" s="1" t="s">
        <v>27</v>
      </c>
      <c r="H779" s="2">
        <v>2.047E7</v>
      </c>
      <c r="I779" s="1">
        <v>0.0</v>
      </c>
      <c r="J779" s="9" t="s">
        <v>28</v>
      </c>
      <c r="K779" s="5">
        <v>46071.0</v>
      </c>
      <c r="L779" s="11" t="s">
        <v>160</v>
      </c>
      <c r="M779" s="11"/>
      <c r="N779" s="4" t="str">
        <f t="shared" si="1"/>
        <v>Paula Fuentes Rojas</v>
      </c>
      <c r="O779" s="6" t="str">
        <f t="shared" si="2"/>
        <v>11.155.046-6</v>
      </c>
      <c r="P779" s="6" t="str">
        <f t="shared" si="3"/>
        <v>Viña del Mar - Valparaíso - Región de Valparaíso</v>
      </c>
      <c r="Q779" s="4" t="str">
        <f t="shared" si="4"/>
        <v>Activo</v>
      </c>
      <c r="R779" s="12" t="str">
        <f t="shared" si="5"/>
        <v>Riesgo Bajo</v>
      </c>
    </row>
    <row r="780">
      <c r="A780" s="1" t="s">
        <v>3590</v>
      </c>
      <c r="B780" s="9" t="s">
        <v>3591</v>
      </c>
      <c r="C780" s="9" t="s">
        <v>4874</v>
      </c>
      <c r="D780" s="1" t="s">
        <v>3594</v>
      </c>
      <c r="E780" s="1" t="s">
        <v>39</v>
      </c>
      <c r="F780" s="1" t="s">
        <v>39</v>
      </c>
      <c r="G780" s="1" t="s">
        <v>40</v>
      </c>
      <c r="H780" s="2">
        <v>2750000.0</v>
      </c>
      <c r="I780" s="1">
        <v>0.0</v>
      </c>
      <c r="J780" s="9" t="s">
        <v>28</v>
      </c>
      <c r="K780" s="5">
        <v>46208.0</v>
      </c>
      <c r="L780" s="11" t="s">
        <v>181</v>
      </c>
      <c r="M780" s="11"/>
      <c r="N780" s="4" t="str">
        <f t="shared" si="1"/>
        <v>Paula González Espinoza</v>
      </c>
      <c r="O780" s="6" t="str">
        <f t="shared" si="2"/>
        <v>12.905.286-7</v>
      </c>
      <c r="P780" s="6" t="str">
        <f t="shared" si="3"/>
        <v>Concepción - Concepción - Región del Biobío</v>
      </c>
      <c r="Q780" s="4" t="str">
        <f t="shared" si="4"/>
        <v>Activo</v>
      </c>
      <c r="R780" s="12" t="str">
        <f t="shared" si="5"/>
        <v>Riesgo Bajo</v>
      </c>
    </row>
    <row r="781">
      <c r="A781" s="1" t="s">
        <v>4710</v>
      </c>
      <c r="B781" s="9" t="s">
        <v>4711</v>
      </c>
      <c r="C781" s="9" t="s">
        <v>4875</v>
      </c>
      <c r="D781" s="1" t="s">
        <v>3594</v>
      </c>
      <c r="E781" s="1" t="s">
        <v>45</v>
      </c>
      <c r="F781" s="1" t="s">
        <v>45</v>
      </c>
      <c r="G781" s="1" t="s">
        <v>46</v>
      </c>
      <c r="H781" s="2">
        <v>1.37E7</v>
      </c>
      <c r="I781" s="1">
        <v>90.0</v>
      </c>
      <c r="J781" s="9" t="s">
        <v>20</v>
      </c>
      <c r="K781" s="5">
        <v>46130.0</v>
      </c>
      <c r="L781" s="11" t="s">
        <v>160</v>
      </c>
      <c r="M781" s="11"/>
      <c r="N781" s="4" t="str">
        <f t="shared" si="1"/>
        <v>Paula González Rodríguez</v>
      </c>
      <c r="O781" s="6" t="str">
        <f t="shared" si="2"/>
        <v>13.425.058-7</v>
      </c>
      <c r="P781" s="6" t="str">
        <f t="shared" si="3"/>
        <v>Temuco - Temuco - Región de la Araucanía</v>
      </c>
      <c r="Q781" s="4" t="str">
        <f t="shared" si="4"/>
        <v>En Revisión</v>
      </c>
      <c r="R781" s="12" t="str">
        <f t="shared" si="5"/>
        <v>Riesgo Medio</v>
      </c>
    </row>
    <row r="782">
      <c r="A782" s="1" t="s">
        <v>3907</v>
      </c>
      <c r="B782" s="9" t="s">
        <v>3908</v>
      </c>
      <c r="C782" s="9" t="s">
        <v>3909</v>
      </c>
      <c r="D782" s="1" t="s">
        <v>3910</v>
      </c>
      <c r="E782" s="1" t="s">
        <v>61</v>
      </c>
      <c r="F782" s="1" t="s">
        <v>62</v>
      </c>
      <c r="G782" s="1" t="s">
        <v>63</v>
      </c>
      <c r="H782" s="2">
        <v>1.62E7</v>
      </c>
      <c r="I782" s="1">
        <v>120.0</v>
      </c>
      <c r="J782" s="9" t="s">
        <v>97</v>
      </c>
      <c r="K782" s="5">
        <v>46139.0</v>
      </c>
      <c r="L782" s="11" t="s">
        <v>160</v>
      </c>
      <c r="M782" s="11"/>
      <c r="N782" s="4" t="str">
        <f t="shared" si="1"/>
        <v>Paula López González</v>
      </c>
      <c r="O782" s="6" t="str">
        <f t="shared" si="2"/>
        <v>14.609.189-2</v>
      </c>
      <c r="P782" s="6" t="str">
        <f t="shared" si="3"/>
        <v>Santiago Centro - Santiago - Región Metropolitana</v>
      </c>
      <c r="Q782" s="4" t="str">
        <f t="shared" si="4"/>
        <v>Inactivo</v>
      </c>
      <c r="R782" s="12" t="str">
        <f t="shared" si="5"/>
        <v>Riesgo Medio</v>
      </c>
    </row>
    <row r="783">
      <c r="A783" s="1" t="s">
        <v>4580</v>
      </c>
      <c r="B783" s="9" t="s">
        <v>4581</v>
      </c>
      <c r="C783" s="9" t="s">
        <v>4582</v>
      </c>
      <c r="D783" s="1" t="s">
        <v>3910</v>
      </c>
      <c r="E783" s="1" t="s">
        <v>25</v>
      </c>
      <c r="F783" s="1" t="s">
        <v>26</v>
      </c>
      <c r="G783" s="1" t="s">
        <v>27</v>
      </c>
      <c r="H783" s="2">
        <v>1890000.0</v>
      </c>
      <c r="I783" s="1">
        <v>30.0</v>
      </c>
      <c r="J783" s="9" t="s">
        <v>20</v>
      </c>
      <c r="K783" s="5">
        <v>46106.0</v>
      </c>
      <c r="L783" s="11" t="s">
        <v>207</v>
      </c>
      <c r="M783" s="11"/>
      <c r="N783" s="4" t="str">
        <f t="shared" si="1"/>
        <v>Paula López Sepúlveda</v>
      </c>
      <c r="O783" s="6" t="str">
        <f t="shared" si="2"/>
        <v>12419872-K</v>
      </c>
      <c r="P783" s="6" t="str">
        <f t="shared" si="3"/>
        <v>Viña del Mar - Valparaíso - Región de Valparaíso</v>
      </c>
      <c r="Q783" s="4" t="str">
        <f t="shared" si="4"/>
        <v>En Revisión</v>
      </c>
      <c r="R783" s="12" t="str">
        <f t="shared" si="5"/>
        <v>Riesgo Medio</v>
      </c>
    </row>
    <row r="784">
      <c r="A784" s="1" t="s">
        <v>3350</v>
      </c>
      <c r="B784" s="9" t="s">
        <v>3351</v>
      </c>
      <c r="C784" s="9" t="s">
        <v>3352</v>
      </c>
      <c r="D784" s="1" t="s">
        <v>3353</v>
      </c>
      <c r="E784" s="1" t="s">
        <v>56</v>
      </c>
      <c r="F784" s="1" t="s">
        <v>39</v>
      </c>
      <c r="G784" s="1" t="s">
        <v>40</v>
      </c>
      <c r="H784" s="2">
        <v>1.141E7</v>
      </c>
      <c r="I784" s="1">
        <v>60.0</v>
      </c>
      <c r="J784" s="9" t="s">
        <v>20</v>
      </c>
      <c r="K784" s="5">
        <v>46186.0</v>
      </c>
      <c r="L784" s="11" t="s">
        <v>160</v>
      </c>
      <c r="M784" s="11"/>
      <c r="N784" s="4" t="str">
        <f t="shared" si="1"/>
        <v>Paula Morales Muñoz</v>
      </c>
      <c r="O784" s="6" t="str">
        <f t="shared" si="2"/>
        <v>14.530.108-8</v>
      </c>
      <c r="P784" s="6" t="str">
        <f t="shared" si="3"/>
        <v>Talcahuano - Concepción - Región del Biobío</v>
      </c>
      <c r="Q784" s="4" t="str">
        <f t="shared" si="4"/>
        <v>En Revisión</v>
      </c>
      <c r="R784" s="12" t="str">
        <f t="shared" si="5"/>
        <v>Riesgo Medio</v>
      </c>
    </row>
    <row r="785">
      <c r="A785" s="1" t="s">
        <v>3282</v>
      </c>
      <c r="B785" s="9" t="s">
        <v>3283</v>
      </c>
      <c r="C785" s="9" t="s">
        <v>4876</v>
      </c>
      <c r="D785" s="1" t="s">
        <v>3285</v>
      </c>
      <c r="E785" s="1" t="s">
        <v>61</v>
      </c>
      <c r="F785" s="1" t="s">
        <v>62</v>
      </c>
      <c r="G785" s="1" t="s">
        <v>63</v>
      </c>
      <c r="H785" s="2">
        <v>670000.0</v>
      </c>
      <c r="I785" s="1">
        <v>30.0</v>
      </c>
      <c r="J785" s="9" t="s">
        <v>28</v>
      </c>
      <c r="K785" s="5">
        <v>46220.0</v>
      </c>
      <c r="L785" s="11" t="s">
        <v>207</v>
      </c>
      <c r="M785" s="11"/>
      <c r="N785" s="4" t="str">
        <f t="shared" si="1"/>
        <v>Paula Morales Pérez</v>
      </c>
      <c r="O785" s="6" t="str">
        <f t="shared" si="2"/>
        <v>13925978-2</v>
      </c>
      <c r="P785" s="6" t="str">
        <f t="shared" si="3"/>
        <v>Santiago Centro - Santiago - Región Metropolitana</v>
      </c>
      <c r="Q785" s="4" t="str">
        <f t="shared" si="4"/>
        <v>Activo</v>
      </c>
      <c r="R785" s="12" t="str">
        <f t="shared" si="5"/>
        <v>Riesgo Bajo</v>
      </c>
    </row>
    <row r="786">
      <c r="A786" s="1" t="s">
        <v>2955</v>
      </c>
      <c r="B786" s="9" t="s">
        <v>2956</v>
      </c>
      <c r="C786" s="9" t="s">
        <v>4877</v>
      </c>
      <c r="D786" s="1" t="s">
        <v>2958</v>
      </c>
      <c r="E786" s="1" t="s">
        <v>158</v>
      </c>
      <c r="F786" s="1" t="s">
        <v>158</v>
      </c>
      <c r="G786" s="1" t="s">
        <v>159</v>
      </c>
      <c r="H786" s="2">
        <v>1.93E7</v>
      </c>
      <c r="I786" s="1">
        <v>0.0</v>
      </c>
      <c r="J786" s="9" t="s">
        <v>20</v>
      </c>
      <c r="K786" s="5">
        <v>46185.0</v>
      </c>
      <c r="L786" s="11" t="s">
        <v>100</v>
      </c>
      <c r="M786" s="11"/>
      <c r="N786" s="4" t="str">
        <f t="shared" si="1"/>
        <v>Paula Morales Silva</v>
      </c>
      <c r="O786" s="6" t="str">
        <f t="shared" si="2"/>
        <v>16.201.734-5</v>
      </c>
      <c r="P786" s="6" t="str">
        <f t="shared" si="3"/>
        <v>Antofagasta - Antofagasta - Región de Antofagasta</v>
      </c>
      <c r="Q786" s="4" t="str">
        <f t="shared" si="4"/>
        <v>En Revisión</v>
      </c>
      <c r="R786" s="12" t="str">
        <f t="shared" si="5"/>
        <v>Riesgo Medio</v>
      </c>
    </row>
    <row r="787">
      <c r="A787" s="1" t="s">
        <v>4337</v>
      </c>
      <c r="B787" s="9" t="s">
        <v>4338</v>
      </c>
      <c r="C787" s="9" t="s">
        <v>4339</v>
      </c>
      <c r="D787" s="1" t="s">
        <v>4340</v>
      </c>
      <c r="E787" s="1" t="s">
        <v>45</v>
      </c>
      <c r="F787" s="1" t="s">
        <v>45</v>
      </c>
      <c r="G787" s="1" t="s">
        <v>46</v>
      </c>
      <c r="H787" s="2">
        <v>1.137E7</v>
      </c>
      <c r="I787" s="1">
        <v>45.0</v>
      </c>
      <c r="J787" s="9" t="s">
        <v>28</v>
      </c>
      <c r="K787" s="5">
        <v>46047.0</v>
      </c>
      <c r="L787" s="11" t="s">
        <v>207</v>
      </c>
      <c r="M787" s="11"/>
      <c r="N787" s="4" t="str">
        <f t="shared" si="1"/>
        <v>Paula Muñoz Pérez</v>
      </c>
      <c r="O787" s="6" t="str">
        <f t="shared" si="2"/>
        <v>15.595.705-8</v>
      </c>
      <c r="P787" s="6" t="str">
        <f t="shared" si="3"/>
        <v>Temuco - Temuco - Región de la Araucanía</v>
      </c>
      <c r="Q787" s="4" t="str">
        <f t="shared" si="4"/>
        <v>Activo</v>
      </c>
      <c r="R787" s="12" t="str">
        <f t="shared" si="5"/>
        <v>Riesgo Medio</v>
      </c>
    </row>
    <row r="788">
      <c r="A788" s="1" t="s">
        <v>1197</v>
      </c>
      <c r="B788" s="9" t="s">
        <v>1198</v>
      </c>
      <c r="C788" s="9" t="s">
        <v>1199</v>
      </c>
      <c r="D788" s="1" t="s">
        <v>1201</v>
      </c>
      <c r="E788" s="1" t="s">
        <v>109</v>
      </c>
      <c r="F788" s="1" t="s">
        <v>62</v>
      </c>
      <c r="G788" s="1" t="s">
        <v>63</v>
      </c>
      <c r="H788" s="2">
        <v>1.154E7</v>
      </c>
      <c r="I788" s="1">
        <v>15.0</v>
      </c>
      <c r="J788" s="9" t="s">
        <v>20</v>
      </c>
      <c r="K788" s="5">
        <v>46024.0</v>
      </c>
      <c r="L788" s="11" t="s">
        <v>160</v>
      </c>
      <c r="M788" s="11"/>
      <c r="N788" s="4" t="str">
        <f t="shared" si="1"/>
        <v>Paula Pérez Araya</v>
      </c>
      <c r="O788" s="6" t="str">
        <f t="shared" si="2"/>
        <v>12619604-1</v>
      </c>
      <c r="P788" s="6" t="str">
        <f t="shared" si="3"/>
        <v>Ñuñoa - Santiago - Región Metropolitana</v>
      </c>
      <c r="Q788" s="4" t="str">
        <f t="shared" si="4"/>
        <v>En Revisión</v>
      </c>
      <c r="R788" s="12" t="str">
        <f t="shared" si="5"/>
        <v>Riesgo Medio</v>
      </c>
    </row>
    <row r="789">
      <c r="A789" s="1" t="s">
        <v>3916</v>
      </c>
      <c r="B789" s="9" t="s">
        <v>3917</v>
      </c>
      <c r="C789" s="9" t="s">
        <v>4878</v>
      </c>
      <c r="D789" s="1" t="s">
        <v>3919</v>
      </c>
      <c r="E789" s="1" t="s">
        <v>61</v>
      </c>
      <c r="F789" s="1" t="s">
        <v>62</v>
      </c>
      <c r="G789" s="1" t="s">
        <v>63</v>
      </c>
      <c r="H789" s="2">
        <v>9050000.0</v>
      </c>
      <c r="I789" s="1">
        <v>60.0</v>
      </c>
      <c r="J789" s="9" t="s">
        <v>28</v>
      </c>
      <c r="K789" s="5">
        <v>46073.0</v>
      </c>
      <c r="L789" s="11" t="s">
        <v>207</v>
      </c>
      <c r="M789" s="11"/>
      <c r="N789" s="4" t="str">
        <f t="shared" si="1"/>
        <v>Paula Pérez Morales</v>
      </c>
      <c r="O789" s="6" t="str">
        <f t="shared" si="2"/>
        <v>20.901.942-9</v>
      </c>
      <c r="P789" s="6" t="str">
        <f t="shared" si="3"/>
        <v>Santiago Centro - Santiago - Región Metropolitana</v>
      </c>
      <c r="Q789" s="4" t="str">
        <f t="shared" si="4"/>
        <v>Activo</v>
      </c>
      <c r="R789" s="12" t="str">
        <f t="shared" si="5"/>
        <v>Riesgo Medio</v>
      </c>
    </row>
    <row r="790">
      <c r="A790" s="1" t="s">
        <v>2807</v>
      </c>
      <c r="B790" s="9" t="s">
        <v>2808</v>
      </c>
      <c r="C790" s="9" t="s">
        <v>2810</v>
      </c>
      <c r="D790" s="1" t="s">
        <v>2812</v>
      </c>
      <c r="E790" s="1" t="s">
        <v>61</v>
      </c>
      <c r="F790" s="1" t="s">
        <v>62</v>
      </c>
      <c r="G790" s="1" t="s">
        <v>63</v>
      </c>
      <c r="H790" s="2">
        <v>5470000.0</v>
      </c>
      <c r="I790" s="1">
        <v>15.0</v>
      </c>
      <c r="J790" s="9" t="s">
        <v>20</v>
      </c>
      <c r="K790" s="5">
        <v>46084.0</v>
      </c>
      <c r="L790" s="11" t="s">
        <v>100</v>
      </c>
      <c r="M790" s="11"/>
      <c r="N790" s="4" t="str">
        <f t="shared" si="1"/>
        <v>Paula Rojas Contreras</v>
      </c>
      <c r="O790" s="6" t="str">
        <f t="shared" si="2"/>
        <v>19.919.858-2</v>
      </c>
      <c r="P790" s="6" t="str">
        <f t="shared" si="3"/>
        <v>Santiago Centro - Santiago - Región Metropolitana</v>
      </c>
      <c r="Q790" s="4" t="str">
        <f t="shared" si="4"/>
        <v>En Revisión</v>
      </c>
      <c r="R790" s="12" t="str">
        <f t="shared" si="5"/>
        <v>Riesgo Medio</v>
      </c>
    </row>
    <row r="791">
      <c r="A791" s="1" t="s">
        <v>4116</v>
      </c>
      <c r="B791" s="9" t="s">
        <v>4117</v>
      </c>
      <c r="C791" s="9" t="s">
        <v>4118</v>
      </c>
      <c r="D791" s="1" t="s">
        <v>1351</v>
      </c>
      <c r="E791" s="1" t="s">
        <v>45</v>
      </c>
      <c r="F791" s="1" t="s">
        <v>45</v>
      </c>
      <c r="G791" s="1" t="s">
        <v>46</v>
      </c>
      <c r="H791" s="2">
        <v>9610000.0</v>
      </c>
      <c r="I791" s="1">
        <v>45.0</v>
      </c>
      <c r="J791" s="9" t="s">
        <v>28</v>
      </c>
      <c r="K791" s="5">
        <v>46222.0</v>
      </c>
      <c r="L791" s="11" t="s">
        <v>207</v>
      </c>
      <c r="M791" s="11"/>
      <c r="N791" s="4" t="str">
        <f t="shared" si="1"/>
        <v>Paula Rojas López</v>
      </c>
      <c r="O791" s="6" t="str">
        <f t="shared" si="2"/>
        <v>18.312.634-3</v>
      </c>
      <c r="P791" s="6" t="str">
        <f t="shared" si="3"/>
        <v>Temuco - Temuco - Región de la Araucanía</v>
      </c>
      <c r="Q791" s="4" t="str">
        <f t="shared" si="4"/>
        <v>Activo</v>
      </c>
      <c r="R791" s="12" t="str">
        <f t="shared" si="5"/>
        <v>Riesgo Medio</v>
      </c>
    </row>
    <row r="792">
      <c r="A792" s="1" t="s">
        <v>1348</v>
      </c>
      <c r="B792" s="9" t="s">
        <v>1349</v>
      </c>
      <c r="C792" s="9" t="s">
        <v>1350</v>
      </c>
      <c r="D792" s="1" t="s">
        <v>1351</v>
      </c>
      <c r="E792" s="1" t="s">
        <v>25</v>
      </c>
      <c r="F792" s="1" t="s">
        <v>26</v>
      </c>
      <c r="G792" s="1" t="s">
        <v>27</v>
      </c>
      <c r="H792" s="2">
        <v>8390000.0</v>
      </c>
      <c r="I792" s="1">
        <v>0.0</v>
      </c>
      <c r="J792" s="9" t="s">
        <v>28</v>
      </c>
      <c r="K792" s="5">
        <v>46023.0</v>
      </c>
      <c r="L792" s="11" t="s">
        <v>207</v>
      </c>
      <c r="M792" s="11"/>
      <c r="N792" s="4" t="str">
        <f t="shared" si="1"/>
        <v>Paula Rojas Vergara</v>
      </c>
      <c r="O792" s="6" t="str">
        <f t="shared" si="2"/>
        <v>12.722.794-2</v>
      </c>
      <c r="P792" s="6" t="str">
        <f t="shared" si="3"/>
        <v>Viña del Mar - Valparaíso - Región de Valparaíso</v>
      </c>
      <c r="Q792" s="4" t="str">
        <f t="shared" si="4"/>
        <v>Activo</v>
      </c>
      <c r="R792" s="12" t="str">
        <f t="shared" si="5"/>
        <v>Riesgo Bajo</v>
      </c>
    </row>
    <row r="793">
      <c r="A793" s="1" t="s">
        <v>3074</v>
      </c>
      <c r="B793" s="9" t="s">
        <v>3075</v>
      </c>
      <c r="C793" s="9" t="s">
        <v>4879</v>
      </c>
      <c r="D793" s="1" t="s">
        <v>3077</v>
      </c>
      <c r="E793" s="1" t="s">
        <v>72</v>
      </c>
      <c r="F793" s="1" t="s">
        <v>62</v>
      </c>
      <c r="G793" s="1" t="s">
        <v>63</v>
      </c>
      <c r="H793" s="2">
        <v>1.306E7</v>
      </c>
      <c r="I793" s="1">
        <v>30.0</v>
      </c>
      <c r="J793" s="9" t="s">
        <v>97</v>
      </c>
      <c r="K793" s="5">
        <v>46133.0</v>
      </c>
      <c r="L793" s="11" t="s">
        <v>100</v>
      </c>
      <c r="M793" s="11"/>
      <c r="N793" s="4" t="str">
        <f t="shared" si="1"/>
        <v>Paula Sepúlveda Sepúlveda</v>
      </c>
      <c r="O793" s="6" t="str">
        <f t="shared" si="2"/>
        <v>19.452.816-9</v>
      </c>
      <c r="P793" s="6" t="str">
        <f t="shared" si="3"/>
        <v>Providencia - Santiago - Región Metropolitana</v>
      </c>
      <c r="Q793" s="4" t="str">
        <f t="shared" si="4"/>
        <v>Inactivo</v>
      </c>
      <c r="R793" s="12" t="str">
        <f t="shared" si="5"/>
        <v>Riesgo Bajo</v>
      </c>
    </row>
    <row r="794">
      <c r="A794" s="1" t="s">
        <v>3311</v>
      </c>
      <c r="B794" s="9" t="s">
        <v>3312</v>
      </c>
      <c r="C794" s="9" t="s">
        <v>3313</v>
      </c>
      <c r="D794" s="1" t="s">
        <v>3314</v>
      </c>
      <c r="E794" s="1" t="s">
        <v>18</v>
      </c>
      <c r="F794" s="1" t="s">
        <v>18</v>
      </c>
      <c r="G794" s="1" t="s">
        <v>19</v>
      </c>
      <c r="H794" s="2">
        <v>4480000.0</v>
      </c>
      <c r="I794" s="1">
        <v>45.0</v>
      </c>
      <c r="J794" s="9" t="s">
        <v>97</v>
      </c>
      <c r="K794" s="5">
        <v>46223.0</v>
      </c>
      <c r="L794" s="11" t="s">
        <v>207</v>
      </c>
      <c r="M794" s="11"/>
      <c r="N794" s="4" t="str">
        <f t="shared" si="1"/>
        <v>Paula Silva Morales</v>
      </c>
      <c r="O794" s="6" t="str">
        <f t="shared" si="2"/>
        <v>16.063.861-7</v>
      </c>
      <c r="P794" s="6" t="str">
        <f t="shared" si="3"/>
        <v>La Serena - La Serena - Región de Coquimbo</v>
      </c>
      <c r="Q794" s="4" t="str">
        <f t="shared" si="4"/>
        <v>Inactivo</v>
      </c>
      <c r="R794" s="12" t="str">
        <f t="shared" si="5"/>
        <v>Riesgo Medio</v>
      </c>
    </row>
    <row r="795">
      <c r="A795" s="1" t="s">
        <v>2776</v>
      </c>
      <c r="B795" s="9" t="s">
        <v>2777</v>
      </c>
      <c r="C795" s="9" t="s">
        <v>4880</v>
      </c>
      <c r="D795" s="1" t="s">
        <v>2779</v>
      </c>
      <c r="E795" s="1" t="s">
        <v>194</v>
      </c>
      <c r="F795" s="1" t="s">
        <v>62</v>
      </c>
      <c r="G795" s="1" t="s">
        <v>63</v>
      </c>
      <c r="H795" s="2">
        <v>1500000.0</v>
      </c>
      <c r="I795" s="1">
        <v>0.0</v>
      </c>
      <c r="J795" s="9" t="s">
        <v>28</v>
      </c>
      <c r="K795" s="5">
        <v>46137.0</v>
      </c>
      <c r="L795" s="11" t="s">
        <v>100</v>
      </c>
      <c r="M795" s="11"/>
      <c r="N795" s="4" t="str">
        <f t="shared" si="1"/>
        <v>Paula Silva Muñoz</v>
      </c>
      <c r="O795" s="6" t="str">
        <f t="shared" si="2"/>
        <v>19.868.589-5</v>
      </c>
      <c r="P795" s="6" t="str">
        <f t="shared" si="3"/>
        <v>Las Condes - Santiago - Región Metropolitana</v>
      </c>
      <c r="Q795" s="4" t="str">
        <f t="shared" si="4"/>
        <v>Activo</v>
      </c>
      <c r="R795" s="12" t="str">
        <f t="shared" si="5"/>
        <v>Riesgo Bajo</v>
      </c>
    </row>
    <row r="796">
      <c r="A796" s="1" t="s">
        <v>4789</v>
      </c>
      <c r="B796" s="9" t="s">
        <v>4790</v>
      </c>
      <c r="C796" s="9" t="s">
        <v>4880</v>
      </c>
      <c r="D796" s="1" t="s">
        <v>3668</v>
      </c>
      <c r="E796" s="1" t="s">
        <v>39</v>
      </c>
      <c r="F796" s="1" t="s">
        <v>39</v>
      </c>
      <c r="G796" s="1" t="s">
        <v>40</v>
      </c>
      <c r="H796" s="2">
        <v>2.069E7</v>
      </c>
      <c r="I796" s="1">
        <v>60.0</v>
      </c>
      <c r="J796" s="9" t="s">
        <v>20</v>
      </c>
      <c r="K796" s="5">
        <v>46183.0</v>
      </c>
      <c r="L796" s="11" t="s">
        <v>160</v>
      </c>
      <c r="M796" s="11"/>
      <c r="N796" s="4" t="str">
        <f t="shared" si="1"/>
        <v>Paula Silva Muñoz</v>
      </c>
      <c r="O796" s="6" t="str">
        <f t="shared" si="2"/>
        <v>19.238.374-2</v>
      </c>
      <c r="P796" s="6" t="str">
        <f t="shared" si="3"/>
        <v>Concepción - Concepción - Región del Biobío</v>
      </c>
      <c r="Q796" s="4" t="str">
        <f t="shared" si="4"/>
        <v>En Revisión</v>
      </c>
      <c r="R796" s="12" t="str">
        <f t="shared" si="5"/>
        <v>Riesgo Medio</v>
      </c>
    </row>
    <row r="797">
      <c r="A797" s="1" t="s">
        <v>3664</v>
      </c>
      <c r="B797" s="9" t="s">
        <v>3665</v>
      </c>
      <c r="C797" s="9" t="s">
        <v>3666</v>
      </c>
      <c r="D797" s="1" t="s">
        <v>3668</v>
      </c>
      <c r="E797" s="1" t="s">
        <v>194</v>
      </c>
      <c r="F797" s="1" t="s">
        <v>62</v>
      </c>
      <c r="G797" s="1" t="s">
        <v>63</v>
      </c>
      <c r="H797" s="2">
        <v>1.494E7</v>
      </c>
      <c r="I797" s="1">
        <v>0.0</v>
      </c>
      <c r="J797" s="9" t="s">
        <v>97</v>
      </c>
      <c r="K797" s="5">
        <v>46130.0</v>
      </c>
      <c r="L797" s="11" t="s">
        <v>181</v>
      </c>
      <c r="M797" s="11"/>
      <c r="N797" s="4" t="str">
        <f t="shared" si="1"/>
        <v>Paula Silva Rodríguez</v>
      </c>
      <c r="O797" s="6" t="str">
        <f t="shared" si="2"/>
        <v>15.160.951-5</v>
      </c>
      <c r="P797" s="6" t="str">
        <f t="shared" si="3"/>
        <v>Las Condes - Santiago - Región Metropolitana</v>
      </c>
      <c r="Q797" s="4" t="str">
        <f t="shared" si="4"/>
        <v>Inactivo</v>
      </c>
      <c r="R797" s="12" t="str">
        <f t="shared" si="5"/>
        <v>Riesgo Bajo</v>
      </c>
    </row>
    <row r="798">
      <c r="A798" s="1" t="s">
        <v>2646</v>
      </c>
      <c r="B798" s="9" t="s">
        <v>2647</v>
      </c>
      <c r="C798" s="9" t="s">
        <v>2648</v>
      </c>
      <c r="D798" s="1" t="s">
        <v>2649</v>
      </c>
      <c r="E798" s="1" t="s">
        <v>26</v>
      </c>
      <c r="F798" s="1" t="s">
        <v>26</v>
      </c>
      <c r="G798" s="1" t="s">
        <v>27</v>
      </c>
      <c r="H798" s="2">
        <v>1.58E7</v>
      </c>
      <c r="I798" s="1">
        <v>0.0</v>
      </c>
      <c r="J798" s="9" t="s">
        <v>20</v>
      </c>
      <c r="K798" s="5">
        <v>46039.0</v>
      </c>
      <c r="L798" s="11" t="s">
        <v>199</v>
      </c>
      <c r="M798" s="11"/>
      <c r="N798" s="4" t="str">
        <f t="shared" si="1"/>
        <v>Paula Tapia Espinoza</v>
      </c>
      <c r="O798" s="6" t="str">
        <f t="shared" si="2"/>
        <v>13.044.577-K</v>
      </c>
      <c r="P798" s="6" t="str">
        <f t="shared" si="3"/>
        <v>Valparaíso - Valparaíso - Región de Valparaíso</v>
      </c>
      <c r="Q798" s="4" t="str">
        <f t="shared" si="4"/>
        <v>En Revisión</v>
      </c>
      <c r="R798" s="12" t="str">
        <f t="shared" si="5"/>
        <v>Riesgo Medio</v>
      </c>
    </row>
    <row r="799">
      <c r="A799" s="1" t="s">
        <v>4504</v>
      </c>
      <c r="B799" s="9" t="s">
        <v>4505</v>
      </c>
      <c r="C799" s="9" t="s">
        <v>4506</v>
      </c>
      <c r="D799" s="1" t="s">
        <v>2649</v>
      </c>
      <c r="E799" s="1" t="s">
        <v>18</v>
      </c>
      <c r="F799" s="1" t="s">
        <v>18</v>
      </c>
      <c r="G799" s="1" t="s">
        <v>19</v>
      </c>
      <c r="H799" s="2">
        <v>9200000.0</v>
      </c>
      <c r="I799" s="1">
        <v>30.0</v>
      </c>
      <c r="J799" s="9" t="s">
        <v>20</v>
      </c>
      <c r="K799" s="5">
        <v>46204.0</v>
      </c>
      <c r="L799" s="11" t="s">
        <v>207</v>
      </c>
      <c r="M799" s="11"/>
      <c r="N799" s="4" t="str">
        <f t="shared" si="1"/>
        <v>Paula Tapia Muñoz</v>
      </c>
      <c r="O799" s="6" t="str">
        <f t="shared" si="2"/>
        <v>18.589.730-4</v>
      </c>
      <c r="P799" s="6" t="str">
        <f t="shared" si="3"/>
        <v>La Serena - La Serena - Región de Coquimbo</v>
      </c>
      <c r="Q799" s="4" t="str">
        <f t="shared" si="4"/>
        <v>En Revisión</v>
      </c>
      <c r="R799" s="12" t="str">
        <f t="shared" si="5"/>
        <v>Riesgo Medio</v>
      </c>
    </row>
    <row r="800">
      <c r="A800" s="1" t="s">
        <v>1476</v>
      </c>
      <c r="B800" s="9" t="s">
        <v>1478</v>
      </c>
      <c r="C800" s="9" t="s">
        <v>1479</v>
      </c>
      <c r="D800" s="1" t="s">
        <v>1480</v>
      </c>
      <c r="E800" s="1" t="s">
        <v>61</v>
      </c>
      <c r="F800" s="1" t="s">
        <v>62</v>
      </c>
      <c r="G800" s="1" t="s">
        <v>63</v>
      </c>
      <c r="H800" s="2">
        <v>1.988E7</v>
      </c>
      <c r="I800" s="1">
        <v>45.0</v>
      </c>
      <c r="J800" s="9" t="s">
        <v>97</v>
      </c>
      <c r="K800" s="5">
        <v>46032.0</v>
      </c>
      <c r="L800" s="11" t="s">
        <v>160</v>
      </c>
      <c r="M800" s="11"/>
      <c r="N800" s="4" t="str">
        <f t="shared" si="1"/>
        <v>Paula Valenzuela Espinoza</v>
      </c>
      <c r="O800" s="6" t="str">
        <f t="shared" si="2"/>
        <v>22.022.194-3</v>
      </c>
      <c r="P800" s="6" t="str">
        <f t="shared" si="3"/>
        <v>Santiago Centro - Santiago - Región Metropolitana</v>
      </c>
      <c r="Q800" s="4" t="str">
        <f t="shared" si="4"/>
        <v>Inactivo</v>
      </c>
      <c r="R800" s="12" t="str">
        <f t="shared" si="5"/>
        <v>Riesgo Medio</v>
      </c>
    </row>
    <row r="801">
      <c r="A801" s="1" t="s">
        <v>4156</v>
      </c>
      <c r="B801" s="9" t="s">
        <v>4157</v>
      </c>
      <c r="C801" s="9" t="s">
        <v>4881</v>
      </c>
      <c r="D801" s="1" t="s">
        <v>4159</v>
      </c>
      <c r="E801" s="1" t="s">
        <v>25</v>
      </c>
      <c r="F801" s="1" t="s">
        <v>26</v>
      </c>
      <c r="G801" s="1" t="s">
        <v>27</v>
      </c>
      <c r="H801" s="2">
        <v>1.795E7</v>
      </c>
      <c r="I801" s="1">
        <v>0.0</v>
      </c>
      <c r="J801" s="9" t="s">
        <v>28</v>
      </c>
      <c r="K801" s="5">
        <v>46128.0</v>
      </c>
      <c r="L801" s="11" t="s">
        <v>100</v>
      </c>
      <c r="M801" s="11"/>
      <c r="N801" s="4" t="str">
        <f t="shared" si="1"/>
        <v>Paula Valenzuela Valenzuela</v>
      </c>
      <c r="O801" s="6" t="str">
        <f t="shared" si="2"/>
        <v>15.955.249-4</v>
      </c>
      <c r="P801" s="6" t="str">
        <f t="shared" si="3"/>
        <v>Viña del Mar - Valparaíso - Región de Valparaíso</v>
      </c>
      <c r="Q801" s="4" t="str">
        <f t="shared" si="4"/>
        <v>Activo</v>
      </c>
      <c r="R801" s="12" t="str">
        <f t="shared" si="5"/>
        <v>Riesgo Bajo</v>
      </c>
    </row>
    <row r="802">
      <c r="A802" s="1" t="s">
        <v>2876</v>
      </c>
      <c r="B802" s="9" t="s">
        <v>2877</v>
      </c>
      <c r="C802" s="9" t="s">
        <v>4882</v>
      </c>
      <c r="D802" s="1" t="s">
        <v>2879</v>
      </c>
      <c r="E802" s="1" t="s">
        <v>72</v>
      </c>
      <c r="F802" s="1" t="s">
        <v>62</v>
      </c>
      <c r="G802" s="1" t="s">
        <v>63</v>
      </c>
      <c r="H802" s="2">
        <v>1.656E7</v>
      </c>
      <c r="I802" s="1">
        <v>30.0</v>
      </c>
      <c r="J802" s="9" t="s">
        <v>28</v>
      </c>
      <c r="K802" s="5">
        <v>46123.0</v>
      </c>
      <c r="L802" s="11" t="s">
        <v>160</v>
      </c>
      <c r="M802" s="11"/>
      <c r="N802" s="4" t="str">
        <f t="shared" si="1"/>
        <v>Paula Vergara Silva</v>
      </c>
      <c r="O802" s="6" t="str">
        <f t="shared" si="2"/>
        <v>17.428.855-K</v>
      </c>
      <c r="P802" s="6" t="str">
        <f t="shared" si="3"/>
        <v>Providencia - Santiago - Región Metropolitana</v>
      </c>
      <c r="Q802" s="4" t="str">
        <f t="shared" si="4"/>
        <v>Activo</v>
      </c>
      <c r="R802" s="12" t="str">
        <f t="shared" si="5"/>
        <v>Riesgo Bajo</v>
      </c>
    </row>
    <row r="803">
      <c r="A803" s="1" t="s">
        <v>2298</v>
      </c>
      <c r="B803" s="9" t="s">
        <v>2299</v>
      </c>
      <c r="C803" s="9" t="s">
        <v>2300</v>
      </c>
      <c r="D803" s="1" t="s">
        <v>2301</v>
      </c>
      <c r="E803" s="1" t="s">
        <v>158</v>
      </c>
      <c r="F803" s="1" t="s">
        <v>158</v>
      </c>
      <c r="G803" s="1" t="s">
        <v>159</v>
      </c>
      <c r="H803" s="2">
        <v>2.181E7</v>
      </c>
      <c r="I803" s="1">
        <v>90.0</v>
      </c>
      <c r="J803" s="9" t="s">
        <v>28</v>
      </c>
      <c r="K803" s="5">
        <v>46170.0</v>
      </c>
      <c r="L803" s="11" t="s">
        <v>160</v>
      </c>
      <c r="M803" s="11"/>
      <c r="N803" s="4" t="str">
        <f t="shared" si="1"/>
        <v>Rodrigo Araya Contreras</v>
      </c>
      <c r="O803" s="6" t="str">
        <f t="shared" si="2"/>
        <v>13.024.456-3</v>
      </c>
      <c r="P803" s="6" t="str">
        <f t="shared" si="3"/>
        <v>Antofagasta - Antofagasta - Región de Antofagasta</v>
      </c>
      <c r="Q803" s="4" t="str">
        <f t="shared" si="4"/>
        <v>Activo</v>
      </c>
      <c r="R803" s="12" t="str">
        <f t="shared" si="5"/>
        <v>Riesgo Alto</v>
      </c>
    </row>
    <row r="804">
      <c r="A804" s="1" t="s">
        <v>4178</v>
      </c>
      <c r="B804" s="9" t="s">
        <v>4179</v>
      </c>
      <c r="C804" s="9" t="s">
        <v>4180</v>
      </c>
      <c r="D804" s="1" t="s">
        <v>3072</v>
      </c>
      <c r="E804" s="1" t="s">
        <v>109</v>
      </c>
      <c r="F804" s="1" t="s">
        <v>62</v>
      </c>
      <c r="G804" s="1" t="s">
        <v>63</v>
      </c>
      <c r="H804" s="2">
        <v>1.119E7</v>
      </c>
      <c r="I804" s="1">
        <v>60.0</v>
      </c>
      <c r="J804" s="9" t="s">
        <v>20</v>
      </c>
      <c r="K804" s="5">
        <v>46037.0</v>
      </c>
      <c r="L804" s="11" t="s">
        <v>181</v>
      </c>
      <c r="M804" s="11"/>
      <c r="N804" s="4" t="str">
        <f t="shared" si="1"/>
        <v>Rodrigo Contreras Sepúlveda</v>
      </c>
      <c r="O804" s="6" t="str">
        <f t="shared" si="2"/>
        <v>22.117.907-7</v>
      </c>
      <c r="P804" s="6" t="str">
        <f t="shared" si="3"/>
        <v>Ñuñoa - Santiago - Región Metropolitana</v>
      </c>
      <c r="Q804" s="4" t="str">
        <f t="shared" si="4"/>
        <v>En Revisión</v>
      </c>
      <c r="R804" s="12" t="str">
        <f t="shared" si="5"/>
        <v>Riesgo Medio</v>
      </c>
    </row>
    <row r="805">
      <c r="A805" s="1" t="s">
        <v>3066</v>
      </c>
      <c r="B805" s="9" t="s">
        <v>3068</v>
      </c>
      <c r="C805" s="9" t="s">
        <v>4883</v>
      </c>
      <c r="D805" s="1" t="s">
        <v>3072</v>
      </c>
      <c r="E805" s="1" t="s">
        <v>158</v>
      </c>
      <c r="F805" s="1" t="s">
        <v>158</v>
      </c>
      <c r="G805" s="1" t="s">
        <v>159</v>
      </c>
      <c r="H805" s="2">
        <v>3090000.0</v>
      </c>
      <c r="I805" s="1">
        <v>30.0</v>
      </c>
      <c r="J805" s="9" t="s">
        <v>20</v>
      </c>
      <c r="K805" s="5">
        <v>46160.0</v>
      </c>
      <c r="L805" s="11" t="s">
        <v>160</v>
      </c>
      <c r="M805" s="11"/>
      <c r="N805" s="4" t="str">
        <f t="shared" si="1"/>
        <v>Rodrigo Contreras Soto</v>
      </c>
      <c r="O805" s="6" t="str">
        <f t="shared" si="2"/>
        <v>13411907-8</v>
      </c>
      <c r="P805" s="6" t="str">
        <f t="shared" si="3"/>
        <v>Antofagasta - Antofagasta - Región de Antofagasta</v>
      </c>
      <c r="Q805" s="4" t="str">
        <f t="shared" si="4"/>
        <v>En Revisión</v>
      </c>
      <c r="R805" s="12" t="str">
        <f t="shared" si="5"/>
        <v>Riesgo Medio</v>
      </c>
    </row>
    <row r="806">
      <c r="A806" s="1" t="s">
        <v>4598</v>
      </c>
      <c r="B806" s="9" t="s">
        <v>4599</v>
      </c>
      <c r="C806" s="9" t="s">
        <v>4600</v>
      </c>
      <c r="D806" s="1" t="s">
        <v>4601</v>
      </c>
      <c r="E806" s="1" t="s">
        <v>39</v>
      </c>
      <c r="F806" s="1" t="s">
        <v>39</v>
      </c>
      <c r="G806" s="1" t="s">
        <v>40</v>
      </c>
      <c r="H806" s="2">
        <v>1.662E7</v>
      </c>
      <c r="I806" s="1">
        <v>90.0</v>
      </c>
      <c r="J806" s="9" t="s">
        <v>20</v>
      </c>
      <c r="K806" s="5">
        <v>46065.0</v>
      </c>
      <c r="L806" s="11" t="s">
        <v>160</v>
      </c>
      <c r="M806" s="11"/>
      <c r="N806" s="4" t="str">
        <f t="shared" si="1"/>
        <v>Rodrigo Contreras Tapia</v>
      </c>
      <c r="O806" s="6" t="str">
        <f t="shared" si="2"/>
        <v>17.700.855-2</v>
      </c>
      <c r="P806" s="6" t="str">
        <f t="shared" si="3"/>
        <v>Concepción - Concepción - Región del Biobío</v>
      </c>
      <c r="Q806" s="4" t="str">
        <f t="shared" si="4"/>
        <v>En Revisión</v>
      </c>
      <c r="R806" s="12" t="str">
        <f t="shared" si="5"/>
        <v>Riesgo Medio</v>
      </c>
    </row>
    <row r="807">
      <c r="A807" s="1" t="s">
        <v>1684</v>
      </c>
      <c r="B807" s="9" t="s">
        <v>1685</v>
      </c>
      <c r="C807" s="9" t="s">
        <v>4884</v>
      </c>
      <c r="D807" s="1" t="s">
        <v>1689</v>
      </c>
      <c r="E807" s="1" t="s">
        <v>25</v>
      </c>
      <c r="F807" s="1" t="s">
        <v>26</v>
      </c>
      <c r="G807" s="1" t="s">
        <v>27</v>
      </c>
      <c r="H807" s="2">
        <v>1.424E7</v>
      </c>
      <c r="I807" s="1">
        <v>120.0</v>
      </c>
      <c r="J807" s="9" t="s">
        <v>97</v>
      </c>
      <c r="K807" s="5">
        <v>46174.0</v>
      </c>
      <c r="L807" s="11" t="s">
        <v>207</v>
      </c>
      <c r="M807" s="11"/>
      <c r="N807" s="4" t="str">
        <f t="shared" si="1"/>
        <v>Rodrigo Díaz López</v>
      </c>
      <c r="O807" s="6" t="str">
        <f t="shared" si="2"/>
        <v>21.302.188-7</v>
      </c>
      <c r="P807" s="6" t="str">
        <f t="shared" si="3"/>
        <v>Viña del Mar - Valparaíso - Región de Valparaíso</v>
      </c>
      <c r="Q807" s="4" t="str">
        <f t="shared" si="4"/>
        <v>Inactivo</v>
      </c>
      <c r="R807" s="12" t="str">
        <f t="shared" si="5"/>
        <v>Riesgo Medio</v>
      </c>
    </row>
    <row r="808">
      <c r="A808" s="1" t="s">
        <v>1894</v>
      </c>
      <c r="B808" s="9" t="s">
        <v>1895</v>
      </c>
      <c r="C808" s="9" t="s">
        <v>1896</v>
      </c>
      <c r="D808" s="1" t="s">
        <v>1897</v>
      </c>
      <c r="E808" s="1" t="s">
        <v>25</v>
      </c>
      <c r="F808" s="1" t="s">
        <v>26</v>
      </c>
      <c r="G808" s="1" t="s">
        <v>27</v>
      </c>
      <c r="H808" s="2">
        <v>1.187E7</v>
      </c>
      <c r="I808" s="1">
        <v>45.0</v>
      </c>
      <c r="J808" s="9" t="s">
        <v>28</v>
      </c>
      <c r="K808" s="5">
        <v>46183.0</v>
      </c>
      <c r="L808" s="11" t="s">
        <v>160</v>
      </c>
      <c r="M808" s="11"/>
      <c r="N808" s="4" t="str">
        <f t="shared" si="1"/>
        <v>Rodrigo Espinoza Contreras</v>
      </c>
      <c r="O808" s="6" t="str">
        <f t="shared" si="2"/>
        <v>17918884-4</v>
      </c>
      <c r="P808" s="6" t="str">
        <f t="shared" si="3"/>
        <v>Viña del Mar - Valparaíso - Región de Valparaíso</v>
      </c>
      <c r="Q808" s="4" t="str">
        <f t="shared" si="4"/>
        <v>Activo</v>
      </c>
      <c r="R808" s="12" t="str">
        <f t="shared" si="5"/>
        <v>Riesgo Medio</v>
      </c>
    </row>
    <row r="809">
      <c r="A809" s="1" t="s">
        <v>3691</v>
      </c>
      <c r="B809" s="9" t="s">
        <v>3692</v>
      </c>
      <c r="C809" s="9" t="s">
        <v>3693</v>
      </c>
      <c r="D809" s="1" t="s">
        <v>3694</v>
      </c>
      <c r="E809" s="1" t="s">
        <v>18</v>
      </c>
      <c r="F809" s="1" t="s">
        <v>18</v>
      </c>
      <c r="G809" s="1" t="s">
        <v>19</v>
      </c>
      <c r="H809" s="2">
        <v>1.01E7</v>
      </c>
      <c r="I809" s="1">
        <v>0.0</v>
      </c>
      <c r="J809" s="9" t="s">
        <v>28</v>
      </c>
      <c r="K809" s="5">
        <v>46059.0</v>
      </c>
      <c r="L809" s="11" t="s">
        <v>207</v>
      </c>
      <c r="M809" s="11"/>
      <c r="N809" s="4" t="str">
        <f t="shared" si="1"/>
        <v>Rodrigo Espinoza Vergara</v>
      </c>
      <c r="O809" s="6" t="str">
        <f t="shared" si="2"/>
        <v>14.693.736-7</v>
      </c>
      <c r="P809" s="6" t="str">
        <f t="shared" si="3"/>
        <v>La Serena - La Serena - Región de Coquimbo</v>
      </c>
      <c r="Q809" s="4" t="str">
        <f t="shared" si="4"/>
        <v>Activo</v>
      </c>
      <c r="R809" s="12" t="str">
        <f t="shared" si="5"/>
        <v>Riesgo Bajo</v>
      </c>
    </row>
    <row r="810">
      <c r="A810" s="1" t="s">
        <v>2037</v>
      </c>
      <c r="B810" s="9" t="s">
        <v>2038</v>
      </c>
      <c r="C810" s="9" t="s">
        <v>4885</v>
      </c>
      <c r="D810" s="1" t="s">
        <v>2040</v>
      </c>
      <c r="E810" s="1" t="s">
        <v>194</v>
      </c>
      <c r="F810" s="1" t="s">
        <v>62</v>
      </c>
      <c r="G810" s="1" t="s">
        <v>63</v>
      </c>
      <c r="H810" s="2">
        <v>3140000.0</v>
      </c>
      <c r="I810" s="1">
        <v>120.0</v>
      </c>
      <c r="J810" s="9" t="s">
        <v>20</v>
      </c>
      <c r="K810" s="5">
        <v>46216.0</v>
      </c>
      <c r="L810" s="11" t="s">
        <v>100</v>
      </c>
      <c r="M810" s="11"/>
      <c r="N810" s="4" t="str">
        <f t="shared" si="1"/>
        <v>Rodrigo Fuentes Araya</v>
      </c>
      <c r="O810" s="6" t="str">
        <f t="shared" si="2"/>
        <v>21.074.922-3</v>
      </c>
      <c r="P810" s="6" t="str">
        <f t="shared" si="3"/>
        <v>Las Condes - Santiago - Región Metropolitana</v>
      </c>
      <c r="Q810" s="4" t="str">
        <f t="shared" si="4"/>
        <v>En Revisión</v>
      </c>
      <c r="R810" s="12" t="str">
        <f t="shared" si="5"/>
        <v>Riesgo Medio</v>
      </c>
    </row>
    <row r="811">
      <c r="A811" s="1" t="s">
        <v>2921</v>
      </c>
      <c r="B811" s="9" t="s">
        <v>2922</v>
      </c>
      <c r="C811" s="9" t="s">
        <v>2923</v>
      </c>
      <c r="D811" s="1" t="s">
        <v>2040</v>
      </c>
      <c r="E811" s="1" t="s">
        <v>26</v>
      </c>
      <c r="F811" s="1" t="s">
        <v>26</v>
      </c>
      <c r="G811" s="1" t="s">
        <v>27</v>
      </c>
      <c r="H811" s="2">
        <v>2.159E7</v>
      </c>
      <c r="I811" s="1">
        <v>0.0</v>
      </c>
      <c r="J811" s="9" t="s">
        <v>28</v>
      </c>
      <c r="K811" s="5">
        <v>46046.0</v>
      </c>
      <c r="L811" s="11" t="s">
        <v>207</v>
      </c>
      <c r="M811" s="11"/>
      <c r="N811" s="4" t="str">
        <f t="shared" si="1"/>
        <v>Rodrigo Fuentes Rojas</v>
      </c>
      <c r="O811" s="6" t="str">
        <f t="shared" si="2"/>
        <v>13611488-2</v>
      </c>
      <c r="P811" s="6" t="str">
        <f t="shared" si="3"/>
        <v>Valparaíso - Valparaíso - Región de Valparaíso</v>
      </c>
      <c r="Q811" s="4" t="str">
        <f t="shared" si="4"/>
        <v>Activo</v>
      </c>
      <c r="R811" s="12" t="str">
        <f t="shared" si="5"/>
        <v>Riesgo Bajo</v>
      </c>
    </row>
    <row r="812">
      <c r="A812" s="1" t="s">
        <v>4242</v>
      </c>
      <c r="B812" s="9" t="s">
        <v>4243</v>
      </c>
      <c r="C812" s="9" t="s">
        <v>4886</v>
      </c>
      <c r="D812" s="1" t="s">
        <v>2040</v>
      </c>
      <c r="E812" s="1" t="s">
        <v>109</v>
      </c>
      <c r="F812" s="1" t="s">
        <v>62</v>
      </c>
      <c r="G812" s="1" t="s">
        <v>63</v>
      </c>
      <c r="H812" s="2">
        <v>2.062E7</v>
      </c>
      <c r="I812" s="1">
        <v>120.0</v>
      </c>
      <c r="J812" s="9" t="s">
        <v>28</v>
      </c>
      <c r="K812" s="5">
        <v>46208.0</v>
      </c>
      <c r="L812" s="11" t="s">
        <v>207</v>
      </c>
      <c r="M812" s="11"/>
      <c r="N812" s="4" t="str">
        <f t="shared" si="1"/>
        <v>Rodrigo Fuentes Vergara</v>
      </c>
      <c r="O812" s="6" t="str">
        <f t="shared" si="2"/>
        <v>19.743.139-4</v>
      </c>
      <c r="P812" s="6" t="str">
        <f t="shared" si="3"/>
        <v>Ñuñoa - Santiago - Región Metropolitana</v>
      </c>
      <c r="Q812" s="4" t="str">
        <f t="shared" si="4"/>
        <v>Activo</v>
      </c>
      <c r="R812" s="12" t="str">
        <f t="shared" si="5"/>
        <v>Riesgo Alto</v>
      </c>
    </row>
    <row r="813">
      <c r="A813" s="1" t="s">
        <v>2375</v>
      </c>
      <c r="B813" s="9" t="s">
        <v>2377</v>
      </c>
      <c r="C813" s="9" t="s">
        <v>4887</v>
      </c>
      <c r="D813" s="1" t="s">
        <v>2379</v>
      </c>
      <c r="E813" s="1" t="s">
        <v>109</v>
      </c>
      <c r="F813" s="1" t="s">
        <v>62</v>
      </c>
      <c r="G813" s="1" t="s">
        <v>63</v>
      </c>
      <c r="H813" s="2">
        <v>2.174E7</v>
      </c>
      <c r="I813" s="1">
        <v>90.0</v>
      </c>
      <c r="J813" s="9" t="s">
        <v>28</v>
      </c>
      <c r="K813" s="5">
        <v>46114.0</v>
      </c>
      <c r="L813" s="11" t="s">
        <v>100</v>
      </c>
      <c r="M813" s="11"/>
      <c r="N813" s="4" t="str">
        <f t="shared" si="1"/>
        <v>Rodrigo López Soto</v>
      </c>
      <c r="O813" s="6" t="str">
        <f t="shared" si="2"/>
        <v>17.108.951-7</v>
      </c>
      <c r="P813" s="6" t="str">
        <f t="shared" si="3"/>
        <v>Ñuñoa - Santiago - Región Metropolitana</v>
      </c>
      <c r="Q813" s="4" t="str">
        <f t="shared" si="4"/>
        <v>Activo</v>
      </c>
      <c r="R813" s="12" t="str">
        <f t="shared" si="5"/>
        <v>Riesgo Alto</v>
      </c>
    </row>
    <row r="814">
      <c r="A814" s="1" t="s">
        <v>4665</v>
      </c>
      <c r="B814" s="9" t="s">
        <v>4666</v>
      </c>
      <c r="C814" s="9" t="s">
        <v>4667</v>
      </c>
      <c r="D814" s="1" t="s">
        <v>4668</v>
      </c>
      <c r="E814" s="1" t="s">
        <v>39</v>
      </c>
      <c r="F814" s="1" t="s">
        <v>39</v>
      </c>
      <c r="G814" s="1" t="s">
        <v>40</v>
      </c>
      <c r="H814" s="2">
        <v>1.843E7</v>
      </c>
      <c r="I814" s="1">
        <v>60.0</v>
      </c>
      <c r="J814" s="9" t="s">
        <v>97</v>
      </c>
      <c r="K814" s="5">
        <v>46166.0</v>
      </c>
      <c r="L814" s="11" t="s">
        <v>207</v>
      </c>
      <c r="M814" s="11"/>
      <c r="N814" s="4" t="str">
        <f t="shared" si="1"/>
        <v>Rodrigo Morales Díaz</v>
      </c>
      <c r="O814" s="6" t="str">
        <f t="shared" si="2"/>
        <v>15686862-6</v>
      </c>
      <c r="P814" s="6" t="str">
        <f t="shared" si="3"/>
        <v>Concepción - Concepción - Región del Biobío</v>
      </c>
      <c r="Q814" s="4" t="str">
        <f t="shared" si="4"/>
        <v>Inactivo</v>
      </c>
      <c r="R814" s="12" t="str">
        <f t="shared" si="5"/>
        <v>Riesgo Medio</v>
      </c>
    </row>
    <row r="815">
      <c r="A815" s="1" t="s">
        <v>4698</v>
      </c>
      <c r="B815" s="9" t="s">
        <v>4699</v>
      </c>
      <c r="C815" s="9" t="s">
        <v>4667</v>
      </c>
      <c r="D815" s="1" t="s">
        <v>4700</v>
      </c>
      <c r="E815" s="1" t="s">
        <v>109</v>
      </c>
      <c r="F815" s="1" t="s">
        <v>62</v>
      </c>
      <c r="G815" s="1" t="s">
        <v>63</v>
      </c>
      <c r="H815" s="2">
        <v>3070000.0</v>
      </c>
      <c r="I815" s="1">
        <v>30.0</v>
      </c>
      <c r="J815" s="9" t="s">
        <v>28</v>
      </c>
      <c r="K815" s="5">
        <v>46178.0</v>
      </c>
      <c r="L815" s="11" t="s">
        <v>100</v>
      </c>
      <c r="M815" s="11"/>
      <c r="N815" s="4" t="str">
        <f t="shared" si="1"/>
        <v>Rodrigo Morales Díaz</v>
      </c>
      <c r="O815" s="6" t="str">
        <f t="shared" si="2"/>
        <v>12.762.444-8</v>
      </c>
      <c r="P815" s="6" t="str">
        <f t="shared" si="3"/>
        <v>Ñuñoa - Santiago - Región Metropolitana</v>
      </c>
      <c r="Q815" s="4" t="str">
        <f t="shared" si="4"/>
        <v>Activo</v>
      </c>
      <c r="R815" s="12" t="str">
        <f t="shared" si="5"/>
        <v>Riesgo Bajo</v>
      </c>
    </row>
    <row r="816">
      <c r="A816" s="1" t="s">
        <v>4678</v>
      </c>
      <c r="B816" s="9" t="s">
        <v>4679</v>
      </c>
      <c r="C816" s="9" t="s">
        <v>4888</v>
      </c>
      <c r="D816" s="1" t="s">
        <v>4681</v>
      </c>
      <c r="E816" s="1" t="s">
        <v>33</v>
      </c>
      <c r="F816" s="1" t="s">
        <v>33</v>
      </c>
      <c r="G816" s="1" t="s">
        <v>34</v>
      </c>
      <c r="H816" s="2">
        <v>1.128E7</v>
      </c>
      <c r="I816" s="1">
        <v>30.0</v>
      </c>
      <c r="J816" s="9" t="s">
        <v>28</v>
      </c>
      <c r="K816" s="5">
        <v>46198.0</v>
      </c>
      <c r="L816" s="11" t="s">
        <v>160</v>
      </c>
      <c r="M816" s="11"/>
      <c r="N816" s="4" t="str">
        <f t="shared" si="1"/>
        <v>Rodrigo Muñoz Espinoza</v>
      </c>
      <c r="O816" s="6" t="str">
        <f t="shared" si="2"/>
        <v>18534699-2</v>
      </c>
      <c r="P816" s="6" t="str">
        <f t="shared" si="3"/>
        <v>Puerto Montt - Puerto Montt - Región de Los Lagos</v>
      </c>
      <c r="Q816" s="4" t="str">
        <f t="shared" si="4"/>
        <v>Activo</v>
      </c>
      <c r="R816" s="12" t="str">
        <f t="shared" si="5"/>
        <v>Riesgo Bajo</v>
      </c>
    </row>
    <row r="817">
      <c r="A817" s="1" t="s">
        <v>1581</v>
      </c>
      <c r="B817" s="9" t="s">
        <v>1583</v>
      </c>
      <c r="C817" s="9" t="s">
        <v>1585</v>
      </c>
      <c r="D817" s="1" t="s">
        <v>1587</v>
      </c>
      <c r="E817" s="1" t="s">
        <v>39</v>
      </c>
      <c r="F817" s="1" t="s">
        <v>39</v>
      </c>
      <c r="G817" s="1" t="s">
        <v>40</v>
      </c>
      <c r="H817" s="2">
        <v>3040000.0</v>
      </c>
      <c r="I817" s="1">
        <v>30.0</v>
      </c>
      <c r="J817" s="9" t="s">
        <v>97</v>
      </c>
      <c r="K817" s="5">
        <v>46054.0</v>
      </c>
      <c r="L817" s="11" t="s">
        <v>181</v>
      </c>
      <c r="M817" s="11"/>
      <c r="N817" s="4" t="str">
        <f t="shared" si="1"/>
        <v>Rodrigo Pérez Rodríguez</v>
      </c>
      <c r="O817" s="6" t="str">
        <f t="shared" si="2"/>
        <v>22.249.982-5</v>
      </c>
      <c r="P817" s="6" t="str">
        <f t="shared" si="3"/>
        <v>Concepción - Concepción - Región del Biobío</v>
      </c>
      <c r="Q817" s="4" t="str">
        <f t="shared" si="4"/>
        <v>Inactivo</v>
      </c>
      <c r="R817" s="12" t="str">
        <f t="shared" si="5"/>
        <v>Riesgo Bajo</v>
      </c>
    </row>
    <row r="818">
      <c r="A818" s="1" t="s">
        <v>2412</v>
      </c>
      <c r="B818" s="9" t="s">
        <v>2413</v>
      </c>
      <c r="C818" s="9" t="s">
        <v>2414</v>
      </c>
      <c r="D818" s="1" t="s">
        <v>2415</v>
      </c>
      <c r="E818" s="1" t="s">
        <v>18</v>
      </c>
      <c r="F818" s="1" t="s">
        <v>18</v>
      </c>
      <c r="G818" s="1" t="s">
        <v>19</v>
      </c>
      <c r="H818" s="2">
        <v>1.812E7</v>
      </c>
      <c r="I818" s="1">
        <v>45.0</v>
      </c>
      <c r="J818" s="9" t="s">
        <v>20</v>
      </c>
      <c r="K818" s="5">
        <v>46187.0</v>
      </c>
      <c r="L818" s="11" t="s">
        <v>199</v>
      </c>
      <c r="M818" s="11"/>
      <c r="N818" s="4" t="str">
        <f t="shared" si="1"/>
        <v>Rodrigo Rodríguez Soto</v>
      </c>
      <c r="O818" s="6" t="str">
        <f t="shared" si="2"/>
        <v>15.753.418-K</v>
      </c>
      <c r="P818" s="6" t="str">
        <f t="shared" si="3"/>
        <v>La Serena - La Serena - Región de Coquimbo</v>
      </c>
      <c r="Q818" s="4" t="str">
        <f t="shared" si="4"/>
        <v>En Revisión</v>
      </c>
      <c r="R818" s="12" t="str">
        <f t="shared" si="5"/>
        <v>Riesgo Medio</v>
      </c>
    </row>
    <row r="819">
      <c r="A819" s="1" t="s">
        <v>1317</v>
      </c>
      <c r="B819" s="9" t="s">
        <v>1319</v>
      </c>
      <c r="C819" s="9" t="s">
        <v>1320</v>
      </c>
      <c r="D819" s="1" t="s">
        <v>1321</v>
      </c>
      <c r="E819" s="1" t="s">
        <v>18</v>
      </c>
      <c r="F819" s="1" t="s">
        <v>18</v>
      </c>
      <c r="G819" s="1" t="s">
        <v>19</v>
      </c>
      <c r="H819" s="2">
        <v>7800000.0</v>
      </c>
      <c r="I819" s="1">
        <v>60.0</v>
      </c>
      <c r="J819" s="9" t="s">
        <v>20</v>
      </c>
      <c r="K819" s="5">
        <v>46102.0</v>
      </c>
      <c r="L819" s="11" t="s">
        <v>207</v>
      </c>
      <c r="M819" s="11"/>
      <c r="N819" s="4" t="str">
        <f t="shared" si="1"/>
        <v>Rodrigo Sepúlveda Espinoza</v>
      </c>
      <c r="O819" s="6" t="str">
        <f t="shared" si="2"/>
        <v>16.049.078-K</v>
      </c>
      <c r="P819" s="6" t="str">
        <f t="shared" si="3"/>
        <v>La Serena - La Serena - Región de Coquimbo</v>
      </c>
      <c r="Q819" s="4" t="str">
        <f t="shared" si="4"/>
        <v>En Revisión</v>
      </c>
      <c r="R819" s="12" t="str">
        <f t="shared" si="5"/>
        <v>Riesgo Medio</v>
      </c>
    </row>
    <row r="820">
      <c r="A820" s="1" t="s">
        <v>360</v>
      </c>
      <c r="B820" s="9" t="s">
        <v>361</v>
      </c>
      <c r="C820" s="9" t="s">
        <v>4889</v>
      </c>
      <c r="D820" s="1" t="s">
        <v>363</v>
      </c>
      <c r="E820" s="1" t="s">
        <v>26</v>
      </c>
      <c r="F820" s="1" t="s">
        <v>26</v>
      </c>
      <c r="G820" s="1" t="s">
        <v>27</v>
      </c>
      <c r="H820" s="2">
        <v>1.488E7</v>
      </c>
      <c r="I820" s="1">
        <v>120.0</v>
      </c>
      <c r="J820" s="9" t="s">
        <v>20</v>
      </c>
      <c r="K820" s="5">
        <v>46062.0</v>
      </c>
      <c r="L820" s="11" t="s">
        <v>160</v>
      </c>
      <c r="M820" s="11"/>
      <c r="N820" s="4" t="str">
        <f t="shared" si="1"/>
        <v>Rodrigo Sepúlveda Rodríguez</v>
      </c>
      <c r="O820" s="6" t="str">
        <f t="shared" si="2"/>
        <v>14216753-K</v>
      </c>
      <c r="P820" s="6" t="str">
        <f t="shared" si="3"/>
        <v>Valparaíso - Valparaíso - Región de Valparaíso</v>
      </c>
      <c r="Q820" s="4" t="str">
        <f t="shared" si="4"/>
        <v>En Revisión</v>
      </c>
      <c r="R820" s="12" t="str">
        <f t="shared" si="5"/>
        <v>Riesgo Medio</v>
      </c>
    </row>
    <row r="821">
      <c r="A821" s="1" t="s">
        <v>4266</v>
      </c>
      <c r="B821" s="9" t="s">
        <v>4267</v>
      </c>
      <c r="C821" s="9" t="s">
        <v>4268</v>
      </c>
      <c r="D821" s="1" t="s">
        <v>4269</v>
      </c>
      <c r="E821" s="1" t="s">
        <v>61</v>
      </c>
      <c r="F821" s="1" t="s">
        <v>62</v>
      </c>
      <c r="G821" s="1" t="s">
        <v>63</v>
      </c>
      <c r="H821" s="2">
        <v>3440000.0</v>
      </c>
      <c r="I821" s="1">
        <v>0.0</v>
      </c>
      <c r="J821" s="9" t="s">
        <v>28</v>
      </c>
      <c r="K821" s="5">
        <v>46124.0</v>
      </c>
      <c r="L821" s="11" t="s">
        <v>100</v>
      </c>
      <c r="M821" s="11"/>
      <c r="N821" s="4" t="str">
        <f t="shared" si="1"/>
        <v>Rodrigo Silva González</v>
      </c>
      <c r="O821" s="6" t="str">
        <f t="shared" si="2"/>
        <v>20670432-3</v>
      </c>
      <c r="P821" s="6" t="str">
        <f t="shared" si="3"/>
        <v>Santiago Centro - Santiago - Región Metropolitana</v>
      </c>
      <c r="Q821" s="4" t="str">
        <f t="shared" si="4"/>
        <v>Activo</v>
      </c>
      <c r="R821" s="12" t="str">
        <f t="shared" si="5"/>
        <v>Riesgo Bajo</v>
      </c>
    </row>
    <row r="822">
      <c r="A822" s="1" t="s">
        <v>3566</v>
      </c>
      <c r="B822" s="9" t="s">
        <v>3567</v>
      </c>
      <c r="C822" s="9" t="s">
        <v>3568</v>
      </c>
      <c r="D822" s="1" t="s">
        <v>3088</v>
      </c>
      <c r="E822" s="1" t="s">
        <v>25</v>
      </c>
      <c r="F822" s="1" t="s">
        <v>26</v>
      </c>
      <c r="G822" s="1" t="s">
        <v>27</v>
      </c>
      <c r="H822" s="2">
        <v>670000.0</v>
      </c>
      <c r="I822" s="1">
        <v>45.0</v>
      </c>
      <c r="J822" s="9" t="s">
        <v>28</v>
      </c>
      <c r="K822" s="5">
        <v>46123.0</v>
      </c>
      <c r="L822" s="11" t="s">
        <v>160</v>
      </c>
      <c r="M822" s="11"/>
      <c r="N822" s="4" t="str">
        <f t="shared" si="1"/>
        <v>Rodrigo Soto González</v>
      </c>
      <c r="O822" s="6" t="str">
        <f t="shared" si="2"/>
        <v>15999628-0</v>
      </c>
      <c r="P822" s="6" t="str">
        <f t="shared" si="3"/>
        <v>Viña del Mar - Valparaíso - Región de Valparaíso</v>
      </c>
      <c r="Q822" s="4" t="str">
        <f t="shared" si="4"/>
        <v>Activo</v>
      </c>
      <c r="R822" s="12" t="str">
        <f t="shared" si="5"/>
        <v>Riesgo Medio</v>
      </c>
    </row>
    <row r="823">
      <c r="A823" s="1" t="s">
        <v>3864</v>
      </c>
      <c r="B823" s="9" t="s">
        <v>3867</v>
      </c>
      <c r="C823" s="9" t="s">
        <v>4890</v>
      </c>
      <c r="D823" s="1" t="s">
        <v>3870</v>
      </c>
      <c r="E823" s="1" t="s">
        <v>118</v>
      </c>
      <c r="F823" s="1" t="s">
        <v>62</v>
      </c>
      <c r="G823" s="1" t="s">
        <v>63</v>
      </c>
      <c r="H823" s="2">
        <v>8780000.0</v>
      </c>
      <c r="I823" s="1">
        <v>15.0</v>
      </c>
      <c r="J823" s="9" t="s">
        <v>97</v>
      </c>
      <c r="K823" s="5">
        <v>46070.0</v>
      </c>
      <c r="L823" s="11" t="s">
        <v>160</v>
      </c>
      <c r="M823" s="11"/>
      <c r="N823" s="4" t="str">
        <f t="shared" si="1"/>
        <v>Rodrigo Soto Sepúlveda</v>
      </c>
      <c r="O823" s="6" t="str">
        <f t="shared" si="2"/>
        <v>18.156.584-1</v>
      </c>
      <c r="P823" s="6" t="str">
        <f t="shared" si="3"/>
        <v>Maipú - Santiago - Región Metropolitana</v>
      </c>
      <c r="Q823" s="4" t="str">
        <f t="shared" si="4"/>
        <v>Inactivo</v>
      </c>
      <c r="R823" s="12" t="str">
        <f t="shared" si="5"/>
        <v>Riesgo Bajo</v>
      </c>
    </row>
    <row r="824">
      <c r="A824" s="1" t="s">
        <v>3085</v>
      </c>
      <c r="B824" s="9" t="s">
        <v>3086</v>
      </c>
      <c r="C824" s="9" t="s">
        <v>4891</v>
      </c>
      <c r="D824" s="1" t="s">
        <v>3088</v>
      </c>
      <c r="E824" s="1" t="s">
        <v>45</v>
      </c>
      <c r="F824" s="1" t="s">
        <v>45</v>
      </c>
      <c r="G824" s="1" t="s">
        <v>46</v>
      </c>
      <c r="H824" s="2">
        <v>2160000.0</v>
      </c>
      <c r="I824" s="1">
        <v>60.0</v>
      </c>
      <c r="J824" s="9" t="s">
        <v>20</v>
      </c>
      <c r="K824" s="5">
        <v>46076.0</v>
      </c>
      <c r="L824" s="11" t="s">
        <v>181</v>
      </c>
      <c r="M824" s="11"/>
      <c r="N824" s="4" t="str">
        <f t="shared" si="1"/>
        <v>Rodrigo Soto Vergara</v>
      </c>
      <c r="O824" s="6" t="str">
        <f t="shared" si="2"/>
        <v>21.906.214-3</v>
      </c>
      <c r="P824" s="6" t="str">
        <f t="shared" si="3"/>
        <v>Temuco - Temuco - Región de la Araucanía</v>
      </c>
      <c r="Q824" s="4" t="str">
        <f t="shared" si="4"/>
        <v>En Revisión</v>
      </c>
      <c r="R824" s="12" t="str">
        <f t="shared" si="5"/>
        <v>Riesgo Medio</v>
      </c>
    </row>
    <row r="825">
      <c r="A825" s="1" t="s">
        <v>2768</v>
      </c>
      <c r="B825" s="9" t="s">
        <v>2769</v>
      </c>
      <c r="C825" s="9" t="s">
        <v>2770</v>
      </c>
      <c r="D825" s="1" t="s">
        <v>2771</v>
      </c>
      <c r="E825" s="1" t="s">
        <v>26</v>
      </c>
      <c r="F825" s="1" t="s">
        <v>26</v>
      </c>
      <c r="G825" s="1" t="s">
        <v>27</v>
      </c>
      <c r="H825" s="2">
        <v>1.798E7</v>
      </c>
      <c r="I825" s="1">
        <v>15.0</v>
      </c>
      <c r="J825" s="9" t="s">
        <v>97</v>
      </c>
      <c r="K825" s="5">
        <v>46099.0</v>
      </c>
      <c r="L825" s="11" t="s">
        <v>160</v>
      </c>
      <c r="M825" s="11"/>
      <c r="N825" s="4" t="str">
        <f t="shared" si="1"/>
        <v>Rodrigo Tapia Díaz</v>
      </c>
      <c r="O825" s="6" t="str">
        <f t="shared" si="2"/>
        <v>12.820.959-5</v>
      </c>
      <c r="P825" s="6" t="str">
        <f t="shared" si="3"/>
        <v>Valparaíso - Valparaíso - Región de Valparaíso</v>
      </c>
      <c r="Q825" s="4" t="str">
        <f t="shared" si="4"/>
        <v>Inactivo</v>
      </c>
      <c r="R825" s="12" t="str">
        <f t="shared" si="5"/>
        <v>Riesgo Bajo</v>
      </c>
    </row>
    <row r="826">
      <c r="A826" s="1" t="s">
        <v>1799</v>
      </c>
      <c r="B826" s="9" t="s">
        <v>1800</v>
      </c>
      <c r="C826" s="9" t="s">
        <v>1802</v>
      </c>
      <c r="D826" s="1" t="s">
        <v>1803</v>
      </c>
      <c r="E826" s="1" t="s">
        <v>56</v>
      </c>
      <c r="F826" s="1" t="s">
        <v>39</v>
      </c>
      <c r="G826" s="1" t="s">
        <v>40</v>
      </c>
      <c r="H826" s="2">
        <v>1.291E7</v>
      </c>
      <c r="I826" s="1">
        <v>15.0</v>
      </c>
      <c r="J826" s="9" t="s">
        <v>28</v>
      </c>
      <c r="K826" s="5">
        <v>46121.0</v>
      </c>
      <c r="L826" s="11" t="s">
        <v>160</v>
      </c>
      <c r="M826" s="11"/>
      <c r="N826" s="4" t="str">
        <f t="shared" si="1"/>
        <v>Rodrigo Tapia González</v>
      </c>
      <c r="O826" s="6" t="str">
        <f t="shared" si="2"/>
        <v>16129204-0</v>
      </c>
      <c r="P826" s="6" t="str">
        <f t="shared" si="3"/>
        <v>Talcahuano - Concepción - Región del Biobío</v>
      </c>
      <c r="Q826" s="4" t="str">
        <f t="shared" si="4"/>
        <v>Activo</v>
      </c>
      <c r="R826" s="12" t="str">
        <f t="shared" si="5"/>
        <v>Riesgo Bajo</v>
      </c>
    </row>
    <row r="827">
      <c r="A827" s="1" t="s">
        <v>131</v>
      </c>
      <c r="B827" s="9" t="s">
        <v>132</v>
      </c>
      <c r="C827" s="9" t="s">
        <v>133</v>
      </c>
      <c r="D827" s="1" t="s">
        <v>134</v>
      </c>
      <c r="E827" s="1" t="s">
        <v>118</v>
      </c>
      <c r="F827" s="1" t="s">
        <v>62</v>
      </c>
      <c r="G827" s="1" t="s">
        <v>63</v>
      </c>
      <c r="H827" s="2">
        <v>2.145E7</v>
      </c>
      <c r="I827" s="1">
        <v>30.0</v>
      </c>
      <c r="J827" s="9" t="s">
        <v>20</v>
      </c>
      <c r="K827" s="5">
        <v>46082.0</v>
      </c>
      <c r="L827" s="11" t="s">
        <v>207</v>
      </c>
      <c r="M827" s="11"/>
      <c r="N827" s="4" t="str">
        <f t="shared" si="1"/>
        <v>Rodrigo Valenzuela Espinoza</v>
      </c>
      <c r="O827" s="6" t="str">
        <f t="shared" si="2"/>
        <v>12.322.581-5</v>
      </c>
      <c r="P827" s="6" t="str">
        <f t="shared" si="3"/>
        <v>Maipú - Santiago - Región Metropolitana</v>
      </c>
      <c r="Q827" s="4" t="str">
        <f t="shared" si="4"/>
        <v>En Revisión</v>
      </c>
      <c r="R827" s="12" t="str">
        <f t="shared" si="5"/>
        <v>Riesgo Medio</v>
      </c>
    </row>
    <row r="828">
      <c r="A828" s="1" t="s">
        <v>3249</v>
      </c>
      <c r="B828" s="9" t="s">
        <v>3250</v>
      </c>
      <c r="C828" s="9" t="s">
        <v>4892</v>
      </c>
      <c r="D828" s="1" t="s">
        <v>3252</v>
      </c>
      <c r="E828" s="1" t="s">
        <v>26</v>
      </c>
      <c r="F828" s="1" t="s">
        <v>26</v>
      </c>
      <c r="G828" s="1" t="s">
        <v>27</v>
      </c>
      <c r="H828" s="2">
        <v>2.051E7</v>
      </c>
      <c r="I828" s="1">
        <v>15.0</v>
      </c>
      <c r="J828" s="9" t="s">
        <v>20</v>
      </c>
      <c r="K828" s="5">
        <v>46134.0</v>
      </c>
      <c r="L828" s="11" t="s">
        <v>160</v>
      </c>
      <c r="M828" s="11"/>
      <c r="N828" s="4" t="str">
        <f t="shared" si="1"/>
        <v>Rodrigo Valenzuela Valenzuela</v>
      </c>
      <c r="O828" s="6" t="str">
        <f t="shared" si="2"/>
        <v>20462604-K</v>
      </c>
      <c r="P828" s="6" t="str">
        <f t="shared" si="3"/>
        <v>Valparaíso - Valparaíso - Región de Valparaíso</v>
      </c>
      <c r="Q828" s="4" t="str">
        <f t="shared" si="4"/>
        <v>En Revisión</v>
      </c>
      <c r="R828" s="12" t="str">
        <f t="shared" si="5"/>
        <v>Riesgo Medio</v>
      </c>
    </row>
    <row r="829">
      <c r="A829" s="1" t="s">
        <v>1467</v>
      </c>
      <c r="B829" s="9" t="s">
        <v>1468</v>
      </c>
      <c r="C829" s="9" t="s">
        <v>1470</v>
      </c>
      <c r="D829" s="1" t="s">
        <v>1471</v>
      </c>
      <c r="E829" s="1" t="s">
        <v>61</v>
      </c>
      <c r="F829" s="1" t="s">
        <v>62</v>
      </c>
      <c r="G829" s="1" t="s">
        <v>63</v>
      </c>
      <c r="H829" s="2">
        <v>1.435E7</v>
      </c>
      <c r="I829" s="1">
        <v>0.0</v>
      </c>
      <c r="J829" s="9" t="s">
        <v>28</v>
      </c>
      <c r="K829" s="5">
        <v>46085.0</v>
      </c>
      <c r="L829" s="11" t="s">
        <v>207</v>
      </c>
      <c r="M829" s="11"/>
      <c r="N829" s="4" t="str">
        <f t="shared" si="1"/>
        <v>Sebastián Araya Espinoza</v>
      </c>
      <c r="O829" s="6" t="str">
        <f t="shared" si="2"/>
        <v>22007561-3</v>
      </c>
      <c r="P829" s="6" t="str">
        <f t="shared" si="3"/>
        <v>Santiago Centro - Santiago - Región Metropolitana</v>
      </c>
      <c r="Q829" s="4" t="str">
        <f t="shared" si="4"/>
        <v>Activo</v>
      </c>
      <c r="R829" s="12" t="str">
        <f t="shared" si="5"/>
        <v>Riesgo Bajo</v>
      </c>
    </row>
    <row r="830">
      <c r="A830" s="1" t="s">
        <v>2547</v>
      </c>
      <c r="B830" s="9" t="s">
        <v>2548</v>
      </c>
      <c r="C830" s="9" t="s">
        <v>4893</v>
      </c>
      <c r="D830" s="1" t="s">
        <v>2550</v>
      </c>
      <c r="E830" s="1" t="s">
        <v>45</v>
      </c>
      <c r="F830" s="1" t="s">
        <v>45</v>
      </c>
      <c r="G830" s="1" t="s">
        <v>46</v>
      </c>
      <c r="H830" s="2">
        <v>1.934E7</v>
      </c>
      <c r="I830" s="1">
        <v>0.0</v>
      </c>
      <c r="J830" s="9" t="s">
        <v>28</v>
      </c>
      <c r="K830" s="5">
        <v>46042.0</v>
      </c>
      <c r="L830" s="11" t="s">
        <v>100</v>
      </c>
      <c r="M830" s="11"/>
      <c r="N830" s="4" t="str">
        <f t="shared" si="1"/>
        <v>Sebastián Araya Pérez</v>
      </c>
      <c r="O830" s="6" t="str">
        <f t="shared" si="2"/>
        <v>20.502.004-6</v>
      </c>
      <c r="P830" s="6" t="str">
        <f t="shared" si="3"/>
        <v>Temuco - Temuco - Región de la Araucanía</v>
      </c>
      <c r="Q830" s="4" t="str">
        <f t="shared" si="4"/>
        <v>Activo</v>
      </c>
      <c r="R830" s="12" t="str">
        <f t="shared" si="5"/>
        <v>Riesgo Bajo</v>
      </c>
    </row>
    <row r="831">
      <c r="A831" s="1" t="s">
        <v>3570</v>
      </c>
      <c r="B831" s="9" t="s">
        <v>3571</v>
      </c>
      <c r="C831" s="9" t="s">
        <v>4894</v>
      </c>
      <c r="D831" s="1" t="s">
        <v>3574</v>
      </c>
      <c r="E831" s="1" t="s">
        <v>158</v>
      </c>
      <c r="F831" s="1" t="s">
        <v>158</v>
      </c>
      <c r="G831" s="1" t="s">
        <v>159</v>
      </c>
      <c r="H831" s="2">
        <v>8170000.0</v>
      </c>
      <c r="I831" s="1">
        <v>30.0</v>
      </c>
      <c r="J831" s="9" t="s">
        <v>28</v>
      </c>
      <c r="K831" s="5">
        <v>46174.0</v>
      </c>
      <c r="L831" s="11" t="s">
        <v>207</v>
      </c>
      <c r="M831" s="11"/>
      <c r="N831" s="4" t="str">
        <f t="shared" si="1"/>
        <v>Sebastián Araya Valenzuela</v>
      </c>
      <c r="O831" s="6" t="str">
        <f t="shared" si="2"/>
        <v>14838575-4</v>
      </c>
      <c r="P831" s="6" t="str">
        <f t="shared" si="3"/>
        <v>Antofagasta - Antofagasta - Región de Antofagasta</v>
      </c>
      <c r="Q831" s="4" t="str">
        <f t="shared" si="4"/>
        <v>Activo</v>
      </c>
      <c r="R831" s="12" t="str">
        <f t="shared" si="5"/>
        <v>Riesgo Bajo</v>
      </c>
    </row>
    <row r="832">
      <c r="A832" s="1" t="s">
        <v>3669</v>
      </c>
      <c r="B832" s="9" t="s">
        <v>3670</v>
      </c>
      <c r="C832" s="9" t="s">
        <v>3671</v>
      </c>
      <c r="D832" s="1" t="s">
        <v>3672</v>
      </c>
      <c r="E832" s="1" t="s">
        <v>56</v>
      </c>
      <c r="F832" s="1" t="s">
        <v>39</v>
      </c>
      <c r="G832" s="1" t="s">
        <v>40</v>
      </c>
      <c r="H832" s="2">
        <v>5470000.0</v>
      </c>
      <c r="I832" s="1">
        <v>15.0</v>
      </c>
      <c r="J832" s="9" t="s">
        <v>97</v>
      </c>
      <c r="K832" s="5">
        <v>46088.0</v>
      </c>
      <c r="L832" s="11" t="s">
        <v>207</v>
      </c>
      <c r="M832" s="11"/>
      <c r="N832" s="4" t="str">
        <f t="shared" si="1"/>
        <v>Sebastián Contreras Sepúlveda</v>
      </c>
      <c r="O832" s="6" t="str">
        <f t="shared" si="2"/>
        <v>17.279.773-9</v>
      </c>
      <c r="P832" s="6" t="str">
        <f t="shared" si="3"/>
        <v>Talcahuano - Concepción - Región del Biobío</v>
      </c>
      <c r="Q832" s="4" t="str">
        <f t="shared" si="4"/>
        <v>Inactivo</v>
      </c>
      <c r="R832" s="12" t="str">
        <f t="shared" si="5"/>
        <v>Riesgo Bajo</v>
      </c>
    </row>
    <row r="833">
      <c r="A833" s="1" t="s">
        <v>3155</v>
      </c>
      <c r="B833" s="9" t="s">
        <v>3156</v>
      </c>
      <c r="C833" s="9" t="s">
        <v>4895</v>
      </c>
      <c r="D833" s="1" t="s">
        <v>2743</v>
      </c>
      <c r="E833" s="1" t="s">
        <v>61</v>
      </c>
      <c r="F833" s="1" t="s">
        <v>62</v>
      </c>
      <c r="G833" s="1" t="s">
        <v>63</v>
      </c>
      <c r="H833" s="2">
        <v>1.097E7</v>
      </c>
      <c r="I833" s="1">
        <v>45.0</v>
      </c>
      <c r="J833" s="9" t="s">
        <v>20</v>
      </c>
      <c r="K833" s="5">
        <v>46138.0</v>
      </c>
      <c r="L833" s="11" t="s">
        <v>100</v>
      </c>
      <c r="M833" s="11"/>
      <c r="N833" s="4" t="str">
        <f t="shared" si="1"/>
        <v>Sebastián Contreras Silva</v>
      </c>
      <c r="O833" s="6" t="str">
        <f t="shared" si="2"/>
        <v>15956189-5</v>
      </c>
      <c r="P833" s="6" t="str">
        <f t="shared" si="3"/>
        <v>Santiago Centro - Santiago - Región Metropolitana</v>
      </c>
      <c r="Q833" s="4" t="str">
        <f t="shared" si="4"/>
        <v>En Revisión</v>
      </c>
      <c r="R833" s="12" t="str">
        <f t="shared" si="5"/>
        <v>Riesgo Medio</v>
      </c>
    </row>
    <row r="834">
      <c r="A834" s="1" t="s">
        <v>2477</v>
      </c>
      <c r="B834" s="9" t="s">
        <v>2478</v>
      </c>
      <c r="C834" s="9" t="s">
        <v>2479</v>
      </c>
      <c r="D834" s="1" t="s">
        <v>2480</v>
      </c>
      <c r="E834" s="1" t="s">
        <v>72</v>
      </c>
      <c r="F834" s="1" t="s">
        <v>62</v>
      </c>
      <c r="G834" s="1" t="s">
        <v>63</v>
      </c>
      <c r="H834" s="2">
        <v>1.462E7</v>
      </c>
      <c r="I834" s="1">
        <v>0.0</v>
      </c>
      <c r="J834" s="9" t="s">
        <v>28</v>
      </c>
      <c r="K834" s="5">
        <v>46190.0</v>
      </c>
      <c r="L834" s="11" t="s">
        <v>181</v>
      </c>
      <c r="M834" s="11"/>
      <c r="N834" s="4" t="str">
        <f t="shared" si="1"/>
        <v>Sebastián Contreras Tapia</v>
      </c>
      <c r="O834" s="6" t="str">
        <f t="shared" si="2"/>
        <v>14046123-2</v>
      </c>
      <c r="P834" s="6" t="str">
        <f t="shared" si="3"/>
        <v>Providencia - Santiago - Región Metropolitana</v>
      </c>
      <c r="Q834" s="4" t="str">
        <f t="shared" si="4"/>
        <v>Activo</v>
      </c>
      <c r="R834" s="12" t="str">
        <f t="shared" si="5"/>
        <v>Riesgo Bajo</v>
      </c>
    </row>
    <row r="835">
      <c r="A835" s="1" t="s">
        <v>2740</v>
      </c>
      <c r="B835" s="9" t="s">
        <v>2741</v>
      </c>
      <c r="C835" s="9" t="s">
        <v>2479</v>
      </c>
      <c r="D835" s="1" t="s">
        <v>2743</v>
      </c>
      <c r="E835" s="1" t="s">
        <v>25</v>
      </c>
      <c r="F835" s="1" t="s">
        <v>26</v>
      </c>
      <c r="G835" s="1" t="s">
        <v>27</v>
      </c>
      <c r="H835" s="2">
        <v>1.488E7</v>
      </c>
      <c r="I835" s="1">
        <v>0.0</v>
      </c>
      <c r="J835" s="9" t="s">
        <v>20</v>
      </c>
      <c r="K835" s="5">
        <v>46082.0</v>
      </c>
      <c r="L835" s="11" t="s">
        <v>100</v>
      </c>
      <c r="M835" s="11"/>
      <c r="N835" s="4" t="str">
        <f t="shared" si="1"/>
        <v>Sebastián Contreras Tapia</v>
      </c>
      <c r="O835" s="6" t="str">
        <f t="shared" si="2"/>
        <v>21.632.921-6</v>
      </c>
      <c r="P835" s="6" t="str">
        <f t="shared" si="3"/>
        <v>Viña del Mar - Valparaíso - Región de Valparaíso</v>
      </c>
      <c r="Q835" s="4" t="str">
        <f t="shared" si="4"/>
        <v>En Revisión</v>
      </c>
      <c r="R835" s="12" t="str">
        <f t="shared" si="5"/>
        <v>Riesgo Medio</v>
      </c>
    </row>
    <row r="836">
      <c r="A836" s="1" t="s">
        <v>236</v>
      </c>
      <c r="B836" s="9" t="s">
        <v>237</v>
      </c>
      <c r="C836" s="9" t="s">
        <v>4896</v>
      </c>
      <c r="D836" s="1" t="s">
        <v>239</v>
      </c>
      <c r="E836" s="1" t="s">
        <v>109</v>
      </c>
      <c r="F836" s="1" t="s">
        <v>62</v>
      </c>
      <c r="G836" s="1" t="s">
        <v>63</v>
      </c>
      <c r="H836" s="2">
        <v>2.178E7</v>
      </c>
      <c r="I836" s="1">
        <v>0.0</v>
      </c>
      <c r="J836" s="9" t="s">
        <v>20</v>
      </c>
      <c r="K836" s="5">
        <v>46139.0</v>
      </c>
      <c r="L836" s="11" t="s">
        <v>207</v>
      </c>
      <c r="M836" s="11"/>
      <c r="N836" s="4" t="str">
        <f t="shared" si="1"/>
        <v>Sebastián Díaz Araya</v>
      </c>
      <c r="O836" s="6" t="str">
        <f t="shared" si="2"/>
        <v>19.552.605-0</v>
      </c>
      <c r="P836" s="6" t="str">
        <f t="shared" si="3"/>
        <v>Ñuñoa - Santiago - Región Metropolitana</v>
      </c>
      <c r="Q836" s="4" t="str">
        <f t="shared" si="4"/>
        <v>En Revisión</v>
      </c>
      <c r="R836" s="12" t="str">
        <f t="shared" si="5"/>
        <v>Riesgo Medio</v>
      </c>
    </row>
    <row r="837">
      <c r="A837" s="1" t="s">
        <v>4723</v>
      </c>
      <c r="B837" s="9" t="s">
        <v>4724</v>
      </c>
      <c r="C837" s="9" t="s">
        <v>4725</v>
      </c>
      <c r="D837" s="1" t="s">
        <v>4726</v>
      </c>
      <c r="E837" s="1" t="s">
        <v>39</v>
      </c>
      <c r="F837" s="1" t="s">
        <v>39</v>
      </c>
      <c r="G837" s="1" t="s">
        <v>40</v>
      </c>
      <c r="H837" s="2">
        <v>1.519E7</v>
      </c>
      <c r="I837" s="1">
        <v>60.0</v>
      </c>
      <c r="J837" s="9" t="s">
        <v>20</v>
      </c>
      <c r="K837" s="5">
        <v>46105.0</v>
      </c>
      <c r="L837" s="11" t="s">
        <v>160</v>
      </c>
      <c r="M837" s="11"/>
      <c r="N837" s="4" t="str">
        <f t="shared" si="1"/>
        <v>Sebastián Espinoza Díaz</v>
      </c>
      <c r="O837" s="6" t="str">
        <f t="shared" si="2"/>
        <v>13.098.010-8</v>
      </c>
      <c r="P837" s="6" t="str">
        <f t="shared" si="3"/>
        <v>Concepción - Concepción - Región del Biobío</v>
      </c>
      <c r="Q837" s="4" t="str">
        <f t="shared" si="4"/>
        <v>En Revisión</v>
      </c>
      <c r="R837" s="12" t="str">
        <f t="shared" si="5"/>
        <v>Riesgo Medio</v>
      </c>
    </row>
    <row r="838">
      <c r="A838" s="1" t="s">
        <v>4630</v>
      </c>
      <c r="B838" s="9" t="s">
        <v>4631</v>
      </c>
      <c r="C838" s="9" t="s">
        <v>4632</v>
      </c>
      <c r="D838" s="1" t="s">
        <v>4633</v>
      </c>
      <c r="E838" s="1" t="s">
        <v>118</v>
      </c>
      <c r="F838" s="1" t="s">
        <v>62</v>
      </c>
      <c r="G838" s="1" t="s">
        <v>63</v>
      </c>
      <c r="H838" s="2">
        <v>1.118E7</v>
      </c>
      <c r="I838" s="1">
        <v>30.0</v>
      </c>
      <c r="J838" s="9" t="s">
        <v>20</v>
      </c>
      <c r="K838" s="5">
        <v>46195.0</v>
      </c>
      <c r="L838" s="11" t="s">
        <v>160</v>
      </c>
      <c r="M838" s="11"/>
      <c r="N838" s="4" t="str">
        <f t="shared" si="1"/>
        <v>Sebastián Fuentes Silva</v>
      </c>
      <c r="O838" s="6" t="str">
        <f t="shared" si="2"/>
        <v>15405499-K</v>
      </c>
      <c r="P838" s="6" t="str">
        <f t="shared" si="3"/>
        <v>Maipú - Santiago - Región Metropolitana</v>
      </c>
      <c r="Q838" s="4" t="str">
        <f t="shared" si="4"/>
        <v>En Revisión</v>
      </c>
      <c r="R838" s="12" t="str">
        <f t="shared" si="5"/>
        <v>Riesgo Medio</v>
      </c>
    </row>
    <row r="839">
      <c r="A839" s="1" t="s">
        <v>3499</v>
      </c>
      <c r="B839" s="9" t="s">
        <v>3500</v>
      </c>
      <c r="C839" s="9" t="s">
        <v>3501</v>
      </c>
      <c r="D839" s="1" t="s">
        <v>3502</v>
      </c>
      <c r="E839" s="1" t="s">
        <v>109</v>
      </c>
      <c r="F839" s="1" t="s">
        <v>62</v>
      </c>
      <c r="G839" s="1" t="s">
        <v>63</v>
      </c>
      <c r="H839" s="2">
        <v>1500000.0</v>
      </c>
      <c r="I839" s="1">
        <v>90.0</v>
      </c>
      <c r="J839" s="9" t="s">
        <v>20</v>
      </c>
      <c r="K839" s="5">
        <v>46147.0</v>
      </c>
      <c r="L839" s="11" t="s">
        <v>181</v>
      </c>
      <c r="M839" s="11"/>
      <c r="N839" s="4" t="str">
        <f t="shared" si="1"/>
        <v>Sebastián Fuentes Soto</v>
      </c>
      <c r="O839" s="6" t="str">
        <f t="shared" si="2"/>
        <v>17976596-0</v>
      </c>
      <c r="P839" s="6" t="str">
        <f t="shared" si="3"/>
        <v>Ñuñoa - Santiago - Región Metropolitana</v>
      </c>
      <c r="Q839" s="4" t="str">
        <f t="shared" si="4"/>
        <v>En Revisión</v>
      </c>
      <c r="R839" s="12" t="str">
        <f t="shared" si="5"/>
        <v>Riesgo Medio</v>
      </c>
    </row>
    <row r="840">
      <c r="A840" s="1" t="s">
        <v>4362</v>
      </c>
      <c r="B840" s="9" t="s">
        <v>4363</v>
      </c>
      <c r="C840" s="9" t="s">
        <v>4364</v>
      </c>
      <c r="D840" s="1" t="s">
        <v>4365</v>
      </c>
      <c r="E840" s="1" t="s">
        <v>158</v>
      </c>
      <c r="F840" s="1" t="s">
        <v>158</v>
      </c>
      <c r="G840" s="1" t="s">
        <v>159</v>
      </c>
      <c r="H840" s="2">
        <v>1.209E7</v>
      </c>
      <c r="I840" s="1">
        <v>45.0</v>
      </c>
      <c r="J840" s="9" t="s">
        <v>20</v>
      </c>
      <c r="K840" s="5">
        <v>46083.0</v>
      </c>
      <c r="L840" s="11" t="s">
        <v>160</v>
      </c>
      <c r="M840" s="11"/>
      <c r="N840" s="4" t="str">
        <f t="shared" si="1"/>
        <v>Sebastián López Espinoza</v>
      </c>
      <c r="O840" s="6" t="str">
        <f t="shared" si="2"/>
        <v>16.617.720-K</v>
      </c>
      <c r="P840" s="6" t="str">
        <f t="shared" si="3"/>
        <v>Antofagasta - Antofagasta - Región de Antofagasta</v>
      </c>
      <c r="Q840" s="4" t="str">
        <f t="shared" si="4"/>
        <v>En Revisión</v>
      </c>
      <c r="R840" s="12" t="str">
        <f t="shared" si="5"/>
        <v>Riesgo Medio</v>
      </c>
    </row>
    <row r="841">
      <c r="A841" s="1" t="s">
        <v>3528</v>
      </c>
      <c r="B841" s="9" t="s">
        <v>3529</v>
      </c>
      <c r="C841" s="9" t="s">
        <v>3530</v>
      </c>
      <c r="D841" s="1" t="s">
        <v>300</v>
      </c>
      <c r="E841" s="1" t="s">
        <v>39</v>
      </c>
      <c r="F841" s="1" t="s">
        <v>39</v>
      </c>
      <c r="G841" s="1" t="s">
        <v>40</v>
      </c>
      <c r="H841" s="2">
        <v>5060000.0</v>
      </c>
      <c r="I841" s="1">
        <v>120.0</v>
      </c>
      <c r="J841" s="9" t="s">
        <v>28</v>
      </c>
      <c r="K841" s="5">
        <v>46190.0</v>
      </c>
      <c r="L841" s="11" t="s">
        <v>160</v>
      </c>
      <c r="M841" s="11"/>
      <c r="N841" s="4" t="str">
        <f t="shared" si="1"/>
        <v>Sebastián López Morales</v>
      </c>
      <c r="O841" s="6" t="str">
        <f t="shared" si="2"/>
        <v>20.266.622-8</v>
      </c>
      <c r="P841" s="6" t="str">
        <f t="shared" si="3"/>
        <v>Concepción - Concepción - Región del Biobío</v>
      </c>
      <c r="Q841" s="4" t="str">
        <f t="shared" si="4"/>
        <v>Activo</v>
      </c>
      <c r="R841" s="12" t="str">
        <f t="shared" si="5"/>
        <v>Riesgo Alto</v>
      </c>
    </row>
    <row r="842">
      <c r="A842" s="1" t="s">
        <v>297</v>
      </c>
      <c r="B842" s="9" t="s">
        <v>298</v>
      </c>
      <c r="C842" s="9" t="s">
        <v>4897</v>
      </c>
      <c r="D842" s="1" t="s">
        <v>300</v>
      </c>
      <c r="E842" s="1" t="s">
        <v>56</v>
      </c>
      <c r="F842" s="1" t="s">
        <v>39</v>
      </c>
      <c r="G842" s="1" t="s">
        <v>40</v>
      </c>
      <c r="H842" s="2">
        <v>2.013E7</v>
      </c>
      <c r="I842" s="1">
        <v>0.0</v>
      </c>
      <c r="J842" s="9" t="s">
        <v>97</v>
      </c>
      <c r="K842" s="5">
        <v>46154.0</v>
      </c>
      <c r="L842" s="11" t="s">
        <v>207</v>
      </c>
      <c r="M842" s="11"/>
      <c r="N842" s="4" t="str">
        <f t="shared" si="1"/>
        <v>Sebastián López Muñoz</v>
      </c>
      <c r="O842" s="6" t="str">
        <f t="shared" si="2"/>
        <v>18.378.016-2</v>
      </c>
      <c r="P842" s="6" t="str">
        <f t="shared" si="3"/>
        <v>Talcahuano - Concepción - Región del Biobío</v>
      </c>
      <c r="Q842" s="4" t="str">
        <f t="shared" si="4"/>
        <v>Inactivo</v>
      </c>
      <c r="R842" s="12" t="str">
        <f t="shared" si="5"/>
        <v>Riesgo Bajo</v>
      </c>
    </row>
    <row r="843">
      <c r="A843" s="1" t="s">
        <v>2164</v>
      </c>
      <c r="B843" s="9" t="s">
        <v>2168</v>
      </c>
      <c r="C843" s="9" t="s">
        <v>4898</v>
      </c>
      <c r="D843" s="1" t="s">
        <v>2172</v>
      </c>
      <c r="E843" s="1" t="s">
        <v>45</v>
      </c>
      <c r="F843" s="1" t="s">
        <v>45</v>
      </c>
      <c r="G843" s="1" t="s">
        <v>46</v>
      </c>
      <c r="H843" s="2">
        <v>2.019E7</v>
      </c>
      <c r="I843" s="1">
        <v>45.0</v>
      </c>
      <c r="J843" s="9" t="s">
        <v>20</v>
      </c>
      <c r="K843" s="5">
        <v>46059.0</v>
      </c>
      <c r="L843" s="11" t="s">
        <v>160</v>
      </c>
      <c r="M843" s="11"/>
      <c r="N843" s="4" t="str">
        <f t="shared" si="1"/>
        <v>Sebastián Morales Fuentes</v>
      </c>
      <c r="O843" s="6" t="str">
        <f t="shared" si="2"/>
        <v>15.610.715-5</v>
      </c>
      <c r="P843" s="6" t="str">
        <f t="shared" si="3"/>
        <v>Temuco - Temuco - Región de la Araucanía</v>
      </c>
      <c r="Q843" s="4" t="str">
        <f t="shared" si="4"/>
        <v>En Revisión</v>
      </c>
      <c r="R843" s="12" t="str">
        <f t="shared" si="5"/>
        <v>Riesgo Medio</v>
      </c>
    </row>
    <row r="844">
      <c r="A844" s="1" t="s">
        <v>2781</v>
      </c>
      <c r="B844" s="9" t="s">
        <v>2782</v>
      </c>
      <c r="C844" s="9" t="s">
        <v>2783</v>
      </c>
      <c r="D844" s="1" t="s">
        <v>2785</v>
      </c>
      <c r="E844" s="1" t="s">
        <v>109</v>
      </c>
      <c r="F844" s="1" t="s">
        <v>62</v>
      </c>
      <c r="G844" s="1" t="s">
        <v>63</v>
      </c>
      <c r="H844" s="2">
        <v>1610000.0</v>
      </c>
      <c r="I844" s="1">
        <v>0.0</v>
      </c>
      <c r="J844" s="9" t="s">
        <v>97</v>
      </c>
      <c r="K844" s="5">
        <v>46159.0</v>
      </c>
      <c r="L844" s="11" t="s">
        <v>207</v>
      </c>
      <c r="M844" s="11"/>
      <c r="N844" s="4" t="str">
        <f t="shared" si="1"/>
        <v>Sebastián Muñoz Morales</v>
      </c>
      <c r="O844" s="6" t="str">
        <f t="shared" si="2"/>
        <v>19.595.950-5</v>
      </c>
      <c r="P844" s="6" t="str">
        <f t="shared" si="3"/>
        <v>Ñuñoa - Santiago - Región Metropolitana</v>
      </c>
      <c r="Q844" s="4" t="str">
        <f t="shared" si="4"/>
        <v>Inactivo</v>
      </c>
      <c r="R844" s="12" t="str">
        <f t="shared" si="5"/>
        <v>Riesgo Bajo</v>
      </c>
    </row>
    <row r="845">
      <c r="A845" s="1" t="s">
        <v>3923</v>
      </c>
      <c r="B845" s="9" t="s">
        <v>3924</v>
      </c>
      <c r="C845" s="9" t="s">
        <v>3925</v>
      </c>
      <c r="D845" s="1" t="s">
        <v>3926</v>
      </c>
      <c r="E845" s="1" t="s">
        <v>18</v>
      </c>
      <c r="F845" s="1" t="s">
        <v>18</v>
      </c>
      <c r="G845" s="1" t="s">
        <v>19</v>
      </c>
      <c r="H845" s="2">
        <v>4190000.0</v>
      </c>
      <c r="I845" s="1">
        <v>30.0</v>
      </c>
      <c r="J845" s="9" t="s">
        <v>20</v>
      </c>
      <c r="K845" s="5">
        <v>46229.0</v>
      </c>
      <c r="L845" s="11" t="s">
        <v>100</v>
      </c>
      <c r="M845" s="11"/>
      <c r="N845" s="4" t="str">
        <f t="shared" si="1"/>
        <v>Sebastián Pérez Contreras</v>
      </c>
      <c r="O845" s="6" t="str">
        <f t="shared" si="2"/>
        <v>20.942.549-4</v>
      </c>
      <c r="P845" s="6" t="str">
        <f t="shared" si="3"/>
        <v>La Serena - La Serena - Región de Coquimbo</v>
      </c>
      <c r="Q845" s="4" t="str">
        <f t="shared" si="4"/>
        <v>En Revisión</v>
      </c>
      <c r="R845" s="12" t="str">
        <f t="shared" si="5"/>
        <v>Riesgo Medio</v>
      </c>
    </row>
    <row r="846">
      <c r="A846" s="1" t="s">
        <v>4370</v>
      </c>
      <c r="B846" s="9" t="s">
        <v>4371</v>
      </c>
      <c r="C846" s="9" t="s">
        <v>3925</v>
      </c>
      <c r="D846" s="1" t="s">
        <v>4373</v>
      </c>
      <c r="E846" s="1" t="s">
        <v>56</v>
      </c>
      <c r="F846" s="1" t="s">
        <v>39</v>
      </c>
      <c r="G846" s="1" t="s">
        <v>40</v>
      </c>
      <c r="H846" s="2">
        <v>8450000.0</v>
      </c>
      <c r="I846" s="1">
        <v>90.0</v>
      </c>
      <c r="J846" s="9" t="s">
        <v>20</v>
      </c>
      <c r="K846" s="5">
        <v>46081.0</v>
      </c>
      <c r="L846" s="11" t="s">
        <v>207</v>
      </c>
      <c r="M846" s="11"/>
      <c r="N846" s="4" t="str">
        <f t="shared" si="1"/>
        <v>Sebastián Pérez Contreras</v>
      </c>
      <c r="O846" s="6" t="str">
        <f t="shared" si="2"/>
        <v>19.637.927-2</v>
      </c>
      <c r="P846" s="6" t="str">
        <f t="shared" si="3"/>
        <v>Talcahuano - Concepción - Región del Biobío</v>
      </c>
      <c r="Q846" s="4" t="str">
        <f t="shared" si="4"/>
        <v>En Revisión</v>
      </c>
      <c r="R846" s="12" t="str">
        <f t="shared" si="5"/>
        <v>Riesgo Medio</v>
      </c>
    </row>
    <row r="847">
      <c r="A847" s="1" t="s">
        <v>4577</v>
      </c>
      <c r="B847" s="9" t="s">
        <v>4578</v>
      </c>
      <c r="C847" s="9" t="s">
        <v>4899</v>
      </c>
      <c r="D847" s="1" t="s">
        <v>3926</v>
      </c>
      <c r="E847" s="1" t="s">
        <v>26</v>
      </c>
      <c r="F847" s="1" t="s">
        <v>26</v>
      </c>
      <c r="G847" s="1" t="s">
        <v>27</v>
      </c>
      <c r="H847" s="2">
        <v>6460000.0</v>
      </c>
      <c r="I847" s="1">
        <v>45.0</v>
      </c>
      <c r="J847" s="9" t="s">
        <v>97</v>
      </c>
      <c r="K847" s="5">
        <v>46034.0</v>
      </c>
      <c r="L847" s="11" t="s">
        <v>160</v>
      </c>
      <c r="M847" s="11"/>
      <c r="N847" s="4" t="str">
        <f t="shared" si="1"/>
        <v>Sebastián Pérez Muñoz</v>
      </c>
      <c r="O847" s="6" t="str">
        <f t="shared" si="2"/>
        <v>17.694.695-2</v>
      </c>
      <c r="P847" s="6" t="str">
        <f t="shared" si="3"/>
        <v>Valparaíso - Valparaíso - Región de Valparaíso</v>
      </c>
      <c r="Q847" s="4" t="str">
        <f t="shared" si="4"/>
        <v>Inactivo</v>
      </c>
      <c r="R847" s="12" t="str">
        <f t="shared" si="5"/>
        <v>Riesgo Medio</v>
      </c>
    </row>
    <row r="848">
      <c r="A848" s="1" t="s">
        <v>939</v>
      </c>
      <c r="B848" s="9" t="s">
        <v>941</v>
      </c>
      <c r="C848" s="9" t="s">
        <v>4900</v>
      </c>
      <c r="D848" s="1" t="s">
        <v>943</v>
      </c>
      <c r="E848" s="1" t="s">
        <v>194</v>
      </c>
      <c r="F848" s="1" t="s">
        <v>62</v>
      </c>
      <c r="G848" s="1" t="s">
        <v>63</v>
      </c>
      <c r="H848" s="2">
        <v>1.633E7</v>
      </c>
      <c r="I848" s="1">
        <v>60.0</v>
      </c>
      <c r="J848" s="9" t="s">
        <v>20</v>
      </c>
      <c r="K848" s="5">
        <v>46130.0</v>
      </c>
      <c r="L848" s="11" t="s">
        <v>207</v>
      </c>
      <c r="M848" s="11"/>
      <c r="N848" s="4" t="str">
        <f t="shared" si="1"/>
        <v>Sebastián Pérez Soto</v>
      </c>
      <c r="O848" s="6" t="str">
        <f t="shared" si="2"/>
        <v>13.520.150-2</v>
      </c>
      <c r="P848" s="6" t="str">
        <f t="shared" si="3"/>
        <v>Las Condes - Santiago - Región Metropolitana</v>
      </c>
      <c r="Q848" s="4" t="str">
        <f t="shared" si="4"/>
        <v>En Revisión</v>
      </c>
      <c r="R848" s="12" t="str">
        <f t="shared" si="5"/>
        <v>Riesgo Medio</v>
      </c>
    </row>
    <row r="849">
      <c r="A849" s="1" t="s">
        <v>1404</v>
      </c>
      <c r="B849" s="9" t="s">
        <v>1405</v>
      </c>
      <c r="C849" s="9" t="s">
        <v>1406</v>
      </c>
      <c r="D849" s="1" t="s">
        <v>1407</v>
      </c>
      <c r="E849" s="1" t="s">
        <v>158</v>
      </c>
      <c r="F849" s="1" t="s">
        <v>158</v>
      </c>
      <c r="G849" s="1" t="s">
        <v>159</v>
      </c>
      <c r="H849" s="2">
        <v>1.336E7</v>
      </c>
      <c r="I849" s="1">
        <v>0.0</v>
      </c>
      <c r="J849" s="9" t="s">
        <v>28</v>
      </c>
      <c r="K849" s="5">
        <v>46098.0</v>
      </c>
      <c r="L849" s="11" t="s">
        <v>100</v>
      </c>
      <c r="M849" s="11"/>
      <c r="N849" s="4" t="str">
        <f t="shared" si="1"/>
        <v>Sebastián Rojas Silva</v>
      </c>
      <c r="O849" s="6" t="str">
        <f t="shared" si="2"/>
        <v>16.770.456-K</v>
      </c>
      <c r="P849" s="6" t="str">
        <f t="shared" si="3"/>
        <v>Antofagasta - Antofagasta - Región de Antofagasta</v>
      </c>
      <c r="Q849" s="4" t="str">
        <f t="shared" si="4"/>
        <v>Activo</v>
      </c>
      <c r="R849" s="12" t="str">
        <f t="shared" si="5"/>
        <v>Riesgo Bajo</v>
      </c>
    </row>
    <row r="850">
      <c r="A850" s="1" t="s">
        <v>1061</v>
      </c>
      <c r="B850" s="9" t="s">
        <v>1062</v>
      </c>
      <c r="C850" s="9" t="s">
        <v>1064</v>
      </c>
      <c r="D850" s="1" t="s">
        <v>1065</v>
      </c>
      <c r="E850" s="1" t="s">
        <v>45</v>
      </c>
      <c r="F850" s="1" t="s">
        <v>45</v>
      </c>
      <c r="G850" s="1" t="s">
        <v>46</v>
      </c>
      <c r="H850" s="2">
        <v>1650000.0</v>
      </c>
      <c r="I850" s="1">
        <v>15.0</v>
      </c>
      <c r="J850" s="9" t="s">
        <v>28</v>
      </c>
      <c r="K850" s="5">
        <v>46119.0</v>
      </c>
      <c r="L850" s="11" t="s">
        <v>207</v>
      </c>
      <c r="M850" s="11"/>
      <c r="N850" s="4" t="str">
        <f t="shared" si="1"/>
        <v>Sebastián Sepúlveda Rojas</v>
      </c>
      <c r="O850" s="6" t="str">
        <f t="shared" si="2"/>
        <v>20.871.270-5</v>
      </c>
      <c r="P850" s="6" t="str">
        <f t="shared" si="3"/>
        <v>Temuco - Temuco - Región de la Araucanía</v>
      </c>
      <c r="Q850" s="4" t="str">
        <f t="shared" si="4"/>
        <v>Activo</v>
      </c>
      <c r="R850" s="12" t="str">
        <f t="shared" si="5"/>
        <v>Riesgo Bajo</v>
      </c>
    </row>
    <row r="851">
      <c r="A851" s="1" t="s">
        <v>3309</v>
      </c>
      <c r="B851" s="9" t="s">
        <v>3310</v>
      </c>
      <c r="C851" s="9" t="s">
        <v>1064</v>
      </c>
      <c r="D851" s="1" t="s">
        <v>1652</v>
      </c>
      <c r="E851" s="1" t="s">
        <v>109</v>
      </c>
      <c r="F851" s="1" t="s">
        <v>62</v>
      </c>
      <c r="G851" s="1" t="s">
        <v>63</v>
      </c>
      <c r="H851" s="2">
        <v>7900000.0</v>
      </c>
      <c r="I851" s="1">
        <v>30.0</v>
      </c>
      <c r="J851" s="9" t="s">
        <v>28</v>
      </c>
      <c r="K851" s="5">
        <v>46104.0</v>
      </c>
      <c r="L851" s="11" t="s">
        <v>207</v>
      </c>
      <c r="M851" s="11"/>
      <c r="N851" s="4" t="str">
        <f t="shared" si="1"/>
        <v>Sebastián Sepúlveda Rojas</v>
      </c>
      <c r="O851" s="6" t="str">
        <f t="shared" si="2"/>
        <v>16327799-3</v>
      </c>
      <c r="P851" s="6" t="str">
        <f t="shared" si="3"/>
        <v>Ñuñoa - Santiago - Región Metropolitana</v>
      </c>
      <c r="Q851" s="4" t="str">
        <f t="shared" si="4"/>
        <v>Activo</v>
      </c>
      <c r="R851" s="12" t="str">
        <f t="shared" si="5"/>
        <v>Riesgo Bajo</v>
      </c>
    </row>
    <row r="852">
      <c r="A852" s="1" t="s">
        <v>1649</v>
      </c>
      <c r="B852" s="9" t="s">
        <v>1650</v>
      </c>
      <c r="C852" s="9" t="s">
        <v>1651</v>
      </c>
      <c r="D852" s="1" t="s">
        <v>1652</v>
      </c>
      <c r="E852" s="1" t="s">
        <v>72</v>
      </c>
      <c r="F852" s="1" t="s">
        <v>62</v>
      </c>
      <c r="G852" s="1" t="s">
        <v>63</v>
      </c>
      <c r="H852" s="2">
        <v>2.057E7</v>
      </c>
      <c r="I852" s="1">
        <v>90.0</v>
      </c>
      <c r="J852" s="9" t="s">
        <v>28</v>
      </c>
      <c r="K852" s="5">
        <v>46107.0</v>
      </c>
      <c r="L852" s="11" t="s">
        <v>100</v>
      </c>
      <c r="M852" s="11"/>
      <c r="N852" s="4" t="str">
        <f t="shared" si="1"/>
        <v>Sebastián Sepúlveda Silva</v>
      </c>
      <c r="O852" s="6" t="str">
        <f t="shared" si="2"/>
        <v>13.347.500-4</v>
      </c>
      <c r="P852" s="6" t="str">
        <f t="shared" si="3"/>
        <v>Providencia - Santiago - Región Metropolitana</v>
      </c>
      <c r="Q852" s="4" t="str">
        <f t="shared" si="4"/>
        <v>Activo</v>
      </c>
      <c r="R852" s="12" t="str">
        <f t="shared" si="5"/>
        <v>Riesgo Alto</v>
      </c>
    </row>
    <row r="853">
      <c r="A853" s="1" t="s">
        <v>346</v>
      </c>
      <c r="B853" s="9" t="s">
        <v>347</v>
      </c>
      <c r="C853" s="9" t="s">
        <v>348</v>
      </c>
      <c r="D853" s="1" t="s">
        <v>349</v>
      </c>
      <c r="E853" s="1" t="s">
        <v>25</v>
      </c>
      <c r="F853" s="1" t="s">
        <v>26</v>
      </c>
      <c r="G853" s="1" t="s">
        <v>27</v>
      </c>
      <c r="H853" s="2">
        <v>1.809E7</v>
      </c>
      <c r="I853" s="1">
        <v>0.0</v>
      </c>
      <c r="J853" s="9" t="s">
        <v>28</v>
      </c>
      <c r="K853" s="5">
        <v>46155.0</v>
      </c>
      <c r="L853" s="11" t="s">
        <v>207</v>
      </c>
      <c r="M853" s="11"/>
      <c r="N853" s="4" t="str">
        <f t="shared" si="1"/>
        <v>Sebastián Sepúlveda Soto</v>
      </c>
      <c r="O853" s="6" t="str">
        <f t="shared" si="2"/>
        <v>17.449.223-K</v>
      </c>
      <c r="P853" s="6" t="str">
        <f t="shared" si="3"/>
        <v>Viña del Mar - Valparaíso - Región de Valparaíso</v>
      </c>
      <c r="Q853" s="4" t="str">
        <f t="shared" si="4"/>
        <v>Activo</v>
      </c>
      <c r="R853" s="12" t="str">
        <f t="shared" si="5"/>
        <v>Riesgo Bajo</v>
      </c>
    </row>
    <row r="854">
      <c r="A854" s="1" t="s">
        <v>2489</v>
      </c>
      <c r="B854" s="9" t="s">
        <v>2491</v>
      </c>
      <c r="C854" s="9" t="s">
        <v>2492</v>
      </c>
      <c r="D854" s="1" t="s">
        <v>2493</v>
      </c>
      <c r="E854" s="1" t="s">
        <v>61</v>
      </c>
      <c r="F854" s="1" t="s">
        <v>62</v>
      </c>
      <c r="G854" s="1" t="s">
        <v>63</v>
      </c>
      <c r="H854" s="2">
        <v>1.028E7</v>
      </c>
      <c r="I854" s="1">
        <v>30.0</v>
      </c>
      <c r="J854" s="9" t="s">
        <v>20</v>
      </c>
      <c r="K854" s="5">
        <v>46068.0</v>
      </c>
      <c r="L854" s="11" t="s">
        <v>100</v>
      </c>
      <c r="M854" s="11"/>
      <c r="N854" s="4" t="str">
        <f t="shared" si="1"/>
        <v>Sebastián Soto Rojas</v>
      </c>
      <c r="O854" s="6" t="str">
        <f t="shared" si="2"/>
        <v>11.750.826-1</v>
      </c>
      <c r="P854" s="6" t="str">
        <f t="shared" si="3"/>
        <v>Santiago Centro - Santiago - Región Metropolitana</v>
      </c>
      <c r="Q854" s="4" t="str">
        <f t="shared" si="4"/>
        <v>En Revisión</v>
      </c>
      <c r="R854" s="12" t="str">
        <f t="shared" si="5"/>
        <v>Riesgo Medio</v>
      </c>
    </row>
    <row r="855">
      <c r="A855" s="1" t="s">
        <v>4673</v>
      </c>
      <c r="B855" s="9" t="s">
        <v>4674</v>
      </c>
      <c r="C855" s="9" t="s">
        <v>2492</v>
      </c>
      <c r="D855" s="1" t="s">
        <v>4675</v>
      </c>
      <c r="E855" s="1" t="s">
        <v>26</v>
      </c>
      <c r="F855" s="1" t="s">
        <v>26</v>
      </c>
      <c r="G855" s="1" t="s">
        <v>27</v>
      </c>
      <c r="H855" s="2">
        <v>1.574E7</v>
      </c>
      <c r="I855" s="1">
        <v>45.0</v>
      </c>
      <c r="J855" s="9" t="s">
        <v>28</v>
      </c>
      <c r="K855" s="5">
        <v>46161.0</v>
      </c>
      <c r="L855" s="11" t="s">
        <v>160</v>
      </c>
      <c r="M855" s="11"/>
      <c r="N855" s="4" t="str">
        <f t="shared" si="1"/>
        <v>Sebastián Soto Rojas</v>
      </c>
      <c r="O855" s="6" t="str">
        <f t="shared" si="2"/>
        <v>14651582-0</v>
      </c>
      <c r="P855" s="6" t="str">
        <f t="shared" si="3"/>
        <v>Valparaíso - Valparaíso - Región de Valparaíso</v>
      </c>
      <c r="Q855" s="4" t="str">
        <f t="shared" si="4"/>
        <v>Activo</v>
      </c>
      <c r="R855" s="12" t="str">
        <f t="shared" si="5"/>
        <v>Riesgo Medio</v>
      </c>
    </row>
    <row r="856">
      <c r="A856" s="1" t="s">
        <v>816</v>
      </c>
      <c r="B856" s="9" t="s">
        <v>817</v>
      </c>
      <c r="C856" s="9" t="s">
        <v>818</v>
      </c>
      <c r="D856" s="1" t="s">
        <v>819</v>
      </c>
      <c r="E856" s="1" t="s">
        <v>72</v>
      </c>
      <c r="F856" s="1" t="s">
        <v>62</v>
      </c>
      <c r="G856" s="1" t="s">
        <v>63</v>
      </c>
      <c r="H856" s="2">
        <v>2.086E7</v>
      </c>
      <c r="I856" s="1">
        <v>60.0</v>
      </c>
      <c r="J856" s="9" t="s">
        <v>28</v>
      </c>
      <c r="K856" s="5">
        <v>46034.0</v>
      </c>
      <c r="L856" s="11" t="s">
        <v>181</v>
      </c>
      <c r="M856" s="11"/>
      <c r="N856" s="4" t="str">
        <f t="shared" si="1"/>
        <v>Sebastián Tapia Muñoz</v>
      </c>
      <c r="O856" s="6" t="str">
        <f t="shared" si="2"/>
        <v>12.265.019-7</v>
      </c>
      <c r="P856" s="6" t="str">
        <f t="shared" si="3"/>
        <v>Providencia - Santiago - Región Metropolitana</v>
      </c>
      <c r="Q856" s="4" t="str">
        <f t="shared" si="4"/>
        <v>Activo</v>
      </c>
      <c r="R856" s="12" t="str">
        <f t="shared" si="5"/>
        <v>Riesgo Medio</v>
      </c>
    </row>
    <row r="857">
      <c r="A857" s="1" t="s">
        <v>4467</v>
      </c>
      <c r="B857" s="9" t="s">
        <v>4468</v>
      </c>
      <c r="C857" s="9" t="s">
        <v>4469</v>
      </c>
      <c r="D857" s="1" t="s">
        <v>4470</v>
      </c>
      <c r="E857" s="1" t="s">
        <v>33</v>
      </c>
      <c r="F857" s="1" t="s">
        <v>33</v>
      </c>
      <c r="G857" s="1" t="s">
        <v>34</v>
      </c>
      <c r="H857" s="2">
        <v>9420000.0</v>
      </c>
      <c r="I857" s="1">
        <v>0.0</v>
      </c>
      <c r="J857" s="9" t="s">
        <v>28</v>
      </c>
      <c r="K857" s="5">
        <v>46146.0</v>
      </c>
      <c r="L857" s="11" t="s">
        <v>199</v>
      </c>
      <c r="M857" s="11"/>
      <c r="N857" s="4" t="str">
        <f t="shared" si="1"/>
        <v>Sebastián Tapia Soto</v>
      </c>
      <c r="O857" s="6" t="str">
        <f t="shared" si="2"/>
        <v>14.398.770-5</v>
      </c>
      <c r="P857" s="6" t="str">
        <f t="shared" si="3"/>
        <v>Puerto Montt - Puerto Montt - Región de Los Lagos</v>
      </c>
      <c r="Q857" s="4" t="str">
        <f t="shared" si="4"/>
        <v>Activo</v>
      </c>
      <c r="R857" s="12" t="str">
        <f t="shared" si="5"/>
        <v>Riesgo Bajo</v>
      </c>
    </row>
    <row r="858">
      <c r="A858" s="1" t="s">
        <v>1623</v>
      </c>
      <c r="B858" s="9" t="s">
        <v>1624</v>
      </c>
      <c r="C858" s="9" t="s">
        <v>4049</v>
      </c>
      <c r="D858" s="1" t="s">
        <v>1627</v>
      </c>
      <c r="E858" s="1" t="s">
        <v>56</v>
      </c>
      <c r="F858" s="1" t="s">
        <v>39</v>
      </c>
      <c r="G858" s="1" t="s">
        <v>40</v>
      </c>
      <c r="H858" s="2">
        <v>2.014E7</v>
      </c>
      <c r="I858" s="1">
        <v>0.0</v>
      </c>
      <c r="J858" s="9" t="s">
        <v>28</v>
      </c>
      <c r="K858" s="5">
        <v>46211.0</v>
      </c>
      <c r="L858" s="11" t="s">
        <v>207</v>
      </c>
      <c r="M858" s="11"/>
      <c r="N858" s="4" t="str">
        <f t="shared" si="1"/>
        <v>Sebastián Valenzuela Morales</v>
      </c>
      <c r="O858" s="6" t="str">
        <f t="shared" si="2"/>
        <v>14.913.083-K</v>
      </c>
      <c r="P858" s="6" t="str">
        <f t="shared" si="3"/>
        <v>Talcahuano - Concepción - Región del Biobío</v>
      </c>
      <c r="Q858" s="4" t="str">
        <f t="shared" si="4"/>
        <v>Activo</v>
      </c>
      <c r="R858" s="12" t="str">
        <f t="shared" si="5"/>
        <v>Riesgo Bajo</v>
      </c>
    </row>
    <row r="859">
      <c r="A859" s="1" t="s">
        <v>4047</v>
      </c>
      <c r="B859" s="9" t="s">
        <v>4048</v>
      </c>
      <c r="C859" s="9" t="s">
        <v>4049</v>
      </c>
      <c r="D859" s="1" t="s">
        <v>4050</v>
      </c>
      <c r="E859" s="1" t="s">
        <v>25</v>
      </c>
      <c r="F859" s="1" t="s">
        <v>26</v>
      </c>
      <c r="G859" s="1" t="s">
        <v>27</v>
      </c>
      <c r="H859" s="2">
        <v>1.018E7</v>
      </c>
      <c r="I859" s="1">
        <v>30.0</v>
      </c>
      <c r="J859" s="9" t="s">
        <v>20</v>
      </c>
      <c r="K859" s="5">
        <v>46126.0</v>
      </c>
      <c r="L859" s="11" t="s">
        <v>160</v>
      </c>
      <c r="M859" s="11"/>
      <c r="N859" s="4" t="str">
        <f t="shared" si="1"/>
        <v>Sebastián Valenzuela Morales</v>
      </c>
      <c r="O859" s="6" t="str">
        <f t="shared" si="2"/>
        <v>22.290.123-7</v>
      </c>
      <c r="P859" s="6" t="str">
        <f t="shared" si="3"/>
        <v>Viña del Mar - Valparaíso - Región de Valparaíso</v>
      </c>
      <c r="Q859" s="4" t="str">
        <f t="shared" si="4"/>
        <v>En Revisión</v>
      </c>
      <c r="R859" s="12" t="str">
        <f t="shared" si="5"/>
        <v>Riesgo Medio</v>
      </c>
    </row>
    <row r="860">
      <c r="A860" s="1" t="s">
        <v>4234</v>
      </c>
      <c r="B860" s="9" t="s">
        <v>4235</v>
      </c>
      <c r="C860" s="9" t="s">
        <v>4236</v>
      </c>
      <c r="D860" s="1" t="s">
        <v>3177</v>
      </c>
      <c r="E860" s="1" t="s">
        <v>109</v>
      </c>
      <c r="F860" s="1" t="s">
        <v>62</v>
      </c>
      <c r="G860" s="1" t="s">
        <v>63</v>
      </c>
      <c r="H860" s="2">
        <v>1.266E7</v>
      </c>
      <c r="I860" s="1">
        <v>120.0</v>
      </c>
      <c r="J860" s="9" t="s">
        <v>28</v>
      </c>
      <c r="K860" s="5">
        <v>46200.0</v>
      </c>
      <c r="L860" s="11" t="s">
        <v>100</v>
      </c>
      <c r="M860" s="11"/>
      <c r="N860" s="4" t="str">
        <f t="shared" si="1"/>
        <v>Sebastián Valenzuela Rojas</v>
      </c>
      <c r="O860" s="6" t="str">
        <f t="shared" si="2"/>
        <v>16050608-1</v>
      </c>
      <c r="P860" s="6" t="str">
        <f t="shared" si="3"/>
        <v>Ñuñoa - Santiago - Región Metropolitana</v>
      </c>
      <c r="Q860" s="4" t="str">
        <f t="shared" si="4"/>
        <v>Activo</v>
      </c>
      <c r="R860" s="12" t="str">
        <f t="shared" si="5"/>
        <v>Riesgo Alto</v>
      </c>
    </row>
    <row r="861">
      <c r="A861" s="1" t="s">
        <v>3174</v>
      </c>
      <c r="B861" s="9" t="s">
        <v>3175</v>
      </c>
      <c r="C861" s="9" t="s">
        <v>3176</v>
      </c>
      <c r="D861" s="1" t="s">
        <v>3177</v>
      </c>
      <c r="E861" s="1" t="s">
        <v>118</v>
      </c>
      <c r="F861" s="1" t="s">
        <v>62</v>
      </c>
      <c r="G861" s="1" t="s">
        <v>63</v>
      </c>
      <c r="H861" s="2">
        <v>6660000.0</v>
      </c>
      <c r="I861" s="1">
        <v>60.0</v>
      </c>
      <c r="J861" s="9" t="s">
        <v>20</v>
      </c>
      <c r="K861" s="5">
        <v>46113.0</v>
      </c>
      <c r="L861" s="11" t="s">
        <v>160</v>
      </c>
      <c r="M861" s="11"/>
      <c r="N861" s="4" t="str">
        <f t="shared" si="1"/>
        <v>Sebastián Valenzuela Sepúlveda</v>
      </c>
      <c r="O861" s="6" t="str">
        <f t="shared" si="2"/>
        <v>15.950.657-5</v>
      </c>
      <c r="P861" s="6" t="str">
        <f t="shared" si="3"/>
        <v>Maipú - Santiago - Región Metropolitana</v>
      </c>
      <c r="Q861" s="4" t="str">
        <f t="shared" si="4"/>
        <v>En Revisión</v>
      </c>
      <c r="R861" s="12" t="str">
        <f t="shared" si="5"/>
        <v>Riesgo Medio</v>
      </c>
    </row>
    <row r="862">
      <c r="A862" s="1" t="s">
        <v>896</v>
      </c>
      <c r="B862" s="9" t="s">
        <v>897</v>
      </c>
      <c r="C862" s="9" t="s">
        <v>898</v>
      </c>
      <c r="D862" s="1" t="s">
        <v>899</v>
      </c>
      <c r="E862" s="1" t="s">
        <v>33</v>
      </c>
      <c r="F862" s="1" t="s">
        <v>33</v>
      </c>
      <c r="G862" s="1" t="s">
        <v>34</v>
      </c>
      <c r="H862" s="2">
        <v>1.354E7</v>
      </c>
      <c r="I862" s="1">
        <v>30.0</v>
      </c>
      <c r="J862" s="9" t="s">
        <v>20</v>
      </c>
      <c r="K862" s="5">
        <v>46144.0</v>
      </c>
      <c r="L862" s="11" t="s">
        <v>160</v>
      </c>
      <c r="M862" s="11"/>
      <c r="N862" s="4" t="str">
        <f t="shared" si="1"/>
        <v>Sofia Contreras Pérez</v>
      </c>
      <c r="O862" s="6" t="str">
        <f t="shared" si="2"/>
        <v>22.467.181-4</v>
      </c>
      <c r="P862" s="6" t="str">
        <f t="shared" si="3"/>
        <v>Puerto Montt - Puerto Montt - Región de Los Lagos</v>
      </c>
      <c r="Q862" s="4" t="str">
        <f t="shared" si="4"/>
        <v>En Revisión</v>
      </c>
      <c r="R862" s="12" t="str">
        <f t="shared" si="5"/>
        <v>Riesgo Medio</v>
      </c>
    </row>
    <row r="863">
      <c r="A863" s="1" t="s">
        <v>1668</v>
      </c>
      <c r="B863" s="9" t="s">
        <v>1670</v>
      </c>
      <c r="C863" s="9" t="s">
        <v>1671</v>
      </c>
      <c r="D863" s="1" t="s">
        <v>1672</v>
      </c>
      <c r="E863" s="1" t="s">
        <v>61</v>
      </c>
      <c r="F863" s="1" t="s">
        <v>62</v>
      </c>
      <c r="G863" s="1" t="s">
        <v>63</v>
      </c>
      <c r="H863" s="2">
        <v>4540000.0</v>
      </c>
      <c r="I863" s="1">
        <v>0.0</v>
      </c>
      <c r="J863" s="9" t="s">
        <v>28</v>
      </c>
      <c r="K863" s="5">
        <v>46049.0</v>
      </c>
      <c r="L863" s="11" t="s">
        <v>181</v>
      </c>
      <c r="M863" s="11"/>
      <c r="N863" s="4" t="str">
        <f t="shared" si="1"/>
        <v>Sofia Contreras Sepúlveda</v>
      </c>
      <c r="O863" s="6" t="str">
        <f t="shared" si="2"/>
        <v>16.632.116-2</v>
      </c>
      <c r="P863" s="6" t="str">
        <f t="shared" si="3"/>
        <v>Santiago Centro - Santiago - Región Metropolitana</v>
      </c>
      <c r="Q863" s="4" t="str">
        <f t="shared" si="4"/>
        <v>Activo</v>
      </c>
      <c r="R863" s="12" t="str">
        <f t="shared" si="5"/>
        <v>Riesgo Bajo</v>
      </c>
    </row>
    <row r="864">
      <c r="A864" s="1" t="s">
        <v>152</v>
      </c>
      <c r="B864" s="9" t="s">
        <v>153</v>
      </c>
      <c r="C864" s="9" t="s">
        <v>155</v>
      </c>
      <c r="D864" s="1" t="s">
        <v>157</v>
      </c>
      <c r="E864" s="1" t="s">
        <v>118</v>
      </c>
      <c r="F864" s="1" t="s">
        <v>62</v>
      </c>
      <c r="G864" s="1" t="s">
        <v>63</v>
      </c>
      <c r="H864" s="2">
        <v>1.547E7</v>
      </c>
      <c r="I864" s="1">
        <v>0.0</v>
      </c>
      <c r="J864" s="9" t="s">
        <v>28</v>
      </c>
      <c r="K864" s="5">
        <v>46034.0</v>
      </c>
      <c r="L864" s="11" t="s">
        <v>160</v>
      </c>
      <c r="M864" s="11"/>
      <c r="N864" s="4" t="str">
        <f t="shared" si="1"/>
        <v>Sofia Díaz Valenzuela</v>
      </c>
      <c r="O864" s="6" t="str">
        <f t="shared" si="2"/>
        <v>13.667.446-4</v>
      </c>
      <c r="P864" s="6" t="str">
        <f t="shared" si="3"/>
        <v>Maipú - Santiago - Región Metropolitana</v>
      </c>
      <c r="Q864" s="4" t="str">
        <f t="shared" si="4"/>
        <v>Activo</v>
      </c>
      <c r="R864" s="12" t="str">
        <f t="shared" si="5"/>
        <v>Riesgo Bajo</v>
      </c>
    </row>
    <row r="865">
      <c r="A865" s="1" t="s">
        <v>4479</v>
      </c>
      <c r="B865" s="9" t="s">
        <v>4481</v>
      </c>
      <c r="C865" s="9" t="s">
        <v>4482</v>
      </c>
      <c r="D865" s="1" t="s">
        <v>4483</v>
      </c>
      <c r="E865" s="1" t="s">
        <v>109</v>
      </c>
      <c r="F865" s="1" t="s">
        <v>62</v>
      </c>
      <c r="G865" s="1" t="s">
        <v>63</v>
      </c>
      <c r="H865" s="2">
        <v>2.079E7</v>
      </c>
      <c r="I865" s="1">
        <v>30.0</v>
      </c>
      <c r="J865" s="9" t="s">
        <v>28</v>
      </c>
      <c r="K865" s="5">
        <v>46092.0</v>
      </c>
      <c r="L865" s="11" t="s">
        <v>160</v>
      </c>
      <c r="M865" s="11"/>
      <c r="N865" s="4" t="str">
        <f t="shared" si="1"/>
        <v>Sofia Espinoza Espinoza</v>
      </c>
      <c r="O865" s="6" t="str">
        <f t="shared" si="2"/>
        <v>16.766.254-5</v>
      </c>
      <c r="P865" s="6" t="str">
        <f t="shared" si="3"/>
        <v>Ñuñoa - Santiago - Región Metropolitana</v>
      </c>
      <c r="Q865" s="4" t="str">
        <f t="shared" si="4"/>
        <v>Activo</v>
      </c>
      <c r="R865" s="12" t="str">
        <f t="shared" si="5"/>
        <v>Riesgo Bajo</v>
      </c>
    </row>
    <row r="866">
      <c r="A866" s="1" t="s">
        <v>2544</v>
      </c>
      <c r="B866" s="9" t="s">
        <v>2545</v>
      </c>
      <c r="C866" s="9" t="s">
        <v>2546</v>
      </c>
      <c r="D866" s="1" t="s">
        <v>122</v>
      </c>
      <c r="E866" s="1" t="s">
        <v>26</v>
      </c>
      <c r="F866" s="1" t="s">
        <v>26</v>
      </c>
      <c r="G866" s="1" t="s">
        <v>27</v>
      </c>
      <c r="H866" s="2">
        <v>1.759E7</v>
      </c>
      <c r="I866" s="1">
        <v>0.0</v>
      </c>
      <c r="J866" s="9" t="s">
        <v>28</v>
      </c>
      <c r="K866" s="5">
        <v>46083.0</v>
      </c>
      <c r="L866" s="11" t="s">
        <v>207</v>
      </c>
      <c r="M866" s="11"/>
      <c r="N866" s="4" t="str">
        <f t="shared" si="1"/>
        <v>Sofia Espinoza Fuentes</v>
      </c>
      <c r="O866" s="6" t="str">
        <f t="shared" si="2"/>
        <v>22174016-3</v>
      </c>
      <c r="P866" s="6" t="str">
        <f t="shared" si="3"/>
        <v>Valparaíso - Valparaíso - Región de Valparaíso</v>
      </c>
      <c r="Q866" s="4" t="str">
        <f t="shared" si="4"/>
        <v>Activo</v>
      </c>
      <c r="R866" s="12" t="str">
        <f t="shared" si="5"/>
        <v>Riesgo Bajo</v>
      </c>
    </row>
    <row r="867">
      <c r="A867" s="1" t="s">
        <v>2803</v>
      </c>
      <c r="B867" s="9" t="s">
        <v>2804</v>
      </c>
      <c r="C867" s="9" t="s">
        <v>4901</v>
      </c>
      <c r="D867" s="1" t="s">
        <v>2806</v>
      </c>
      <c r="E867" s="1" t="s">
        <v>118</v>
      </c>
      <c r="F867" s="1" t="s">
        <v>62</v>
      </c>
      <c r="G867" s="1" t="s">
        <v>63</v>
      </c>
      <c r="H867" s="2">
        <v>1.323E7</v>
      </c>
      <c r="I867" s="1">
        <v>15.0</v>
      </c>
      <c r="J867" s="9" t="s">
        <v>28</v>
      </c>
      <c r="K867" s="5">
        <v>46126.0</v>
      </c>
      <c r="L867" s="11" t="s">
        <v>160</v>
      </c>
      <c r="M867" s="11"/>
      <c r="N867" s="4" t="str">
        <f t="shared" si="1"/>
        <v>Sofia Espinoza González</v>
      </c>
      <c r="O867" s="6" t="str">
        <f t="shared" si="2"/>
        <v>11.664.625-K</v>
      </c>
      <c r="P867" s="6" t="str">
        <f t="shared" si="3"/>
        <v>Maipú - Santiago - Región Metropolitana</v>
      </c>
      <c r="Q867" s="4" t="str">
        <f t="shared" si="4"/>
        <v>Activo</v>
      </c>
      <c r="R867" s="12" t="str">
        <f t="shared" si="5"/>
        <v>Riesgo Bajo</v>
      </c>
    </row>
    <row r="868">
      <c r="A868" s="1" t="s">
        <v>3780</v>
      </c>
      <c r="B868" s="9" t="s">
        <v>3781</v>
      </c>
      <c r="C868" s="9" t="s">
        <v>3782</v>
      </c>
      <c r="D868" s="1" t="s">
        <v>3783</v>
      </c>
      <c r="E868" s="1" t="s">
        <v>25</v>
      </c>
      <c r="F868" s="1" t="s">
        <v>26</v>
      </c>
      <c r="G868" s="1" t="s">
        <v>27</v>
      </c>
      <c r="H868" s="2">
        <v>2.198E7</v>
      </c>
      <c r="I868" s="1">
        <v>30.0</v>
      </c>
      <c r="J868" s="9" t="s">
        <v>20</v>
      </c>
      <c r="K868" s="5">
        <v>46208.0</v>
      </c>
      <c r="L868" s="11" t="s">
        <v>207</v>
      </c>
      <c r="M868" s="11"/>
      <c r="N868" s="4" t="str">
        <f t="shared" si="1"/>
        <v>Sofia Espinoza Pérez</v>
      </c>
      <c r="O868" s="6" t="str">
        <f t="shared" si="2"/>
        <v>16.677.110-8</v>
      </c>
      <c r="P868" s="6" t="str">
        <f t="shared" si="3"/>
        <v>Viña del Mar - Valparaíso - Región de Valparaíso</v>
      </c>
      <c r="Q868" s="4" t="str">
        <f t="shared" si="4"/>
        <v>En Revisión</v>
      </c>
      <c r="R868" s="12" t="str">
        <f t="shared" si="5"/>
        <v>Riesgo Medio</v>
      </c>
    </row>
    <row r="869">
      <c r="A869" s="1" t="s">
        <v>119</v>
      </c>
      <c r="B869" s="9" t="s">
        <v>120</v>
      </c>
      <c r="C869" s="9" t="s">
        <v>121</v>
      </c>
      <c r="D869" s="1" t="s">
        <v>122</v>
      </c>
      <c r="E869" s="1" t="s">
        <v>33</v>
      </c>
      <c r="F869" s="1" t="s">
        <v>33</v>
      </c>
      <c r="G869" s="1" t="s">
        <v>34</v>
      </c>
      <c r="H869" s="2">
        <v>1.763E7</v>
      </c>
      <c r="I869" s="1">
        <v>0.0</v>
      </c>
      <c r="J869" s="9" t="s">
        <v>97</v>
      </c>
      <c r="K869" s="5">
        <v>46087.0</v>
      </c>
      <c r="L869" s="11" t="s">
        <v>100</v>
      </c>
      <c r="M869" s="11"/>
      <c r="N869" s="4" t="str">
        <f t="shared" si="1"/>
        <v>Sofia Espinoza Tapia</v>
      </c>
      <c r="O869" s="6" t="str">
        <f t="shared" si="2"/>
        <v>14.972.823-9</v>
      </c>
      <c r="P869" s="6" t="str">
        <f t="shared" si="3"/>
        <v>Puerto Montt - Puerto Montt - Región de Los Lagos</v>
      </c>
      <c r="Q869" s="4" t="str">
        <f t="shared" si="4"/>
        <v>Inactivo</v>
      </c>
      <c r="R869" s="12" t="str">
        <f t="shared" si="5"/>
        <v>Riesgo Bajo</v>
      </c>
    </row>
    <row r="870">
      <c r="A870" s="1" t="s">
        <v>4728</v>
      </c>
      <c r="B870" s="9" t="s">
        <v>4729</v>
      </c>
      <c r="C870" s="9" t="s">
        <v>4730</v>
      </c>
      <c r="D870" s="1" t="s">
        <v>122</v>
      </c>
      <c r="E870" s="1" t="s">
        <v>56</v>
      </c>
      <c r="F870" s="1" t="s">
        <v>39</v>
      </c>
      <c r="G870" s="1" t="s">
        <v>40</v>
      </c>
      <c r="H870" s="2">
        <v>1.639E7</v>
      </c>
      <c r="I870" s="1">
        <v>15.0</v>
      </c>
      <c r="J870" s="9" t="s">
        <v>20</v>
      </c>
      <c r="K870" s="5">
        <v>46176.0</v>
      </c>
      <c r="L870" s="11" t="s">
        <v>207</v>
      </c>
      <c r="M870" s="11"/>
      <c r="N870" s="4" t="str">
        <f t="shared" si="1"/>
        <v>Sofia Espinoza Valenzuela</v>
      </c>
      <c r="O870" s="6" t="str">
        <f t="shared" si="2"/>
        <v>21.026.989-9</v>
      </c>
      <c r="P870" s="6" t="str">
        <f t="shared" si="3"/>
        <v>Talcahuano - Concepción - Región del Biobío</v>
      </c>
      <c r="Q870" s="4" t="str">
        <f t="shared" si="4"/>
        <v>En Revisión</v>
      </c>
      <c r="R870" s="12" t="str">
        <f t="shared" si="5"/>
        <v>Riesgo Medio</v>
      </c>
    </row>
    <row r="871">
      <c r="A871" s="1" t="s">
        <v>4524</v>
      </c>
      <c r="B871" s="9" t="s">
        <v>4525</v>
      </c>
      <c r="C871" s="9" t="s">
        <v>4526</v>
      </c>
      <c r="D871" s="1" t="s">
        <v>4527</v>
      </c>
      <c r="E871" s="1" t="s">
        <v>61</v>
      </c>
      <c r="F871" s="1" t="s">
        <v>62</v>
      </c>
      <c r="G871" s="1" t="s">
        <v>63</v>
      </c>
      <c r="H871" s="2">
        <v>2.106E7</v>
      </c>
      <c r="I871" s="1">
        <v>30.0</v>
      </c>
      <c r="J871" s="9" t="s">
        <v>97</v>
      </c>
      <c r="K871" s="5">
        <v>46157.0</v>
      </c>
      <c r="L871" s="11" t="s">
        <v>207</v>
      </c>
      <c r="M871" s="11"/>
      <c r="N871" s="4" t="str">
        <f t="shared" si="1"/>
        <v>Sofia Fuentes López</v>
      </c>
      <c r="O871" s="6" t="str">
        <f t="shared" si="2"/>
        <v>16259379-5</v>
      </c>
      <c r="P871" s="6" t="str">
        <f t="shared" si="3"/>
        <v>Santiago Centro - Santiago - Región Metropolitana</v>
      </c>
      <c r="Q871" s="4" t="str">
        <f t="shared" si="4"/>
        <v>Inactivo</v>
      </c>
      <c r="R871" s="12" t="str">
        <f t="shared" si="5"/>
        <v>Riesgo Bajo</v>
      </c>
    </row>
    <row r="872">
      <c r="A872" s="1" t="s">
        <v>4669</v>
      </c>
      <c r="B872" s="9" t="s">
        <v>4670</v>
      </c>
      <c r="C872" s="9" t="s">
        <v>4671</v>
      </c>
      <c r="D872" s="1" t="s">
        <v>4672</v>
      </c>
      <c r="E872" s="1" t="s">
        <v>33</v>
      </c>
      <c r="F872" s="1" t="s">
        <v>33</v>
      </c>
      <c r="G872" s="1" t="s">
        <v>34</v>
      </c>
      <c r="H872" s="2">
        <v>6310000.0</v>
      </c>
      <c r="I872" s="1">
        <v>60.0</v>
      </c>
      <c r="J872" s="9" t="s">
        <v>97</v>
      </c>
      <c r="K872" s="5">
        <v>46138.0</v>
      </c>
      <c r="L872" s="11" t="s">
        <v>100</v>
      </c>
      <c r="M872" s="11"/>
      <c r="N872" s="4" t="str">
        <f t="shared" si="1"/>
        <v>Sofia Fuentes Muñoz</v>
      </c>
      <c r="O872" s="6" t="str">
        <f t="shared" si="2"/>
        <v>21.035.289-2</v>
      </c>
      <c r="P872" s="6" t="str">
        <f t="shared" si="3"/>
        <v>Puerto Montt - Puerto Montt - Región de Los Lagos</v>
      </c>
      <c r="Q872" s="4" t="str">
        <f t="shared" si="4"/>
        <v>Inactivo</v>
      </c>
      <c r="R872" s="12" t="str">
        <f t="shared" si="5"/>
        <v>Riesgo Medio</v>
      </c>
    </row>
    <row r="873">
      <c r="A873" s="1" t="s">
        <v>4543</v>
      </c>
      <c r="B873" s="9" t="s">
        <v>4544</v>
      </c>
      <c r="C873" s="9" t="s">
        <v>4545</v>
      </c>
      <c r="D873" s="1" t="s">
        <v>4527</v>
      </c>
      <c r="E873" s="1" t="s">
        <v>194</v>
      </c>
      <c r="F873" s="1" t="s">
        <v>62</v>
      </c>
      <c r="G873" s="1" t="s">
        <v>63</v>
      </c>
      <c r="H873" s="2">
        <v>1.42E7</v>
      </c>
      <c r="I873" s="1">
        <v>30.0</v>
      </c>
      <c r="J873" s="9" t="s">
        <v>20</v>
      </c>
      <c r="K873" s="5">
        <v>46121.0</v>
      </c>
      <c r="L873" s="11" t="s">
        <v>207</v>
      </c>
      <c r="M873" s="11"/>
      <c r="N873" s="4" t="str">
        <f t="shared" si="1"/>
        <v>Sofia Fuentes Valenzuela</v>
      </c>
      <c r="O873" s="6" t="str">
        <f t="shared" si="2"/>
        <v>17.633.779-8</v>
      </c>
      <c r="P873" s="6" t="str">
        <f t="shared" si="3"/>
        <v>Las Condes - Santiago - Región Metropolitana</v>
      </c>
      <c r="Q873" s="4" t="str">
        <f t="shared" si="4"/>
        <v>En Revisión</v>
      </c>
      <c r="R873" s="12" t="str">
        <f t="shared" si="5"/>
        <v>Riesgo Medio</v>
      </c>
    </row>
    <row r="874">
      <c r="A874" s="1" t="s">
        <v>1040</v>
      </c>
      <c r="B874" s="9" t="s">
        <v>1041</v>
      </c>
      <c r="C874" s="9" t="s">
        <v>1042</v>
      </c>
      <c r="D874" s="1" t="s">
        <v>1043</v>
      </c>
      <c r="E874" s="1" t="s">
        <v>26</v>
      </c>
      <c r="F874" s="1" t="s">
        <v>26</v>
      </c>
      <c r="G874" s="1" t="s">
        <v>27</v>
      </c>
      <c r="H874" s="2">
        <v>3260000.0</v>
      </c>
      <c r="I874" s="1">
        <v>0.0</v>
      </c>
      <c r="J874" s="9" t="s">
        <v>20</v>
      </c>
      <c r="K874" s="5">
        <v>46178.0</v>
      </c>
      <c r="L874" s="11" t="s">
        <v>100</v>
      </c>
      <c r="M874" s="11"/>
      <c r="N874" s="4" t="str">
        <f t="shared" si="1"/>
        <v>Sofia González Tapia</v>
      </c>
      <c r="O874" s="6" t="str">
        <f t="shared" si="2"/>
        <v>21.326.779-3</v>
      </c>
      <c r="P874" s="6" t="str">
        <f t="shared" si="3"/>
        <v>Valparaíso - Valparaíso - Región de Valparaíso</v>
      </c>
      <c r="Q874" s="4" t="str">
        <f t="shared" si="4"/>
        <v>En Revisión</v>
      </c>
      <c r="R874" s="12" t="str">
        <f t="shared" si="5"/>
        <v>Riesgo Medio</v>
      </c>
    </row>
    <row r="875">
      <c r="A875" s="1" t="s">
        <v>3883</v>
      </c>
      <c r="B875" s="9" t="s">
        <v>3884</v>
      </c>
      <c r="C875" s="9" t="s">
        <v>4902</v>
      </c>
      <c r="D875" s="1" t="s">
        <v>3886</v>
      </c>
      <c r="E875" s="1" t="s">
        <v>18</v>
      </c>
      <c r="F875" s="1" t="s">
        <v>18</v>
      </c>
      <c r="G875" s="1" t="s">
        <v>19</v>
      </c>
      <c r="H875" s="2">
        <v>1.4E7</v>
      </c>
      <c r="I875" s="1">
        <v>0.0</v>
      </c>
      <c r="J875" s="9" t="s">
        <v>28</v>
      </c>
      <c r="K875" s="5">
        <v>46044.0</v>
      </c>
      <c r="L875" s="11" t="s">
        <v>160</v>
      </c>
      <c r="M875" s="11"/>
      <c r="N875" s="4" t="str">
        <f t="shared" si="1"/>
        <v>Sofia López Muñoz</v>
      </c>
      <c r="O875" s="6" t="str">
        <f t="shared" si="2"/>
        <v>16.779.465-4</v>
      </c>
      <c r="P875" s="6" t="str">
        <f t="shared" si="3"/>
        <v>La Serena - La Serena - Región de Coquimbo</v>
      </c>
      <c r="Q875" s="4" t="str">
        <f t="shared" si="4"/>
        <v>Activo</v>
      </c>
      <c r="R875" s="12" t="str">
        <f t="shared" si="5"/>
        <v>Riesgo Bajo</v>
      </c>
    </row>
    <row r="876">
      <c r="A876" s="1" t="s">
        <v>4397</v>
      </c>
      <c r="B876" s="9" t="s">
        <v>4398</v>
      </c>
      <c r="C876" s="9" t="s">
        <v>4399</v>
      </c>
      <c r="D876" s="1" t="s">
        <v>4400</v>
      </c>
      <c r="E876" s="1" t="s">
        <v>45</v>
      </c>
      <c r="F876" s="1" t="s">
        <v>45</v>
      </c>
      <c r="G876" s="1" t="s">
        <v>46</v>
      </c>
      <c r="H876" s="2">
        <v>1.706E7</v>
      </c>
      <c r="I876" s="1">
        <v>15.0</v>
      </c>
      <c r="J876" s="9" t="s">
        <v>28</v>
      </c>
      <c r="K876" s="5">
        <v>46201.0</v>
      </c>
      <c r="L876" s="11" t="s">
        <v>181</v>
      </c>
      <c r="M876" s="11"/>
      <c r="N876" s="4" t="str">
        <f t="shared" si="1"/>
        <v>Sofia López Pérez</v>
      </c>
      <c r="O876" s="6" t="str">
        <f t="shared" si="2"/>
        <v>11.390.200-1</v>
      </c>
      <c r="P876" s="6" t="str">
        <f t="shared" si="3"/>
        <v>Temuco - Temuco - Región de la Araucanía</v>
      </c>
      <c r="Q876" s="4" t="str">
        <f t="shared" si="4"/>
        <v>Activo</v>
      </c>
      <c r="R876" s="12" t="str">
        <f t="shared" si="5"/>
        <v>Riesgo Bajo</v>
      </c>
    </row>
    <row r="877">
      <c r="A877" s="1" t="s">
        <v>3627</v>
      </c>
      <c r="B877" s="9" t="s">
        <v>3629</v>
      </c>
      <c r="C877" s="9" t="s">
        <v>4903</v>
      </c>
      <c r="D877" s="1" t="s">
        <v>3634</v>
      </c>
      <c r="E877" s="1" t="s">
        <v>33</v>
      </c>
      <c r="F877" s="1" t="s">
        <v>33</v>
      </c>
      <c r="G877" s="1" t="s">
        <v>34</v>
      </c>
      <c r="H877" s="2">
        <v>1.801E7</v>
      </c>
      <c r="I877" s="1">
        <v>60.0</v>
      </c>
      <c r="J877" s="9" t="s">
        <v>28</v>
      </c>
      <c r="K877" s="5">
        <v>46161.0</v>
      </c>
      <c r="L877" s="11" t="s">
        <v>199</v>
      </c>
      <c r="M877" s="11"/>
      <c r="N877" s="4" t="str">
        <f t="shared" si="1"/>
        <v>Sofia Morales González</v>
      </c>
      <c r="O877" s="6" t="str">
        <f t="shared" si="2"/>
        <v>14.055.883-K</v>
      </c>
      <c r="P877" s="6" t="str">
        <f t="shared" si="3"/>
        <v>Puerto Montt - Puerto Montt - Región de Los Lagos</v>
      </c>
      <c r="Q877" s="4" t="str">
        <f t="shared" si="4"/>
        <v>Activo</v>
      </c>
      <c r="R877" s="12" t="str">
        <f t="shared" si="5"/>
        <v>Riesgo Medio</v>
      </c>
    </row>
    <row r="878">
      <c r="A878" s="1" t="s">
        <v>2449</v>
      </c>
      <c r="B878" s="9" t="s">
        <v>2450</v>
      </c>
      <c r="C878" s="9" t="s">
        <v>4904</v>
      </c>
      <c r="D878" s="1" t="s">
        <v>2452</v>
      </c>
      <c r="E878" s="1" t="s">
        <v>72</v>
      </c>
      <c r="F878" s="1" t="s">
        <v>62</v>
      </c>
      <c r="G878" s="1" t="s">
        <v>63</v>
      </c>
      <c r="H878" s="2">
        <v>1.157E7</v>
      </c>
      <c r="I878" s="1">
        <v>30.0</v>
      </c>
      <c r="J878" s="9" t="s">
        <v>28</v>
      </c>
      <c r="K878" s="5">
        <v>46147.0</v>
      </c>
      <c r="L878" s="11" t="s">
        <v>207</v>
      </c>
      <c r="M878" s="11"/>
      <c r="N878" s="4" t="str">
        <f t="shared" si="1"/>
        <v>Sofia Muñoz Muñoz</v>
      </c>
      <c r="O878" s="6" t="str">
        <f t="shared" si="2"/>
        <v>11702055-6</v>
      </c>
      <c r="P878" s="6" t="str">
        <f t="shared" si="3"/>
        <v>Providencia - Santiago - Región Metropolitana</v>
      </c>
      <c r="Q878" s="4" t="str">
        <f t="shared" si="4"/>
        <v>Activo</v>
      </c>
      <c r="R878" s="12" t="str">
        <f t="shared" si="5"/>
        <v>Riesgo Bajo</v>
      </c>
    </row>
    <row r="879">
      <c r="A879" s="1" t="s">
        <v>4762</v>
      </c>
      <c r="B879" s="9" t="s">
        <v>4763</v>
      </c>
      <c r="C879" s="9" t="s">
        <v>4764</v>
      </c>
      <c r="D879" s="1" t="s">
        <v>3972</v>
      </c>
      <c r="E879" s="1" t="s">
        <v>18</v>
      </c>
      <c r="F879" s="1" t="s">
        <v>18</v>
      </c>
      <c r="G879" s="1" t="s">
        <v>19</v>
      </c>
      <c r="H879" s="2">
        <v>770000.0</v>
      </c>
      <c r="I879" s="1">
        <v>60.0</v>
      </c>
      <c r="J879" s="9" t="s">
        <v>28</v>
      </c>
      <c r="K879" s="5">
        <v>46089.0</v>
      </c>
      <c r="L879" s="11" t="s">
        <v>160</v>
      </c>
      <c r="M879" s="11"/>
      <c r="N879" s="4" t="str">
        <f t="shared" si="1"/>
        <v>Sofia Muñoz Pérez</v>
      </c>
      <c r="O879" s="6" t="str">
        <f t="shared" si="2"/>
        <v>16493706-8</v>
      </c>
      <c r="P879" s="6" t="str">
        <f t="shared" si="3"/>
        <v>La Serena - La Serena - Región de Coquimbo</v>
      </c>
      <c r="Q879" s="4" t="str">
        <f t="shared" si="4"/>
        <v>Activo</v>
      </c>
      <c r="R879" s="12" t="str">
        <f t="shared" si="5"/>
        <v>Riesgo Medio</v>
      </c>
    </row>
    <row r="880">
      <c r="A880" s="1" t="s">
        <v>3969</v>
      </c>
      <c r="B880" s="9" t="s">
        <v>3970</v>
      </c>
      <c r="C880" s="9" t="s">
        <v>3971</v>
      </c>
      <c r="D880" s="1" t="s">
        <v>3972</v>
      </c>
      <c r="E880" s="1" t="s">
        <v>158</v>
      </c>
      <c r="F880" s="1" t="s">
        <v>158</v>
      </c>
      <c r="G880" s="1" t="s">
        <v>159</v>
      </c>
      <c r="H880" s="2">
        <v>1.359E7</v>
      </c>
      <c r="I880" s="1">
        <v>0.0</v>
      </c>
      <c r="J880" s="9" t="s">
        <v>28</v>
      </c>
      <c r="K880" s="5">
        <v>46059.0</v>
      </c>
      <c r="L880" s="11" t="s">
        <v>100</v>
      </c>
      <c r="M880" s="11"/>
      <c r="N880" s="4" t="str">
        <f t="shared" si="1"/>
        <v>Sofia Muñoz Soto</v>
      </c>
      <c r="O880" s="6" t="str">
        <f t="shared" si="2"/>
        <v>17476191-4</v>
      </c>
      <c r="P880" s="6" t="str">
        <f t="shared" si="3"/>
        <v>Antofagasta - Antofagasta - Región de Antofagasta</v>
      </c>
      <c r="Q880" s="4" t="str">
        <f t="shared" si="4"/>
        <v>Activo</v>
      </c>
      <c r="R880" s="12" t="str">
        <f t="shared" si="5"/>
        <v>Riesgo Bajo</v>
      </c>
    </row>
    <row r="881">
      <c r="A881" s="1" t="s">
        <v>1679</v>
      </c>
      <c r="B881" s="9" t="s">
        <v>1680</v>
      </c>
      <c r="C881" s="9" t="s">
        <v>4905</v>
      </c>
      <c r="D881" s="1" t="s">
        <v>1682</v>
      </c>
      <c r="E881" s="1" t="s">
        <v>118</v>
      </c>
      <c r="F881" s="1" t="s">
        <v>62</v>
      </c>
      <c r="G881" s="1" t="s">
        <v>63</v>
      </c>
      <c r="H881" s="2">
        <v>4340000.0</v>
      </c>
      <c r="I881" s="1">
        <v>120.0</v>
      </c>
      <c r="J881" s="9" t="s">
        <v>20</v>
      </c>
      <c r="K881" s="5">
        <v>46216.0</v>
      </c>
      <c r="L881" s="11" t="s">
        <v>160</v>
      </c>
      <c r="M881" s="11"/>
      <c r="N881" s="4" t="str">
        <f t="shared" si="1"/>
        <v>Sofia Pérez González</v>
      </c>
      <c r="O881" s="6" t="str">
        <f t="shared" si="2"/>
        <v>21135963-2</v>
      </c>
      <c r="P881" s="6" t="str">
        <f t="shared" si="3"/>
        <v>Maipú - Santiago - Región Metropolitana</v>
      </c>
      <c r="Q881" s="4" t="str">
        <f t="shared" si="4"/>
        <v>En Revisión</v>
      </c>
      <c r="R881" s="12" t="str">
        <f t="shared" si="5"/>
        <v>Riesgo Medio</v>
      </c>
    </row>
    <row r="882">
      <c r="A882" s="1" t="s">
        <v>4689</v>
      </c>
      <c r="B882" s="9" t="s">
        <v>4690</v>
      </c>
      <c r="C882" s="9" t="s">
        <v>4691</v>
      </c>
      <c r="D882" s="1" t="s">
        <v>4692</v>
      </c>
      <c r="E882" s="1" t="s">
        <v>33</v>
      </c>
      <c r="F882" s="1" t="s">
        <v>33</v>
      </c>
      <c r="G882" s="1" t="s">
        <v>34</v>
      </c>
      <c r="H882" s="2">
        <v>9670000.0</v>
      </c>
      <c r="I882" s="1">
        <v>120.0</v>
      </c>
      <c r="J882" s="9" t="s">
        <v>97</v>
      </c>
      <c r="K882" s="5">
        <v>46168.0</v>
      </c>
      <c r="L882" s="11" t="s">
        <v>160</v>
      </c>
      <c r="M882" s="11"/>
      <c r="N882" s="4" t="str">
        <f t="shared" si="1"/>
        <v>Sofia Pérez Silva</v>
      </c>
      <c r="O882" s="6" t="str">
        <f t="shared" si="2"/>
        <v>18.073.078-8</v>
      </c>
      <c r="P882" s="6" t="str">
        <f t="shared" si="3"/>
        <v>Puerto Montt - Puerto Montt - Región de Los Lagos</v>
      </c>
      <c r="Q882" s="4" t="str">
        <f t="shared" si="4"/>
        <v>Inactivo</v>
      </c>
      <c r="R882" s="12" t="str">
        <f t="shared" si="5"/>
        <v>Riesgo Medio</v>
      </c>
    </row>
    <row r="883">
      <c r="A883" s="1" t="s">
        <v>3191</v>
      </c>
      <c r="B883" s="9" t="s">
        <v>3192</v>
      </c>
      <c r="C883" s="9" t="s">
        <v>3193</v>
      </c>
      <c r="D883" s="1" t="s">
        <v>3194</v>
      </c>
      <c r="E883" s="1" t="s">
        <v>56</v>
      </c>
      <c r="F883" s="1" t="s">
        <v>39</v>
      </c>
      <c r="G883" s="1" t="s">
        <v>40</v>
      </c>
      <c r="H883" s="2">
        <v>1.472E7</v>
      </c>
      <c r="I883" s="1">
        <v>0.0</v>
      </c>
      <c r="J883" s="9" t="s">
        <v>97</v>
      </c>
      <c r="K883" s="5">
        <v>46196.0</v>
      </c>
      <c r="L883" s="11" t="s">
        <v>181</v>
      </c>
      <c r="M883" s="11"/>
      <c r="N883" s="4" t="str">
        <f t="shared" si="1"/>
        <v>Sofia Rodríguez Espinoza</v>
      </c>
      <c r="O883" s="6" t="str">
        <f t="shared" si="2"/>
        <v>11.750.197-7</v>
      </c>
      <c r="P883" s="6" t="str">
        <f t="shared" si="3"/>
        <v>Talcahuano - Concepción - Región del Biobío</v>
      </c>
      <c r="Q883" s="4" t="str">
        <f t="shared" si="4"/>
        <v>Inactivo</v>
      </c>
      <c r="R883" s="12" t="str">
        <f t="shared" si="5"/>
        <v>Riesgo Bajo</v>
      </c>
    </row>
    <row r="884">
      <c r="A884" s="1" t="s">
        <v>4448</v>
      </c>
      <c r="B884" s="9" t="s">
        <v>4449</v>
      </c>
      <c r="C884" s="9" t="s">
        <v>4906</v>
      </c>
      <c r="D884" s="1" t="s">
        <v>3194</v>
      </c>
      <c r="E884" s="1" t="s">
        <v>194</v>
      </c>
      <c r="F884" s="1" t="s">
        <v>62</v>
      </c>
      <c r="G884" s="1" t="s">
        <v>63</v>
      </c>
      <c r="H884" s="2">
        <v>1.996E7</v>
      </c>
      <c r="I884" s="1">
        <v>30.0</v>
      </c>
      <c r="J884" s="9" t="s">
        <v>28</v>
      </c>
      <c r="K884" s="5">
        <v>46091.0</v>
      </c>
      <c r="L884" s="11" t="s">
        <v>160</v>
      </c>
      <c r="M884" s="11"/>
      <c r="N884" s="4" t="str">
        <f t="shared" si="1"/>
        <v>Sofia Rodríguez Tapia</v>
      </c>
      <c r="O884" s="6" t="str">
        <f t="shared" si="2"/>
        <v>14361797-0</v>
      </c>
      <c r="P884" s="6" t="str">
        <f t="shared" si="3"/>
        <v>Las Condes - Santiago - Región Metropolitana</v>
      </c>
      <c r="Q884" s="4" t="str">
        <f t="shared" si="4"/>
        <v>Activo</v>
      </c>
      <c r="R884" s="12" t="str">
        <f t="shared" si="5"/>
        <v>Riesgo Bajo</v>
      </c>
    </row>
    <row r="885">
      <c r="A885" s="1" t="s">
        <v>4238</v>
      </c>
      <c r="B885" s="9" t="s">
        <v>4239</v>
      </c>
      <c r="C885" s="9" t="s">
        <v>4240</v>
      </c>
      <c r="D885" s="1" t="s">
        <v>4241</v>
      </c>
      <c r="E885" s="1" t="s">
        <v>194</v>
      </c>
      <c r="F885" s="1" t="s">
        <v>62</v>
      </c>
      <c r="G885" s="1" t="s">
        <v>63</v>
      </c>
      <c r="H885" s="2">
        <v>1.861E7</v>
      </c>
      <c r="I885" s="1">
        <v>15.0</v>
      </c>
      <c r="J885" s="9" t="s">
        <v>28</v>
      </c>
      <c r="K885" s="5">
        <v>46206.0</v>
      </c>
      <c r="L885" s="11" t="s">
        <v>160</v>
      </c>
      <c r="M885" s="11"/>
      <c r="N885" s="4" t="str">
        <f t="shared" si="1"/>
        <v>Sofia Rodríguez Vergara</v>
      </c>
      <c r="O885" s="6" t="str">
        <f t="shared" si="2"/>
        <v>22.064.179-3</v>
      </c>
      <c r="P885" s="6" t="str">
        <f t="shared" si="3"/>
        <v>Las Condes - Santiago - Región Metropolitana</v>
      </c>
      <c r="Q885" s="4" t="str">
        <f t="shared" si="4"/>
        <v>Activo</v>
      </c>
      <c r="R885" s="12" t="str">
        <f t="shared" si="5"/>
        <v>Riesgo Bajo</v>
      </c>
    </row>
    <row r="886">
      <c r="A886" s="1" t="s">
        <v>4144</v>
      </c>
      <c r="B886" s="9" t="s">
        <v>4145</v>
      </c>
      <c r="C886" s="9" t="s">
        <v>4907</v>
      </c>
      <c r="D886" s="1" t="s">
        <v>4147</v>
      </c>
      <c r="E886" s="1" t="s">
        <v>118</v>
      </c>
      <c r="F886" s="1" t="s">
        <v>62</v>
      </c>
      <c r="G886" s="1" t="s">
        <v>63</v>
      </c>
      <c r="H886" s="2">
        <v>1.78E7</v>
      </c>
      <c r="I886" s="1">
        <v>120.0</v>
      </c>
      <c r="J886" s="9" t="s">
        <v>20</v>
      </c>
      <c r="K886" s="5">
        <v>46117.0</v>
      </c>
      <c r="L886" s="11" t="s">
        <v>207</v>
      </c>
      <c r="M886" s="11"/>
      <c r="N886" s="4" t="str">
        <f t="shared" si="1"/>
        <v>Sofia Sepúlveda Muñoz</v>
      </c>
      <c r="O886" s="6" t="str">
        <f t="shared" si="2"/>
        <v>15.201.661-9</v>
      </c>
      <c r="P886" s="6" t="str">
        <f t="shared" si="3"/>
        <v>Maipú - Santiago - Región Metropolitana</v>
      </c>
      <c r="Q886" s="4" t="str">
        <f t="shared" si="4"/>
        <v>En Revisión</v>
      </c>
      <c r="R886" s="12" t="str">
        <f t="shared" si="5"/>
        <v>Riesgo Medio</v>
      </c>
    </row>
    <row r="887">
      <c r="A887" s="1" t="s">
        <v>4752</v>
      </c>
      <c r="B887" s="9" t="s">
        <v>4753</v>
      </c>
      <c r="C887" s="9" t="s">
        <v>4754</v>
      </c>
      <c r="D887" s="1" t="s">
        <v>4755</v>
      </c>
      <c r="E887" s="1" t="s">
        <v>25</v>
      </c>
      <c r="F887" s="1" t="s">
        <v>26</v>
      </c>
      <c r="G887" s="1" t="s">
        <v>27</v>
      </c>
      <c r="H887" s="2">
        <v>1.67E7</v>
      </c>
      <c r="I887" s="1">
        <v>0.0</v>
      </c>
      <c r="J887" s="9" t="s">
        <v>97</v>
      </c>
      <c r="K887" s="5">
        <v>46128.0</v>
      </c>
      <c r="L887" s="11" t="s">
        <v>160</v>
      </c>
      <c r="M887" s="11"/>
      <c r="N887" s="4" t="str">
        <f t="shared" si="1"/>
        <v>Sofia Silva Contreras</v>
      </c>
      <c r="O887" s="6" t="str">
        <f t="shared" si="2"/>
        <v>19.755.977-2</v>
      </c>
      <c r="P887" s="6" t="str">
        <f t="shared" si="3"/>
        <v>Viña del Mar - Valparaíso - Región de Valparaíso</v>
      </c>
      <c r="Q887" s="4" t="str">
        <f t="shared" si="4"/>
        <v>Inactivo</v>
      </c>
      <c r="R887" s="12" t="str">
        <f t="shared" si="5"/>
        <v>Riesgo Bajo</v>
      </c>
    </row>
    <row r="888">
      <c r="A888" s="1" t="s">
        <v>4423</v>
      </c>
      <c r="B888" s="9" t="s">
        <v>4424</v>
      </c>
      <c r="C888" s="9" t="s">
        <v>4425</v>
      </c>
      <c r="D888" s="1" t="s">
        <v>4426</v>
      </c>
      <c r="E888" s="1" t="s">
        <v>194</v>
      </c>
      <c r="F888" s="1" t="s">
        <v>62</v>
      </c>
      <c r="G888" s="1" t="s">
        <v>63</v>
      </c>
      <c r="H888" s="2">
        <v>2990000.0</v>
      </c>
      <c r="I888" s="1">
        <v>0.0</v>
      </c>
      <c r="J888" s="9" t="s">
        <v>97</v>
      </c>
      <c r="K888" s="5">
        <v>46170.0</v>
      </c>
      <c r="L888" s="11" t="s">
        <v>207</v>
      </c>
      <c r="M888" s="11"/>
      <c r="N888" s="4" t="str">
        <f t="shared" si="1"/>
        <v>Sofia Silva Espinoza</v>
      </c>
      <c r="O888" s="6" t="str">
        <f t="shared" si="2"/>
        <v>17.034.609-0</v>
      </c>
      <c r="P888" s="6" t="str">
        <f t="shared" si="3"/>
        <v>Las Condes - Santiago - Región Metropolitana</v>
      </c>
      <c r="Q888" s="4" t="str">
        <f t="shared" si="4"/>
        <v>Inactivo</v>
      </c>
      <c r="R888" s="12" t="str">
        <f t="shared" si="5"/>
        <v>Riesgo Bajo</v>
      </c>
    </row>
    <row r="889">
      <c r="A889" s="1" t="s">
        <v>1793</v>
      </c>
      <c r="B889" s="9" t="s">
        <v>1794</v>
      </c>
      <c r="C889" s="9" t="s">
        <v>4908</v>
      </c>
      <c r="D889" s="1" t="s">
        <v>1712</v>
      </c>
      <c r="E889" s="1" t="s">
        <v>61</v>
      </c>
      <c r="F889" s="1" t="s">
        <v>62</v>
      </c>
      <c r="G889" s="1" t="s">
        <v>63</v>
      </c>
      <c r="H889" s="2">
        <v>8320000.0</v>
      </c>
      <c r="I889" s="1">
        <v>15.0</v>
      </c>
      <c r="J889" s="9" t="s">
        <v>28</v>
      </c>
      <c r="K889" s="5">
        <v>46035.0</v>
      </c>
      <c r="L889" s="11" t="s">
        <v>100</v>
      </c>
      <c r="M889" s="11"/>
      <c r="N889" s="4" t="str">
        <f t="shared" si="1"/>
        <v>Sofia Silva Morales</v>
      </c>
      <c r="O889" s="6" t="str">
        <f t="shared" si="2"/>
        <v>17610948-8</v>
      </c>
      <c r="P889" s="6" t="str">
        <f t="shared" si="3"/>
        <v>Santiago Centro - Santiago - Región Metropolitana</v>
      </c>
      <c r="Q889" s="4" t="str">
        <f t="shared" si="4"/>
        <v>Activo</v>
      </c>
      <c r="R889" s="12" t="str">
        <f t="shared" si="5"/>
        <v>Riesgo Bajo</v>
      </c>
    </row>
    <row r="890">
      <c r="A890" s="1" t="s">
        <v>1709</v>
      </c>
      <c r="B890" s="9" t="s">
        <v>1710</v>
      </c>
      <c r="C890" s="9" t="s">
        <v>4909</v>
      </c>
      <c r="D890" s="1" t="s">
        <v>1712</v>
      </c>
      <c r="E890" s="1" t="s">
        <v>18</v>
      </c>
      <c r="F890" s="1" t="s">
        <v>18</v>
      </c>
      <c r="G890" s="1" t="s">
        <v>19</v>
      </c>
      <c r="H890" s="2">
        <v>1.515E7</v>
      </c>
      <c r="I890" s="1">
        <v>0.0</v>
      </c>
      <c r="J890" s="9" t="s">
        <v>97</v>
      </c>
      <c r="K890" s="5">
        <v>46199.0</v>
      </c>
      <c r="L890" s="11" t="s">
        <v>207</v>
      </c>
      <c r="M890" s="11"/>
      <c r="N890" s="4" t="str">
        <f t="shared" si="1"/>
        <v>Sofia Silva Muñoz</v>
      </c>
      <c r="O890" s="6" t="str">
        <f t="shared" si="2"/>
        <v>19.448.862-6</v>
      </c>
      <c r="P890" s="6" t="str">
        <f t="shared" si="3"/>
        <v>La Serena - La Serena - Región de Coquimbo</v>
      </c>
      <c r="Q890" s="4" t="str">
        <f t="shared" si="4"/>
        <v>Inactivo</v>
      </c>
      <c r="R890" s="12" t="str">
        <f t="shared" si="5"/>
        <v>Riesgo Bajo</v>
      </c>
    </row>
    <row r="891">
      <c r="A891" s="1" t="s">
        <v>2686</v>
      </c>
      <c r="B891" s="9" t="s">
        <v>2688</v>
      </c>
      <c r="C891" s="9" t="s">
        <v>4910</v>
      </c>
      <c r="D891" s="1" t="s">
        <v>2690</v>
      </c>
      <c r="E891" s="1" t="s">
        <v>118</v>
      </c>
      <c r="F891" s="1" t="s">
        <v>62</v>
      </c>
      <c r="G891" s="1" t="s">
        <v>63</v>
      </c>
      <c r="H891" s="2">
        <v>1.071E7</v>
      </c>
      <c r="I891" s="1">
        <v>45.0</v>
      </c>
      <c r="J891" s="9" t="s">
        <v>20</v>
      </c>
      <c r="K891" s="5">
        <v>46156.0</v>
      </c>
      <c r="L891" s="11" t="s">
        <v>207</v>
      </c>
      <c r="M891" s="11"/>
      <c r="N891" s="4" t="str">
        <f t="shared" si="1"/>
        <v>Sofia Silva Rojas</v>
      </c>
      <c r="O891" s="6" t="str">
        <f t="shared" si="2"/>
        <v>21.528.661-4</v>
      </c>
      <c r="P891" s="6" t="str">
        <f t="shared" si="3"/>
        <v>Maipú - Santiago - Región Metropolitana</v>
      </c>
      <c r="Q891" s="4" t="str">
        <f t="shared" si="4"/>
        <v>En Revisión</v>
      </c>
      <c r="R891" s="12" t="str">
        <f t="shared" si="5"/>
        <v>Riesgo Medio</v>
      </c>
    </row>
    <row r="892">
      <c r="A892" s="1" t="s">
        <v>4390</v>
      </c>
      <c r="B892" s="9" t="s">
        <v>4391</v>
      </c>
      <c r="C892" s="9" t="s">
        <v>4911</v>
      </c>
      <c r="D892" s="1" t="s">
        <v>2690</v>
      </c>
      <c r="E892" s="1" t="s">
        <v>61</v>
      </c>
      <c r="F892" s="1" t="s">
        <v>62</v>
      </c>
      <c r="G892" s="1" t="s">
        <v>63</v>
      </c>
      <c r="H892" s="2">
        <v>1.295E7</v>
      </c>
      <c r="I892" s="1">
        <v>15.0</v>
      </c>
      <c r="J892" s="9" t="s">
        <v>28</v>
      </c>
      <c r="K892" s="5">
        <v>46154.0</v>
      </c>
      <c r="L892" s="11" t="s">
        <v>100</v>
      </c>
      <c r="M892" s="11"/>
      <c r="N892" s="4" t="str">
        <f t="shared" si="1"/>
        <v>Sofia Silva Vergara</v>
      </c>
      <c r="O892" s="6" t="str">
        <f t="shared" si="2"/>
        <v>13.978.939-6</v>
      </c>
      <c r="P892" s="6" t="str">
        <f t="shared" si="3"/>
        <v>Santiago Centro - Santiago - Región Metropolitana</v>
      </c>
      <c r="Q892" s="4" t="str">
        <f t="shared" si="4"/>
        <v>Activo</v>
      </c>
      <c r="R892" s="12" t="str">
        <f t="shared" si="5"/>
        <v>Riesgo Bajo</v>
      </c>
    </row>
    <row r="893">
      <c r="A893" s="1" t="s">
        <v>4529</v>
      </c>
      <c r="B893" s="9" t="s">
        <v>4530</v>
      </c>
      <c r="C893" s="9" t="s">
        <v>4531</v>
      </c>
      <c r="D893" s="1" t="s">
        <v>4532</v>
      </c>
      <c r="E893" s="1" t="s">
        <v>158</v>
      </c>
      <c r="F893" s="1" t="s">
        <v>158</v>
      </c>
      <c r="G893" s="1" t="s">
        <v>159</v>
      </c>
      <c r="H893" s="2">
        <v>540000.0</v>
      </c>
      <c r="I893" s="1">
        <v>15.0</v>
      </c>
      <c r="J893" s="9" t="s">
        <v>28</v>
      </c>
      <c r="K893" s="5">
        <v>46037.0</v>
      </c>
      <c r="L893" s="11" t="s">
        <v>181</v>
      </c>
      <c r="M893" s="11"/>
      <c r="N893" s="4" t="str">
        <f t="shared" si="1"/>
        <v>Sofia Soto Araya</v>
      </c>
      <c r="O893" s="6" t="str">
        <f t="shared" si="2"/>
        <v>15.366.388-1</v>
      </c>
      <c r="P893" s="6" t="str">
        <f t="shared" si="3"/>
        <v>Antofagasta - Antofagasta - Región de Antofagasta</v>
      </c>
      <c r="Q893" s="4" t="str">
        <f t="shared" si="4"/>
        <v>Activo</v>
      </c>
      <c r="R893" s="12" t="str">
        <f t="shared" si="5"/>
        <v>Riesgo Bajo</v>
      </c>
    </row>
    <row r="894">
      <c r="A894" s="1" t="s">
        <v>4617</v>
      </c>
      <c r="B894" s="9" t="s">
        <v>4618</v>
      </c>
      <c r="C894" s="9" t="s">
        <v>4912</v>
      </c>
      <c r="D894" s="1" t="s">
        <v>2606</v>
      </c>
      <c r="E894" s="1" t="s">
        <v>45</v>
      </c>
      <c r="F894" s="1" t="s">
        <v>45</v>
      </c>
      <c r="G894" s="1" t="s">
        <v>46</v>
      </c>
      <c r="H894" s="2">
        <v>4920000.0</v>
      </c>
      <c r="I894" s="1">
        <v>0.0</v>
      </c>
      <c r="J894" s="9" t="s">
        <v>20</v>
      </c>
      <c r="K894" s="5">
        <v>46076.0</v>
      </c>
      <c r="L894" s="11" t="s">
        <v>100</v>
      </c>
      <c r="M894" s="11"/>
      <c r="N894" s="4" t="str">
        <f t="shared" si="1"/>
        <v>Sofia Soto López</v>
      </c>
      <c r="O894" s="6" t="str">
        <f t="shared" si="2"/>
        <v>12.664.059-K</v>
      </c>
      <c r="P894" s="6" t="str">
        <f t="shared" si="3"/>
        <v>Temuco - Temuco - Región de la Araucanía</v>
      </c>
      <c r="Q894" s="4" t="str">
        <f t="shared" si="4"/>
        <v>En Revisión</v>
      </c>
      <c r="R894" s="12" t="str">
        <f t="shared" si="5"/>
        <v>Riesgo Medio</v>
      </c>
    </row>
    <row r="895">
      <c r="A895" s="1" t="s">
        <v>2600</v>
      </c>
      <c r="B895" s="9" t="s">
        <v>2602</v>
      </c>
      <c r="C895" s="9" t="s">
        <v>4913</v>
      </c>
      <c r="D895" s="1" t="s">
        <v>2606</v>
      </c>
      <c r="E895" s="1" t="s">
        <v>45</v>
      </c>
      <c r="F895" s="1" t="s">
        <v>45</v>
      </c>
      <c r="G895" s="1" t="s">
        <v>46</v>
      </c>
      <c r="H895" s="2">
        <v>2.015E7</v>
      </c>
      <c r="I895" s="1">
        <v>30.0</v>
      </c>
      <c r="J895" s="9" t="s">
        <v>20</v>
      </c>
      <c r="K895" s="5">
        <v>46065.0</v>
      </c>
      <c r="L895" s="11" t="s">
        <v>207</v>
      </c>
      <c r="M895" s="11"/>
      <c r="N895" s="4" t="str">
        <f t="shared" si="1"/>
        <v>Sofia Soto Pérez</v>
      </c>
      <c r="O895" s="6" t="str">
        <f t="shared" si="2"/>
        <v>21.140.047-5</v>
      </c>
      <c r="P895" s="6" t="str">
        <f t="shared" si="3"/>
        <v>Temuco - Temuco - Región de la Araucanía</v>
      </c>
      <c r="Q895" s="4" t="str">
        <f t="shared" si="4"/>
        <v>En Revisión</v>
      </c>
      <c r="R895" s="12" t="str">
        <f t="shared" si="5"/>
        <v>Riesgo Medio</v>
      </c>
    </row>
    <row r="896">
      <c r="A896" s="1" t="s">
        <v>2664</v>
      </c>
      <c r="B896" s="9" t="s">
        <v>2665</v>
      </c>
      <c r="C896" s="9" t="s">
        <v>4914</v>
      </c>
      <c r="D896" s="1" t="s">
        <v>2668</v>
      </c>
      <c r="E896" s="1" t="s">
        <v>39</v>
      </c>
      <c r="F896" s="1" t="s">
        <v>39</v>
      </c>
      <c r="G896" s="1" t="s">
        <v>40</v>
      </c>
      <c r="H896" s="2">
        <v>690000.0</v>
      </c>
      <c r="I896" s="1">
        <v>120.0</v>
      </c>
      <c r="J896" s="9" t="s">
        <v>20</v>
      </c>
      <c r="K896" s="5">
        <v>46085.0</v>
      </c>
      <c r="L896" s="11" t="s">
        <v>160</v>
      </c>
      <c r="M896" s="11"/>
      <c r="N896" s="4" t="str">
        <f t="shared" si="1"/>
        <v>Sofia Soto Valenzuela</v>
      </c>
      <c r="O896" s="6" t="str">
        <f t="shared" si="2"/>
        <v>18.612.743-1</v>
      </c>
      <c r="P896" s="6" t="str">
        <f t="shared" si="3"/>
        <v>Concepción - Concepción - Región del Biobío</v>
      </c>
      <c r="Q896" s="4" t="str">
        <f t="shared" si="4"/>
        <v>En Revisión</v>
      </c>
      <c r="R896" s="12" t="str">
        <f t="shared" si="5"/>
        <v>Riesgo Medio</v>
      </c>
    </row>
    <row r="897">
      <c r="A897" s="1" t="s">
        <v>4052</v>
      </c>
      <c r="B897" s="9" t="s">
        <v>4053</v>
      </c>
      <c r="C897" s="9" t="s">
        <v>4915</v>
      </c>
      <c r="D897" s="1" t="s">
        <v>4055</v>
      </c>
      <c r="E897" s="1" t="s">
        <v>56</v>
      </c>
      <c r="F897" s="1" t="s">
        <v>39</v>
      </c>
      <c r="G897" s="1" t="s">
        <v>40</v>
      </c>
      <c r="H897" s="2">
        <v>1.968E7</v>
      </c>
      <c r="I897" s="1">
        <v>30.0</v>
      </c>
      <c r="J897" s="9" t="s">
        <v>28</v>
      </c>
      <c r="K897" s="5">
        <v>46149.0</v>
      </c>
      <c r="L897" s="11" t="s">
        <v>160</v>
      </c>
      <c r="M897" s="11"/>
      <c r="N897" s="4" t="str">
        <f t="shared" si="1"/>
        <v>Sofia Tapia Espinoza</v>
      </c>
      <c r="O897" s="6" t="str">
        <f t="shared" si="2"/>
        <v>13.738.328-0</v>
      </c>
      <c r="P897" s="6" t="str">
        <f t="shared" si="3"/>
        <v>Talcahuano - Concepción - Región del Biobío</v>
      </c>
      <c r="Q897" s="4" t="str">
        <f t="shared" si="4"/>
        <v>Activo</v>
      </c>
      <c r="R897" s="12" t="str">
        <f t="shared" si="5"/>
        <v>Riesgo Bajo</v>
      </c>
    </row>
    <row r="898">
      <c r="A898" s="1" t="s">
        <v>4656</v>
      </c>
      <c r="B898" s="9" t="s">
        <v>4657</v>
      </c>
      <c r="C898" s="9" t="s">
        <v>4916</v>
      </c>
      <c r="D898" s="1" t="s">
        <v>4659</v>
      </c>
      <c r="E898" s="1" t="s">
        <v>39</v>
      </c>
      <c r="F898" s="1" t="s">
        <v>39</v>
      </c>
      <c r="G898" s="1" t="s">
        <v>40</v>
      </c>
      <c r="H898" s="2">
        <v>2040000.0</v>
      </c>
      <c r="I898" s="1">
        <v>30.0</v>
      </c>
      <c r="J898" s="9" t="s">
        <v>97</v>
      </c>
      <c r="K898" s="5">
        <v>46088.0</v>
      </c>
      <c r="L898" s="11" t="s">
        <v>181</v>
      </c>
      <c r="M898" s="11"/>
      <c r="N898" s="4" t="str">
        <f t="shared" si="1"/>
        <v>Sofia Tapia Pérez</v>
      </c>
      <c r="O898" s="6" t="str">
        <f t="shared" si="2"/>
        <v>15.131.605-3</v>
      </c>
      <c r="P898" s="6" t="str">
        <f t="shared" si="3"/>
        <v>Concepción - Concepción - Región del Biobío</v>
      </c>
      <c r="Q898" s="4" t="str">
        <f t="shared" si="4"/>
        <v>Inactivo</v>
      </c>
      <c r="R898" s="12" t="str">
        <f t="shared" si="5"/>
        <v>Riesgo Bajo</v>
      </c>
    </row>
    <row r="899">
      <c r="A899" s="1" t="s">
        <v>1217</v>
      </c>
      <c r="B899" s="9" t="s">
        <v>1218</v>
      </c>
      <c r="C899" s="9" t="s">
        <v>4917</v>
      </c>
      <c r="D899" s="1" t="s">
        <v>1220</v>
      </c>
      <c r="E899" s="1" t="s">
        <v>45</v>
      </c>
      <c r="F899" s="1" t="s">
        <v>45</v>
      </c>
      <c r="G899" s="1" t="s">
        <v>46</v>
      </c>
      <c r="H899" s="2">
        <v>1.198E7</v>
      </c>
      <c r="I899" s="1">
        <v>0.0</v>
      </c>
      <c r="J899" s="9" t="s">
        <v>28</v>
      </c>
      <c r="K899" s="5">
        <v>46136.0</v>
      </c>
      <c r="L899" s="11" t="s">
        <v>160</v>
      </c>
      <c r="M899" s="11"/>
      <c r="N899" s="4" t="str">
        <f t="shared" si="1"/>
        <v>Sofia Tapia Valenzuela</v>
      </c>
      <c r="O899" s="6" t="str">
        <f t="shared" si="2"/>
        <v>12.921.500-1</v>
      </c>
      <c r="P899" s="6" t="str">
        <f t="shared" si="3"/>
        <v>Temuco - Temuco - Región de la Araucanía</v>
      </c>
      <c r="Q899" s="4" t="str">
        <f t="shared" si="4"/>
        <v>Activo</v>
      </c>
      <c r="R899" s="12" t="str">
        <f t="shared" si="5"/>
        <v>Riesgo Bajo</v>
      </c>
    </row>
    <row r="900">
      <c r="A900" s="1" t="s">
        <v>653</v>
      </c>
      <c r="B900" s="9" t="s">
        <v>654</v>
      </c>
      <c r="C900" s="9" t="s">
        <v>655</v>
      </c>
      <c r="D900" s="1" t="s">
        <v>657</v>
      </c>
      <c r="E900" s="1" t="s">
        <v>26</v>
      </c>
      <c r="F900" s="1" t="s">
        <v>26</v>
      </c>
      <c r="G900" s="1" t="s">
        <v>27</v>
      </c>
      <c r="H900" s="2">
        <v>1.771E7</v>
      </c>
      <c r="I900" s="1">
        <v>120.0</v>
      </c>
      <c r="J900" s="9" t="s">
        <v>97</v>
      </c>
      <c r="K900" s="5">
        <v>46208.0</v>
      </c>
      <c r="L900" s="11" t="s">
        <v>160</v>
      </c>
      <c r="M900" s="11"/>
      <c r="N900" s="4" t="str">
        <f t="shared" si="1"/>
        <v>Sofia Vergara Contreras</v>
      </c>
      <c r="O900" s="6" t="str">
        <f t="shared" si="2"/>
        <v>11.338.107-4</v>
      </c>
      <c r="P900" s="6" t="str">
        <f t="shared" si="3"/>
        <v>Valparaíso - Valparaíso - Región de Valparaíso</v>
      </c>
      <c r="Q900" s="4" t="str">
        <f t="shared" si="4"/>
        <v>Inactivo</v>
      </c>
      <c r="R900" s="12" t="str">
        <f t="shared" si="5"/>
        <v>Riesgo Medio</v>
      </c>
    </row>
    <row r="901">
      <c r="A901" s="1" t="s">
        <v>224</v>
      </c>
      <c r="B901" s="9" t="s">
        <v>225</v>
      </c>
      <c r="C901" s="9" t="s">
        <v>4918</v>
      </c>
      <c r="D901" s="1" t="s">
        <v>227</v>
      </c>
      <c r="E901" s="1" t="s">
        <v>45</v>
      </c>
      <c r="F901" s="1" t="s">
        <v>45</v>
      </c>
      <c r="G901" s="1" t="s">
        <v>46</v>
      </c>
      <c r="H901" s="2">
        <v>7420000.0</v>
      </c>
      <c r="I901" s="1">
        <v>30.0</v>
      </c>
      <c r="J901" s="9" t="s">
        <v>28</v>
      </c>
      <c r="K901" s="5">
        <v>46148.0</v>
      </c>
      <c r="L901" s="11" t="s">
        <v>207</v>
      </c>
      <c r="M901" s="11"/>
      <c r="N901" s="4" t="str">
        <f t="shared" si="1"/>
        <v>Tomas Araya Contreras</v>
      </c>
      <c r="O901" s="6" t="str">
        <f t="shared" si="2"/>
        <v>15.343.944-1</v>
      </c>
      <c r="P901" s="6" t="str">
        <f t="shared" si="3"/>
        <v>Temuco - Temuco - Región de la Araucanía</v>
      </c>
      <c r="Q901" s="4" t="str">
        <f t="shared" si="4"/>
        <v>Activo</v>
      </c>
      <c r="R901" s="12" t="str">
        <f t="shared" si="5"/>
        <v>Riesgo Bajo</v>
      </c>
    </row>
    <row r="902">
      <c r="A902" s="1" t="s">
        <v>3241</v>
      </c>
      <c r="B902" s="9" t="s">
        <v>3242</v>
      </c>
      <c r="C902" s="9" t="s">
        <v>4919</v>
      </c>
      <c r="D902" s="1" t="s">
        <v>3244</v>
      </c>
      <c r="E902" s="1" t="s">
        <v>158</v>
      </c>
      <c r="F902" s="1" t="s">
        <v>158</v>
      </c>
      <c r="G902" s="1" t="s">
        <v>159</v>
      </c>
      <c r="H902" s="2">
        <v>4870000.0</v>
      </c>
      <c r="I902" s="1">
        <v>60.0</v>
      </c>
      <c r="J902" s="9" t="s">
        <v>97</v>
      </c>
      <c r="K902" s="5">
        <v>46145.0</v>
      </c>
      <c r="L902" s="11" t="s">
        <v>160</v>
      </c>
      <c r="M902" s="11"/>
      <c r="N902" s="4" t="str">
        <f t="shared" si="1"/>
        <v>Tomas Araya Pérez</v>
      </c>
      <c r="O902" s="6" t="str">
        <f t="shared" si="2"/>
        <v>17.921.702-3</v>
      </c>
      <c r="P902" s="6" t="str">
        <f t="shared" si="3"/>
        <v>Antofagasta - Antofagasta - Región de Antofagasta</v>
      </c>
      <c r="Q902" s="4" t="str">
        <f t="shared" si="4"/>
        <v>Inactivo</v>
      </c>
      <c r="R902" s="12" t="str">
        <f t="shared" si="5"/>
        <v>Riesgo Medio</v>
      </c>
    </row>
    <row r="903">
      <c r="A903" s="1" t="s">
        <v>4620</v>
      </c>
      <c r="B903" s="9" t="s">
        <v>4621</v>
      </c>
      <c r="C903" s="9" t="s">
        <v>4920</v>
      </c>
      <c r="D903" s="1" t="s">
        <v>2341</v>
      </c>
      <c r="E903" s="1" t="s">
        <v>26</v>
      </c>
      <c r="F903" s="1" t="s">
        <v>26</v>
      </c>
      <c r="G903" s="1" t="s">
        <v>27</v>
      </c>
      <c r="H903" s="2">
        <v>8230000.0</v>
      </c>
      <c r="I903" s="1">
        <v>0.0</v>
      </c>
      <c r="J903" s="9" t="s">
        <v>28</v>
      </c>
      <c r="K903" s="5">
        <v>46192.0</v>
      </c>
      <c r="L903" s="11" t="s">
        <v>207</v>
      </c>
      <c r="M903" s="11"/>
      <c r="N903" s="4" t="str">
        <f t="shared" si="1"/>
        <v>Tomas Araya Rodríguez</v>
      </c>
      <c r="O903" s="6" t="str">
        <f t="shared" si="2"/>
        <v>11.272.844-6</v>
      </c>
      <c r="P903" s="6" t="str">
        <f t="shared" si="3"/>
        <v>Valparaíso - Valparaíso - Región de Valparaíso</v>
      </c>
      <c r="Q903" s="4" t="str">
        <f t="shared" si="4"/>
        <v>Activo</v>
      </c>
      <c r="R903" s="12" t="str">
        <f t="shared" si="5"/>
        <v>Riesgo Bajo</v>
      </c>
    </row>
    <row r="904">
      <c r="A904" s="1" t="s">
        <v>2337</v>
      </c>
      <c r="B904" s="9" t="s">
        <v>2339</v>
      </c>
      <c r="C904" s="9" t="s">
        <v>2340</v>
      </c>
      <c r="D904" s="1" t="s">
        <v>2341</v>
      </c>
      <c r="E904" s="1" t="s">
        <v>39</v>
      </c>
      <c r="F904" s="1" t="s">
        <v>39</v>
      </c>
      <c r="G904" s="1" t="s">
        <v>40</v>
      </c>
      <c r="H904" s="2">
        <v>6650000.0</v>
      </c>
      <c r="I904" s="1">
        <v>45.0</v>
      </c>
      <c r="J904" s="9" t="s">
        <v>20</v>
      </c>
      <c r="K904" s="5">
        <v>46061.0</v>
      </c>
      <c r="L904" s="11" t="s">
        <v>100</v>
      </c>
      <c r="M904" s="11"/>
      <c r="N904" s="4" t="str">
        <f t="shared" si="1"/>
        <v>Tomas Araya Tapia</v>
      </c>
      <c r="O904" s="6" t="str">
        <f t="shared" si="2"/>
        <v>12.643.286-2</v>
      </c>
      <c r="P904" s="6" t="str">
        <f t="shared" si="3"/>
        <v>Concepción - Concepción - Región del Biobío</v>
      </c>
      <c r="Q904" s="4" t="str">
        <f t="shared" si="4"/>
        <v>En Revisión</v>
      </c>
      <c r="R904" s="12" t="str">
        <f t="shared" si="5"/>
        <v>Riesgo Medio</v>
      </c>
    </row>
    <row r="905">
      <c r="A905" s="1" t="s">
        <v>3722</v>
      </c>
      <c r="B905" s="9" t="s">
        <v>3723</v>
      </c>
      <c r="C905" s="9" t="s">
        <v>4921</v>
      </c>
      <c r="D905" s="1" t="s">
        <v>3725</v>
      </c>
      <c r="E905" s="1" t="s">
        <v>25</v>
      </c>
      <c r="F905" s="1" t="s">
        <v>26</v>
      </c>
      <c r="G905" s="1" t="s">
        <v>27</v>
      </c>
      <c r="H905" s="2">
        <v>1.652E7</v>
      </c>
      <c r="I905" s="1">
        <v>45.0</v>
      </c>
      <c r="J905" s="9" t="s">
        <v>97</v>
      </c>
      <c r="K905" s="5">
        <v>46220.0</v>
      </c>
      <c r="L905" s="11" t="s">
        <v>207</v>
      </c>
      <c r="M905" s="11"/>
      <c r="N905" s="4" t="str">
        <f t="shared" si="1"/>
        <v>Tomas Contreras Muñoz</v>
      </c>
      <c r="O905" s="6" t="str">
        <f t="shared" si="2"/>
        <v>22.221.584-1</v>
      </c>
      <c r="P905" s="6" t="str">
        <f t="shared" si="3"/>
        <v>Viña del Mar - Valparaíso - Región de Valparaíso</v>
      </c>
      <c r="Q905" s="4" t="str">
        <f t="shared" si="4"/>
        <v>Inactivo</v>
      </c>
      <c r="R905" s="12" t="str">
        <f t="shared" si="5"/>
        <v>Riesgo Medio</v>
      </c>
    </row>
    <row r="906">
      <c r="A906" s="1" t="s">
        <v>4291</v>
      </c>
      <c r="B906" s="9" t="s">
        <v>4292</v>
      </c>
      <c r="C906" s="9" t="s">
        <v>4922</v>
      </c>
      <c r="D906" s="1" t="s">
        <v>4294</v>
      </c>
      <c r="E906" s="1" t="s">
        <v>56</v>
      </c>
      <c r="F906" s="1" t="s">
        <v>39</v>
      </c>
      <c r="G906" s="1" t="s">
        <v>40</v>
      </c>
      <c r="H906" s="2">
        <v>4430000.0</v>
      </c>
      <c r="I906" s="1">
        <v>45.0</v>
      </c>
      <c r="J906" s="9" t="s">
        <v>20</v>
      </c>
      <c r="K906" s="5">
        <v>46082.0</v>
      </c>
      <c r="L906" s="11" t="s">
        <v>160</v>
      </c>
      <c r="M906" s="11"/>
      <c r="N906" s="4" t="str">
        <f t="shared" si="1"/>
        <v>Tomas Contreras Pérez</v>
      </c>
      <c r="O906" s="6" t="str">
        <f t="shared" si="2"/>
        <v>21929445-1</v>
      </c>
      <c r="P906" s="6" t="str">
        <f t="shared" si="3"/>
        <v>Talcahuano - Concepción - Región del Biobío</v>
      </c>
      <c r="Q906" s="4" t="str">
        <f t="shared" si="4"/>
        <v>En Revisión</v>
      </c>
      <c r="R906" s="12" t="str">
        <f t="shared" si="5"/>
        <v>Riesgo Medio</v>
      </c>
    </row>
    <row r="907">
      <c r="A907" s="1" t="s">
        <v>855</v>
      </c>
      <c r="B907" s="9" t="s">
        <v>857</v>
      </c>
      <c r="C907" s="9" t="s">
        <v>858</v>
      </c>
      <c r="D907" s="1" t="s">
        <v>859</v>
      </c>
      <c r="E907" s="1" t="s">
        <v>72</v>
      </c>
      <c r="F907" s="1" t="s">
        <v>62</v>
      </c>
      <c r="G907" s="1" t="s">
        <v>63</v>
      </c>
      <c r="H907" s="2">
        <v>8730000.0</v>
      </c>
      <c r="I907" s="1">
        <v>30.0</v>
      </c>
      <c r="J907" s="9" t="s">
        <v>20</v>
      </c>
      <c r="K907" s="5">
        <v>46200.0</v>
      </c>
      <c r="L907" s="11" t="s">
        <v>207</v>
      </c>
      <c r="M907" s="11"/>
      <c r="N907" s="4" t="str">
        <f t="shared" si="1"/>
        <v>Tomas Díaz Valenzuela</v>
      </c>
      <c r="O907" s="6" t="str">
        <f t="shared" si="2"/>
        <v>15194399-2</v>
      </c>
      <c r="P907" s="6" t="str">
        <f t="shared" si="3"/>
        <v>Providencia - Santiago - Región Metropolitana</v>
      </c>
      <c r="Q907" s="4" t="str">
        <f t="shared" si="4"/>
        <v>En Revisión</v>
      </c>
      <c r="R907" s="12" t="str">
        <f t="shared" si="5"/>
        <v>Riesgo Medio</v>
      </c>
    </row>
    <row r="908">
      <c r="A908" s="1" t="s">
        <v>2698</v>
      </c>
      <c r="B908" s="9" t="s">
        <v>2699</v>
      </c>
      <c r="C908" s="9" t="s">
        <v>4421</v>
      </c>
      <c r="D908" s="1" t="s">
        <v>2701</v>
      </c>
      <c r="E908" s="1" t="s">
        <v>18</v>
      </c>
      <c r="F908" s="1" t="s">
        <v>18</v>
      </c>
      <c r="G908" s="1" t="s">
        <v>19</v>
      </c>
      <c r="H908" s="2">
        <v>3170000.0</v>
      </c>
      <c r="I908" s="1">
        <v>60.0</v>
      </c>
      <c r="J908" s="9" t="s">
        <v>97</v>
      </c>
      <c r="K908" s="5">
        <v>46121.0</v>
      </c>
      <c r="L908" s="11" t="s">
        <v>100</v>
      </c>
      <c r="M908" s="11"/>
      <c r="N908" s="4" t="str">
        <f t="shared" si="1"/>
        <v>Tomas Fuentes Valenzuela</v>
      </c>
      <c r="O908" s="6" t="str">
        <f t="shared" si="2"/>
        <v>11.589.484-7</v>
      </c>
      <c r="P908" s="6" t="str">
        <f t="shared" si="3"/>
        <v>La Serena - La Serena - Región de Coquimbo</v>
      </c>
      <c r="Q908" s="4" t="str">
        <f t="shared" si="4"/>
        <v>Inactivo</v>
      </c>
      <c r="R908" s="12" t="str">
        <f t="shared" si="5"/>
        <v>Riesgo Medio</v>
      </c>
    </row>
    <row r="909">
      <c r="A909" s="1" t="s">
        <v>4419</v>
      </c>
      <c r="B909" s="9" t="s">
        <v>4420</v>
      </c>
      <c r="C909" s="9" t="s">
        <v>4421</v>
      </c>
      <c r="D909" s="1" t="s">
        <v>4422</v>
      </c>
      <c r="E909" s="1" t="s">
        <v>158</v>
      </c>
      <c r="F909" s="1" t="s">
        <v>158</v>
      </c>
      <c r="G909" s="1" t="s">
        <v>159</v>
      </c>
      <c r="H909" s="2">
        <v>2760000.0</v>
      </c>
      <c r="I909" s="1">
        <v>0.0</v>
      </c>
      <c r="J909" s="9" t="s">
        <v>28</v>
      </c>
      <c r="K909" s="5">
        <v>46066.0</v>
      </c>
      <c r="L909" s="11" t="s">
        <v>207</v>
      </c>
      <c r="M909" s="11"/>
      <c r="N909" s="4" t="str">
        <f t="shared" si="1"/>
        <v>Tomas Fuentes Valenzuela</v>
      </c>
      <c r="O909" s="6" t="str">
        <f t="shared" si="2"/>
        <v>11.053.368-6</v>
      </c>
      <c r="P909" s="6" t="str">
        <f t="shared" si="3"/>
        <v>Antofagasta - Antofagasta - Región de Antofagasta</v>
      </c>
      <c r="Q909" s="4" t="str">
        <f t="shared" si="4"/>
        <v>Activo</v>
      </c>
      <c r="R909" s="12" t="str">
        <f t="shared" si="5"/>
        <v>Riesgo Bajo</v>
      </c>
    </row>
    <row r="910">
      <c r="A910" s="1" t="s">
        <v>3581</v>
      </c>
      <c r="B910" s="9" t="s">
        <v>3582</v>
      </c>
      <c r="C910" s="9" t="s">
        <v>3583</v>
      </c>
      <c r="D910" s="1" t="s">
        <v>3584</v>
      </c>
      <c r="E910" s="1" t="s">
        <v>25</v>
      </c>
      <c r="F910" s="1" t="s">
        <v>26</v>
      </c>
      <c r="G910" s="1" t="s">
        <v>27</v>
      </c>
      <c r="H910" s="2">
        <v>1.029E7</v>
      </c>
      <c r="I910" s="1">
        <v>15.0</v>
      </c>
      <c r="J910" s="9" t="s">
        <v>97</v>
      </c>
      <c r="K910" s="5">
        <v>46229.0</v>
      </c>
      <c r="L910" s="11" t="s">
        <v>207</v>
      </c>
      <c r="M910" s="11"/>
      <c r="N910" s="4" t="str">
        <f t="shared" si="1"/>
        <v>Tomas González Morales</v>
      </c>
      <c r="O910" s="6" t="str">
        <f t="shared" si="2"/>
        <v>13.117.339-5</v>
      </c>
      <c r="P910" s="6" t="str">
        <f t="shared" si="3"/>
        <v>Viña del Mar - Valparaíso - Región de Valparaíso</v>
      </c>
      <c r="Q910" s="4" t="str">
        <f t="shared" si="4"/>
        <v>Inactivo</v>
      </c>
      <c r="R910" s="12" t="str">
        <f t="shared" si="5"/>
        <v>Riesgo Bajo</v>
      </c>
    </row>
    <row r="911">
      <c r="A911" s="1" t="s">
        <v>601</v>
      </c>
      <c r="B911" s="9" t="s">
        <v>602</v>
      </c>
      <c r="C911" s="9" t="s">
        <v>603</v>
      </c>
      <c r="D911" s="1" t="s">
        <v>604</v>
      </c>
      <c r="E911" s="1" t="s">
        <v>158</v>
      </c>
      <c r="F911" s="1" t="s">
        <v>158</v>
      </c>
      <c r="G911" s="1" t="s">
        <v>159</v>
      </c>
      <c r="H911" s="2">
        <v>1.775E7</v>
      </c>
      <c r="I911" s="1">
        <v>30.0</v>
      </c>
      <c r="J911" s="9" t="s">
        <v>97</v>
      </c>
      <c r="K911" s="5">
        <v>46164.0</v>
      </c>
      <c r="L911" s="11" t="s">
        <v>100</v>
      </c>
      <c r="M911" s="11"/>
      <c r="N911" s="4" t="str">
        <f t="shared" si="1"/>
        <v>Tomas González Rodríguez</v>
      </c>
      <c r="O911" s="6" t="str">
        <f t="shared" si="2"/>
        <v>18.692.246-4</v>
      </c>
      <c r="P911" s="6" t="str">
        <f t="shared" si="3"/>
        <v>Antofagasta - Antofagasta - Región de Antofagasta</v>
      </c>
      <c r="Q911" s="4" t="str">
        <f t="shared" si="4"/>
        <v>Inactivo</v>
      </c>
      <c r="R911" s="12" t="str">
        <f t="shared" si="5"/>
        <v>Riesgo Bajo</v>
      </c>
    </row>
    <row r="912">
      <c r="A912" s="1" t="s">
        <v>1761</v>
      </c>
      <c r="B912" s="9" t="s">
        <v>1763</v>
      </c>
      <c r="C912" s="9" t="s">
        <v>1764</v>
      </c>
      <c r="D912" s="1" t="s">
        <v>1765</v>
      </c>
      <c r="E912" s="1" t="s">
        <v>61</v>
      </c>
      <c r="F912" s="1" t="s">
        <v>62</v>
      </c>
      <c r="G912" s="1" t="s">
        <v>63</v>
      </c>
      <c r="H912" s="2">
        <v>2.154E7</v>
      </c>
      <c r="I912" s="1">
        <v>15.0</v>
      </c>
      <c r="J912" s="9" t="s">
        <v>97</v>
      </c>
      <c r="K912" s="5">
        <v>46069.0</v>
      </c>
      <c r="L912" s="11" t="s">
        <v>207</v>
      </c>
      <c r="M912" s="11"/>
      <c r="N912" s="4" t="str">
        <f t="shared" si="1"/>
        <v>Tomas González Silva</v>
      </c>
      <c r="O912" s="6" t="str">
        <f t="shared" si="2"/>
        <v>13.544.045-8</v>
      </c>
      <c r="P912" s="6" t="str">
        <f t="shared" si="3"/>
        <v>Santiago Centro - Santiago - Región Metropolitana</v>
      </c>
      <c r="Q912" s="4" t="str">
        <f t="shared" si="4"/>
        <v>Inactivo</v>
      </c>
      <c r="R912" s="12" t="str">
        <f t="shared" si="5"/>
        <v>Riesgo Bajo</v>
      </c>
    </row>
    <row r="913">
      <c r="A913" s="1" t="s">
        <v>68</v>
      </c>
      <c r="B913" s="9" t="s">
        <v>69</v>
      </c>
      <c r="C913" s="9" t="s">
        <v>4923</v>
      </c>
      <c r="D913" s="1" t="s">
        <v>71</v>
      </c>
      <c r="E913" s="1" t="s">
        <v>72</v>
      </c>
      <c r="F913" s="1" t="s">
        <v>62</v>
      </c>
      <c r="G913" s="1" t="s">
        <v>63</v>
      </c>
      <c r="H913" s="2">
        <v>1840000.0</v>
      </c>
      <c r="I913" s="1">
        <v>0.0</v>
      </c>
      <c r="J913" s="9" t="s">
        <v>20</v>
      </c>
      <c r="K913" s="5">
        <v>46176.0</v>
      </c>
      <c r="L913" s="11" t="s">
        <v>100</v>
      </c>
      <c r="M913" s="11"/>
      <c r="N913" s="4" t="str">
        <f t="shared" si="1"/>
        <v>Tomas López Rodríguez</v>
      </c>
      <c r="O913" s="6" t="str">
        <f t="shared" si="2"/>
        <v>11.050.232-K</v>
      </c>
      <c r="P913" s="6" t="str">
        <f t="shared" si="3"/>
        <v>Providencia - Santiago - Región Metropolitana</v>
      </c>
      <c r="Q913" s="4" t="str">
        <f t="shared" si="4"/>
        <v>En Revisión</v>
      </c>
      <c r="R913" s="12" t="str">
        <f t="shared" si="5"/>
        <v>Riesgo Medio</v>
      </c>
    </row>
    <row r="914">
      <c r="A914" s="1" t="s">
        <v>2945</v>
      </c>
      <c r="B914" s="9" t="s">
        <v>2946</v>
      </c>
      <c r="C914" s="9" t="s">
        <v>4924</v>
      </c>
      <c r="D914" s="1" t="s">
        <v>71</v>
      </c>
      <c r="E914" s="1" t="s">
        <v>26</v>
      </c>
      <c r="F914" s="1" t="s">
        <v>26</v>
      </c>
      <c r="G914" s="1" t="s">
        <v>27</v>
      </c>
      <c r="H914" s="2">
        <v>2.14E7</v>
      </c>
      <c r="I914" s="1">
        <v>15.0</v>
      </c>
      <c r="J914" s="9" t="s">
        <v>97</v>
      </c>
      <c r="K914" s="5">
        <v>46200.0</v>
      </c>
      <c r="L914" s="11" t="s">
        <v>160</v>
      </c>
      <c r="M914" s="11"/>
      <c r="N914" s="4" t="str">
        <f t="shared" si="1"/>
        <v>Tomas López Soto</v>
      </c>
      <c r="O914" s="6" t="str">
        <f t="shared" si="2"/>
        <v>18844610-4</v>
      </c>
      <c r="P914" s="6" t="str">
        <f t="shared" si="3"/>
        <v>Valparaíso - Valparaíso - Región de Valparaíso</v>
      </c>
      <c r="Q914" s="4" t="str">
        <f t="shared" si="4"/>
        <v>Inactivo</v>
      </c>
      <c r="R914" s="12" t="str">
        <f t="shared" si="5"/>
        <v>Riesgo Bajo</v>
      </c>
    </row>
    <row r="915">
      <c r="A915" s="1" t="s">
        <v>4198</v>
      </c>
      <c r="B915" s="9" t="s">
        <v>4199</v>
      </c>
      <c r="C915" s="9" t="s">
        <v>4925</v>
      </c>
      <c r="D915" s="1" t="s">
        <v>4201</v>
      </c>
      <c r="E915" s="1" t="s">
        <v>33</v>
      </c>
      <c r="F915" s="1" t="s">
        <v>33</v>
      </c>
      <c r="G915" s="1" t="s">
        <v>34</v>
      </c>
      <c r="H915" s="2">
        <v>5840000.0</v>
      </c>
      <c r="I915" s="1">
        <v>0.0</v>
      </c>
      <c r="J915" s="9" t="s">
        <v>20</v>
      </c>
      <c r="K915" s="5">
        <v>46088.0</v>
      </c>
      <c r="L915" s="11" t="s">
        <v>181</v>
      </c>
      <c r="M915" s="11"/>
      <c r="N915" s="4" t="str">
        <f t="shared" si="1"/>
        <v>Tomas Muñoz Pérez</v>
      </c>
      <c r="O915" s="6" t="str">
        <f t="shared" si="2"/>
        <v>15.831.076-1</v>
      </c>
      <c r="P915" s="6" t="str">
        <f t="shared" si="3"/>
        <v>Puerto Montt - Puerto Montt - Región de Los Lagos</v>
      </c>
      <c r="Q915" s="4" t="str">
        <f t="shared" si="4"/>
        <v>En Revisión</v>
      </c>
      <c r="R915" s="12" t="str">
        <f t="shared" si="5"/>
        <v>Riesgo Medio</v>
      </c>
    </row>
    <row r="916">
      <c r="A916" s="1" t="s">
        <v>4064</v>
      </c>
      <c r="B916" s="9" t="s">
        <v>4065</v>
      </c>
      <c r="C916" s="9" t="s">
        <v>4926</v>
      </c>
      <c r="D916" s="1" t="s">
        <v>4067</v>
      </c>
      <c r="E916" s="1" t="s">
        <v>39</v>
      </c>
      <c r="F916" s="1" t="s">
        <v>39</v>
      </c>
      <c r="G916" s="1" t="s">
        <v>40</v>
      </c>
      <c r="H916" s="2">
        <v>8490000.0</v>
      </c>
      <c r="I916" s="1">
        <v>0.0</v>
      </c>
      <c r="J916" s="9" t="s">
        <v>28</v>
      </c>
      <c r="K916" s="5">
        <v>46109.0</v>
      </c>
      <c r="L916" s="11" t="s">
        <v>199</v>
      </c>
      <c r="M916" s="11"/>
      <c r="N916" s="4" t="str">
        <f t="shared" si="1"/>
        <v>Tomas Muñoz Valenzuela</v>
      </c>
      <c r="O916" s="6" t="str">
        <f t="shared" si="2"/>
        <v>18.077.884-K</v>
      </c>
      <c r="P916" s="6" t="str">
        <f t="shared" si="3"/>
        <v>Concepción - Concepción - Región del Biobío</v>
      </c>
      <c r="Q916" s="4" t="str">
        <f t="shared" si="4"/>
        <v>Activo</v>
      </c>
      <c r="R916" s="12" t="str">
        <f t="shared" si="5"/>
        <v>Riesgo Bajo</v>
      </c>
    </row>
    <row r="917">
      <c r="A917" s="1" t="s">
        <v>2627</v>
      </c>
      <c r="B917" s="9" t="s">
        <v>2628</v>
      </c>
      <c r="C917" s="9" t="s">
        <v>4927</v>
      </c>
      <c r="D917" s="1" t="s">
        <v>2630</v>
      </c>
      <c r="E917" s="1" t="s">
        <v>158</v>
      </c>
      <c r="F917" s="1" t="s">
        <v>158</v>
      </c>
      <c r="G917" s="1" t="s">
        <v>159</v>
      </c>
      <c r="H917" s="2">
        <v>1.047E7</v>
      </c>
      <c r="I917" s="1">
        <v>120.0</v>
      </c>
      <c r="J917" s="9" t="s">
        <v>28</v>
      </c>
      <c r="K917" s="5">
        <v>46134.0</v>
      </c>
      <c r="L917" s="11" t="s">
        <v>207</v>
      </c>
      <c r="M917" s="11"/>
      <c r="N917" s="4" t="str">
        <f t="shared" si="1"/>
        <v>Tomas Pérez Morales</v>
      </c>
      <c r="O917" s="6" t="str">
        <f t="shared" si="2"/>
        <v>13788476-9</v>
      </c>
      <c r="P917" s="6" t="str">
        <f t="shared" si="3"/>
        <v>Antofagasta - Antofagasta - Región de Antofagasta</v>
      </c>
      <c r="Q917" s="4" t="str">
        <f t="shared" si="4"/>
        <v>Activo</v>
      </c>
      <c r="R917" s="12" t="str">
        <f t="shared" si="5"/>
        <v>Riesgo Alto</v>
      </c>
    </row>
    <row r="918">
      <c r="A918" s="1" t="s">
        <v>4128</v>
      </c>
      <c r="B918" s="9" t="s">
        <v>4129</v>
      </c>
      <c r="C918" s="9" t="s">
        <v>4130</v>
      </c>
      <c r="D918" s="1" t="s">
        <v>4131</v>
      </c>
      <c r="E918" s="1" t="s">
        <v>18</v>
      </c>
      <c r="F918" s="1" t="s">
        <v>18</v>
      </c>
      <c r="G918" s="1" t="s">
        <v>19</v>
      </c>
      <c r="H918" s="2">
        <v>1.625E7</v>
      </c>
      <c r="I918" s="1">
        <v>0.0</v>
      </c>
      <c r="J918" s="9" t="s">
        <v>28</v>
      </c>
      <c r="K918" s="5">
        <v>46189.0</v>
      </c>
      <c r="L918" s="11" t="s">
        <v>160</v>
      </c>
      <c r="M918" s="11"/>
      <c r="N918" s="4" t="str">
        <f t="shared" si="1"/>
        <v>Tomas Rodríguez Araya</v>
      </c>
      <c r="O918" s="6" t="str">
        <f t="shared" si="2"/>
        <v>12.365.915-7</v>
      </c>
      <c r="P918" s="6" t="str">
        <f t="shared" si="3"/>
        <v>La Serena - La Serena - Región de Coquimbo</v>
      </c>
      <c r="Q918" s="4" t="str">
        <f t="shared" si="4"/>
        <v>Activo</v>
      </c>
      <c r="R918" s="12" t="str">
        <f t="shared" si="5"/>
        <v>Riesgo Bajo</v>
      </c>
    </row>
    <row r="919">
      <c r="A919" s="1" t="s">
        <v>3733</v>
      </c>
      <c r="B919" s="9" t="s">
        <v>3734</v>
      </c>
      <c r="C919" s="9" t="s">
        <v>4928</v>
      </c>
      <c r="D919" s="1" t="s">
        <v>3736</v>
      </c>
      <c r="E919" s="1" t="s">
        <v>109</v>
      </c>
      <c r="F919" s="1" t="s">
        <v>62</v>
      </c>
      <c r="G919" s="1" t="s">
        <v>63</v>
      </c>
      <c r="H919" s="2">
        <v>1.395E7</v>
      </c>
      <c r="I919" s="1">
        <v>45.0</v>
      </c>
      <c r="J919" s="9" t="s">
        <v>20</v>
      </c>
      <c r="K919" s="5">
        <v>46062.0</v>
      </c>
      <c r="L919" s="11" t="s">
        <v>100</v>
      </c>
      <c r="M919" s="11"/>
      <c r="N919" s="4" t="str">
        <f t="shared" si="1"/>
        <v>Tomas Rodríguez Muñoz</v>
      </c>
      <c r="O919" s="6" t="str">
        <f t="shared" si="2"/>
        <v>14.746.278-4</v>
      </c>
      <c r="P919" s="6" t="str">
        <f t="shared" si="3"/>
        <v>Ñuñoa - Santiago - Región Metropolitana</v>
      </c>
      <c r="Q919" s="4" t="str">
        <f t="shared" si="4"/>
        <v>En Revisión</v>
      </c>
      <c r="R919" s="12" t="str">
        <f t="shared" si="5"/>
        <v>Riesgo Medio</v>
      </c>
    </row>
    <row r="920">
      <c r="A920" s="1" t="s">
        <v>4484</v>
      </c>
      <c r="B920" s="9" t="s">
        <v>4485</v>
      </c>
      <c r="C920" s="9" t="s">
        <v>4486</v>
      </c>
      <c r="D920" s="1" t="s">
        <v>4487</v>
      </c>
      <c r="E920" s="1" t="s">
        <v>61</v>
      </c>
      <c r="F920" s="1" t="s">
        <v>62</v>
      </c>
      <c r="G920" s="1" t="s">
        <v>63</v>
      </c>
      <c r="H920" s="2">
        <v>1.879E7</v>
      </c>
      <c r="I920" s="1">
        <v>0.0</v>
      </c>
      <c r="J920" s="9" t="s">
        <v>20</v>
      </c>
      <c r="K920" s="5">
        <v>46147.0</v>
      </c>
      <c r="L920" s="11" t="s">
        <v>160</v>
      </c>
      <c r="M920" s="11"/>
      <c r="N920" s="4" t="str">
        <f t="shared" si="1"/>
        <v>Tomas Rodríguez Valenzuela</v>
      </c>
      <c r="O920" s="6" t="str">
        <f t="shared" si="2"/>
        <v>17.956.679-5</v>
      </c>
      <c r="P920" s="6" t="str">
        <f t="shared" si="3"/>
        <v>Santiago Centro - Santiago - Región Metropolitana</v>
      </c>
      <c r="Q920" s="4" t="str">
        <f t="shared" si="4"/>
        <v>En Revisión</v>
      </c>
      <c r="R920" s="12" t="str">
        <f t="shared" si="5"/>
        <v>Riesgo Medio</v>
      </c>
    </row>
    <row r="921">
      <c r="A921" s="1" t="s">
        <v>2424</v>
      </c>
      <c r="B921" s="9" t="s">
        <v>2425</v>
      </c>
      <c r="C921" s="9" t="s">
        <v>2426</v>
      </c>
      <c r="D921" s="1" t="s">
        <v>2427</v>
      </c>
      <c r="E921" s="1" t="s">
        <v>118</v>
      </c>
      <c r="F921" s="1" t="s">
        <v>62</v>
      </c>
      <c r="G921" s="1" t="s">
        <v>63</v>
      </c>
      <c r="H921" s="2">
        <v>4870000.0</v>
      </c>
      <c r="I921" s="1">
        <v>15.0</v>
      </c>
      <c r="J921" s="9" t="s">
        <v>28</v>
      </c>
      <c r="K921" s="5">
        <v>46210.0</v>
      </c>
      <c r="L921" s="11" t="s">
        <v>160</v>
      </c>
      <c r="M921" s="11"/>
      <c r="N921" s="4" t="str">
        <f t="shared" si="1"/>
        <v>Tomas Sepúlveda Vergara</v>
      </c>
      <c r="O921" s="6" t="str">
        <f t="shared" si="2"/>
        <v>17874958-4</v>
      </c>
      <c r="P921" s="6" t="str">
        <f t="shared" si="3"/>
        <v>Maipú - Santiago - Región Metropolitana</v>
      </c>
      <c r="Q921" s="4" t="str">
        <f t="shared" si="4"/>
        <v>Activo</v>
      </c>
      <c r="R921" s="12" t="str">
        <f t="shared" si="5"/>
        <v>Riesgo Bajo</v>
      </c>
    </row>
    <row r="922">
      <c r="A922" s="1" t="s">
        <v>1878</v>
      </c>
      <c r="B922" s="9" t="s">
        <v>1879</v>
      </c>
      <c r="C922" s="9" t="s">
        <v>1880</v>
      </c>
      <c r="D922" s="1" t="s">
        <v>1881</v>
      </c>
      <c r="E922" s="1" t="s">
        <v>18</v>
      </c>
      <c r="F922" s="1" t="s">
        <v>18</v>
      </c>
      <c r="G922" s="1" t="s">
        <v>19</v>
      </c>
      <c r="H922" s="2">
        <v>1.203E7</v>
      </c>
      <c r="I922" s="1">
        <v>90.0</v>
      </c>
      <c r="J922" s="9" t="s">
        <v>20</v>
      </c>
      <c r="K922" s="5">
        <v>46188.0</v>
      </c>
      <c r="L922" s="11" t="s">
        <v>181</v>
      </c>
      <c r="M922" s="11"/>
      <c r="N922" s="4" t="str">
        <f t="shared" si="1"/>
        <v>Tomas Silva Fuentes</v>
      </c>
      <c r="O922" s="6" t="str">
        <f t="shared" si="2"/>
        <v>18271689-0</v>
      </c>
      <c r="P922" s="6" t="str">
        <f t="shared" si="3"/>
        <v>La Serena - La Serena - Región de Coquimbo</v>
      </c>
      <c r="Q922" s="4" t="str">
        <f t="shared" si="4"/>
        <v>En Revisión</v>
      </c>
      <c r="R922" s="12" t="str">
        <f t="shared" si="5"/>
        <v>Riesgo Medio</v>
      </c>
    </row>
    <row r="923">
      <c r="A923" s="1" t="s">
        <v>3851</v>
      </c>
      <c r="B923" s="9" t="s">
        <v>3852</v>
      </c>
      <c r="C923" s="9" t="s">
        <v>4929</v>
      </c>
      <c r="D923" s="1" t="s">
        <v>3854</v>
      </c>
      <c r="E923" s="1" t="s">
        <v>61</v>
      </c>
      <c r="F923" s="1" t="s">
        <v>62</v>
      </c>
      <c r="G923" s="1" t="s">
        <v>63</v>
      </c>
      <c r="H923" s="2">
        <v>1.787E7</v>
      </c>
      <c r="I923" s="1">
        <v>30.0</v>
      </c>
      <c r="J923" s="9" t="s">
        <v>28</v>
      </c>
      <c r="K923" s="5">
        <v>46068.0</v>
      </c>
      <c r="L923" s="11" t="s">
        <v>160</v>
      </c>
      <c r="M923" s="11"/>
      <c r="N923" s="4" t="str">
        <f t="shared" si="1"/>
        <v>Tomas Silva Soto</v>
      </c>
      <c r="O923" s="6" t="str">
        <f t="shared" si="2"/>
        <v>20.122.214-9</v>
      </c>
      <c r="P923" s="6" t="str">
        <f t="shared" si="3"/>
        <v>Santiago Centro - Santiago - Región Metropolitana</v>
      </c>
      <c r="Q923" s="4" t="str">
        <f t="shared" si="4"/>
        <v>Activo</v>
      </c>
      <c r="R923" s="12" t="str">
        <f t="shared" si="5"/>
        <v>Riesgo Bajo</v>
      </c>
    </row>
    <row r="924">
      <c r="A924" s="1" t="s">
        <v>3524</v>
      </c>
      <c r="B924" s="9" t="s">
        <v>3525</v>
      </c>
      <c r="C924" s="9" t="s">
        <v>4930</v>
      </c>
      <c r="D924" s="1" t="s">
        <v>3527</v>
      </c>
      <c r="E924" s="1" t="s">
        <v>25</v>
      </c>
      <c r="F924" s="1" t="s">
        <v>26</v>
      </c>
      <c r="G924" s="1" t="s">
        <v>27</v>
      </c>
      <c r="H924" s="2">
        <v>1.481E7</v>
      </c>
      <c r="I924" s="1">
        <v>15.0</v>
      </c>
      <c r="J924" s="9" t="s">
        <v>28</v>
      </c>
      <c r="K924" s="5">
        <v>46062.0</v>
      </c>
      <c r="L924" s="11" t="s">
        <v>160</v>
      </c>
      <c r="M924" s="11"/>
      <c r="N924" s="4" t="str">
        <f t="shared" si="1"/>
        <v>Tomas Soto González</v>
      </c>
      <c r="O924" s="6" t="str">
        <f t="shared" si="2"/>
        <v>11768210-4</v>
      </c>
      <c r="P924" s="6" t="str">
        <f t="shared" si="3"/>
        <v>Viña del Mar - Valparaíso - Región de Valparaíso</v>
      </c>
      <c r="Q924" s="4" t="str">
        <f t="shared" si="4"/>
        <v>Activo</v>
      </c>
      <c r="R924" s="12" t="str">
        <f t="shared" si="5"/>
        <v>Riesgo Bajo</v>
      </c>
    </row>
    <row r="925">
      <c r="A925" s="1" t="s">
        <v>3974</v>
      </c>
      <c r="B925" s="9" t="s">
        <v>3975</v>
      </c>
      <c r="C925" s="9" t="s">
        <v>3976</v>
      </c>
      <c r="D925" s="1" t="s">
        <v>3977</v>
      </c>
      <c r="E925" s="1" t="s">
        <v>25</v>
      </c>
      <c r="F925" s="1" t="s">
        <v>26</v>
      </c>
      <c r="G925" s="1" t="s">
        <v>27</v>
      </c>
      <c r="H925" s="2">
        <v>8210000.0</v>
      </c>
      <c r="I925" s="1">
        <v>90.0</v>
      </c>
      <c r="J925" s="9" t="s">
        <v>97</v>
      </c>
      <c r="K925" s="5">
        <v>46130.0</v>
      </c>
      <c r="L925" s="11" t="s">
        <v>207</v>
      </c>
      <c r="M925" s="11"/>
      <c r="N925" s="4" t="str">
        <f t="shared" si="1"/>
        <v>Tomas Soto Pérez</v>
      </c>
      <c r="O925" s="6" t="str">
        <f t="shared" si="2"/>
        <v>11.329.226-8</v>
      </c>
      <c r="P925" s="6" t="str">
        <f t="shared" si="3"/>
        <v>Viña del Mar - Valparaíso - Región de Valparaíso</v>
      </c>
      <c r="Q925" s="4" t="str">
        <f t="shared" si="4"/>
        <v>Inactivo</v>
      </c>
      <c r="R925" s="12" t="str">
        <f t="shared" si="5"/>
        <v>Riesgo Medio</v>
      </c>
    </row>
    <row r="926">
      <c r="A926" s="1" t="s">
        <v>4795</v>
      </c>
      <c r="B926" s="9" t="s">
        <v>4796</v>
      </c>
      <c r="C926" s="9" t="s">
        <v>4931</v>
      </c>
      <c r="D926" s="1" t="s">
        <v>4798</v>
      </c>
      <c r="E926" s="1" t="s">
        <v>61</v>
      </c>
      <c r="F926" s="1" t="s">
        <v>62</v>
      </c>
      <c r="G926" s="1" t="s">
        <v>63</v>
      </c>
      <c r="H926" s="2">
        <v>9820000.0</v>
      </c>
      <c r="I926" s="1">
        <v>45.0</v>
      </c>
      <c r="J926" s="9" t="s">
        <v>97</v>
      </c>
      <c r="K926" s="5">
        <v>46151.0</v>
      </c>
      <c r="L926" s="11" t="s">
        <v>160</v>
      </c>
      <c r="M926" s="11"/>
      <c r="N926" s="4" t="str">
        <f t="shared" si="1"/>
        <v>Tomas Soto Rojas</v>
      </c>
      <c r="O926" s="6" t="str">
        <f t="shared" si="2"/>
        <v>12.256.687-3</v>
      </c>
      <c r="P926" s="6" t="str">
        <f t="shared" si="3"/>
        <v>Santiago Centro - Santiago - Región Metropolitana</v>
      </c>
      <c r="Q926" s="4" t="str">
        <f t="shared" si="4"/>
        <v>Inactivo</v>
      </c>
      <c r="R926" s="12" t="str">
        <f t="shared" si="5"/>
        <v>Riesgo Medio</v>
      </c>
    </row>
    <row r="927">
      <c r="A927" s="1" t="s">
        <v>2642</v>
      </c>
      <c r="B927" s="9" t="s">
        <v>2643</v>
      </c>
      <c r="C927" s="9" t="s">
        <v>4932</v>
      </c>
      <c r="D927" s="1" t="s">
        <v>2645</v>
      </c>
      <c r="E927" s="1" t="s">
        <v>194</v>
      </c>
      <c r="F927" s="1" t="s">
        <v>62</v>
      </c>
      <c r="G927" s="1" t="s">
        <v>63</v>
      </c>
      <c r="H927" s="2">
        <v>2.003E7</v>
      </c>
      <c r="I927" s="1">
        <v>0.0</v>
      </c>
      <c r="J927" s="9" t="s">
        <v>20</v>
      </c>
      <c r="K927" s="5">
        <v>46175.0</v>
      </c>
      <c r="L927" s="11" t="s">
        <v>207</v>
      </c>
      <c r="M927" s="11"/>
      <c r="N927" s="4" t="str">
        <f t="shared" si="1"/>
        <v>Tomas Tapia Vergara</v>
      </c>
      <c r="O927" s="6" t="str">
        <f t="shared" si="2"/>
        <v>16.723.002-0</v>
      </c>
      <c r="P927" s="6" t="str">
        <f t="shared" si="3"/>
        <v>Las Condes - Santiago - Región Metropolitana</v>
      </c>
      <c r="Q927" s="4" t="str">
        <f t="shared" si="4"/>
        <v>En Revisión</v>
      </c>
      <c r="R927" s="12" t="str">
        <f t="shared" si="5"/>
        <v>Riesgo Medio</v>
      </c>
    </row>
    <row r="928">
      <c r="A928" s="1" t="s">
        <v>724</v>
      </c>
      <c r="B928" s="9" t="s">
        <v>725</v>
      </c>
      <c r="C928" s="9" t="s">
        <v>4933</v>
      </c>
      <c r="D928" s="1" t="s">
        <v>730</v>
      </c>
      <c r="E928" s="1" t="s">
        <v>194</v>
      </c>
      <c r="F928" s="1" t="s">
        <v>62</v>
      </c>
      <c r="G928" s="1" t="s">
        <v>63</v>
      </c>
      <c r="H928" s="2">
        <v>1710000.0</v>
      </c>
      <c r="I928" s="1">
        <v>30.0</v>
      </c>
      <c r="J928" s="9" t="s">
        <v>20</v>
      </c>
      <c r="K928" s="5">
        <v>46066.0</v>
      </c>
      <c r="L928" s="11" t="s">
        <v>100</v>
      </c>
      <c r="M928" s="11"/>
      <c r="N928" s="4" t="str">
        <f t="shared" si="1"/>
        <v>Tomas Valenzuela Araya</v>
      </c>
      <c r="O928" s="6" t="str">
        <f t="shared" si="2"/>
        <v>11.678.385-2</v>
      </c>
      <c r="P928" s="6" t="str">
        <f t="shared" si="3"/>
        <v>Las Condes - Santiago - Región Metropolitana</v>
      </c>
      <c r="Q928" s="4" t="str">
        <f t="shared" si="4"/>
        <v>En Revisión</v>
      </c>
      <c r="R928" s="12" t="str">
        <f t="shared" si="5"/>
        <v>Riesgo Medio</v>
      </c>
    </row>
    <row r="929">
      <c r="A929" s="1" t="s">
        <v>4517</v>
      </c>
      <c r="B929" s="9" t="s">
        <v>4518</v>
      </c>
      <c r="C929" s="9" t="s">
        <v>4519</v>
      </c>
      <c r="D929" s="1" t="s">
        <v>4520</v>
      </c>
      <c r="E929" s="1" t="s">
        <v>39</v>
      </c>
      <c r="F929" s="1" t="s">
        <v>39</v>
      </c>
      <c r="G929" s="1" t="s">
        <v>40</v>
      </c>
      <c r="H929" s="2">
        <v>1.589E7</v>
      </c>
      <c r="I929" s="1">
        <v>0.0</v>
      </c>
      <c r="J929" s="9" t="s">
        <v>20</v>
      </c>
      <c r="K929" s="5">
        <v>46187.0</v>
      </c>
      <c r="L929" s="11" t="s">
        <v>207</v>
      </c>
      <c r="M929" s="11"/>
      <c r="N929" s="4" t="str">
        <f t="shared" si="1"/>
        <v>Tomas Valenzuela Muñoz</v>
      </c>
      <c r="O929" s="6" t="str">
        <f t="shared" si="2"/>
        <v>20.151.659-4</v>
      </c>
      <c r="P929" s="6" t="str">
        <f t="shared" si="3"/>
        <v>Concepción - Concepción - Región del Biobío</v>
      </c>
      <c r="Q929" s="4" t="str">
        <f t="shared" si="4"/>
        <v>En Revisión</v>
      </c>
      <c r="R929" s="12" t="str">
        <f t="shared" si="5"/>
        <v>Riesgo Medio</v>
      </c>
    </row>
    <row r="930">
      <c r="A930" s="1" t="s">
        <v>3132</v>
      </c>
      <c r="B930" s="9" t="s">
        <v>3133</v>
      </c>
      <c r="C930" s="9" t="s">
        <v>3134</v>
      </c>
      <c r="D930" s="1" t="s">
        <v>3135</v>
      </c>
      <c r="E930" s="1" t="s">
        <v>118</v>
      </c>
      <c r="F930" s="1" t="s">
        <v>62</v>
      </c>
      <c r="G930" s="1" t="s">
        <v>63</v>
      </c>
      <c r="H930" s="2">
        <v>1.75E7</v>
      </c>
      <c r="I930" s="1">
        <v>60.0</v>
      </c>
      <c r="J930" s="9" t="s">
        <v>20</v>
      </c>
      <c r="K930" s="5">
        <v>46078.0</v>
      </c>
      <c r="L930" s="11" t="s">
        <v>207</v>
      </c>
      <c r="M930" s="11"/>
      <c r="N930" s="4" t="str">
        <f t="shared" si="1"/>
        <v>Tomas Vergara Araya</v>
      </c>
      <c r="O930" s="6" t="str">
        <f t="shared" si="2"/>
        <v>22376288-1</v>
      </c>
      <c r="P930" s="6" t="str">
        <f t="shared" si="3"/>
        <v>Maipú - Santiago - Región Metropolitana</v>
      </c>
      <c r="Q930" s="4" t="str">
        <f t="shared" si="4"/>
        <v>En Revisión</v>
      </c>
      <c r="R930" s="12" t="str">
        <f t="shared" si="5"/>
        <v>Riesgo Medio</v>
      </c>
    </row>
    <row r="931">
      <c r="A931" s="1" t="s">
        <v>3759</v>
      </c>
      <c r="B931" s="9" t="s">
        <v>3760</v>
      </c>
      <c r="C931" s="9" t="s">
        <v>3762</v>
      </c>
      <c r="D931" s="1" t="s">
        <v>3763</v>
      </c>
      <c r="E931" s="1" t="s">
        <v>39</v>
      </c>
      <c r="F931" s="1" t="s">
        <v>39</v>
      </c>
      <c r="G931" s="1" t="s">
        <v>40</v>
      </c>
      <c r="H931" s="2">
        <v>1670000.0</v>
      </c>
      <c r="I931" s="1">
        <v>120.0</v>
      </c>
      <c r="J931" s="9" t="s">
        <v>20</v>
      </c>
      <c r="K931" s="5">
        <v>46108.0</v>
      </c>
      <c r="L931" s="11" t="s">
        <v>100</v>
      </c>
      <c r="M931" s="11"/>
      <c r="N931" s="4" t="str">
        <f t="shared" si="1"/>
        <v>Tomas Vergara Rodríguez</v>
      </c>
      <c r="O931" s="6" t="str">
        <f t="shared" si="2"/>
        <v>11.496.340-5</v>
      </c>
      <c r="P931" s="6" t="str">
        <f t="shared" si="3"/>
        <v>Concepción - Concepción - Región del Biobío</v>
      </c>
      <c r="Q931" s="4" t="str">
        <f t="shared" si="4"/>
        <v>En Revisión</v>
      </c>
      <c r="R931" s="12" t="str">
        <f t="shared" si="5"/>
        <v>Riesgo Medio</v>
      </c>
    </row>
    <row r="932">
      <c r="A932" s="1" t="s">
        <v>3756</v>
      </c>
      <c r="B932" s="9" t="s">
        <v>3757</v>
      </c>
      <c r="C932" s="9" t="s">
        <v>4934</v>
      </c>
      <c r="D932" s="1" t="s">
        <v>2180</v>
      </c>
      <c r="E932" s="1" t="s">
        <v>56</v>
      </c>
      <c r="F932" s="1" t="s">
        <v>39</v>
      </c>
      <c r="G932" s="1" t="s">
        <v>40</v>
      </c>
      <c r="H932" s="2">
        <v>1.516E7</v>
      </c>
      <c r="I932" s="1">
        <v>15.0</v>
      </c>
      <c r="J932" s="9" t="s">
        <v>20</v>
      </c>
      <c r="K932" s="5">
        <v>46063.0</v>
      </c>
      <c r="L932" s="11" t="s">
        <v>207</v>
      </c>
      <c r="M932" s="11"/>
      <c r="N932" s="4" t="str">
        <f t="shared" si="1"/>
        <v>Valentina Araya Araya</v>
      </c>
      <c r="O932" s="6" t="str">
        <f t="shared" si="2"/>
        <v>11894967-4</v>
      </c>
      <c r="P932" s="6" t="str">
        <f t="shared" si="3"/>
        <v>Talcahuano - Concepción - Región del Biobío</v>
      </c>
      <c r="Q932" s="4" t="str">
        <f t="shared" si="4"/>
        <v>En Revisión</v>
      </c>
      <c r="R932" s="12" t="str">
        <f t="shared" si="5"/>
        <v>Riesgo Medio</v>
      </c>
    </row>
    <row r="933">
      <c r="A933" s="1" t="s">
        <v>2177</v>
      </c>
      <c r="B933" s="9" t="s">
        <v>2178</v>
      </c>
      <c r="C933" s="9" t="s">
        <v>2179</v>
      </c>
      <c r="D933" s="1" t="s">
        <v>2180</v>
      </c>
      <c r="E933" s="1" t="s">
        <v>194</v>
      </c>
      <c r="F933" s="1" t="s">
        <v>62</v>
      </c>
      <c r="G933" s="1" t="s">
        <v>63</v>
      </c>
      <c r="H933" s="2">
        <v>900000.0</v>
      </c>
      <c r="I933" s="1">
        <v>0.0</v>
      </c>
      <c r="J933" s="9" t="s">
        <v>20</v>
      </c>
      <c r="K933" s="5">
        <v>46221.0</v>
      </c>
      <c r="L933" s="11" t="s">
        <v>100</v>
      </c>
      <c r="M933" s="11"/>
      <c r="N933" s="4" t="str">
        <f t="shared" si="1"/>
        <v>Valentina Araya Rodríguez</v>
      </c>
      <c r="O933" s="6" t="str">
        <f t="shared" si="2"/>
        <v>11.000.930-9</v>
      </c>
      <c r="P933" s="6" t="str">
        <f t="shared" si="3"/>
        <v>Las Condes - Santiago - Región Metropolitana</v>
      </c>
      <c r="Q933" s="4" t="str">
        <f t="shared" si="4"/>
        <v>En Revisión</v>
      </c>
      <c r="R933" s="12" t="str">
        <f t="shared" si="5"/>
        <v>Riesgo Medio</v>
      </c>
    </row>
    <row r="934">
      <c r="A934" s="1" t="s">
        <v>75</v>
      </c>
      <c r="B934" s="9" t="s">
        <v>76</v>
      </c>
      <c r="C934" s="9" t="s">
        <v>78</v>
      </c>
      <c r="D934" s="1" t="s">
        <v>79</v>
      </c>
      <c r="E934" s="1" t="s">
        <v>45</v>
      </c>
      <c r="F934" s="1" t="s">
        <v>45</v>
      </c>
      <c r="G934" s="1" t="s">
        <v>46</v>
      </c>
      <c r="H934" s="2">
        <v>7970000.0</v>
      </c>
      <c r="I934" s="1">
        <v>15.0</v>
      </c>
      <c r="J934" s="9" t="s">
        <v>28</v>
      </c>
      <c r="K934" s="5">
        <v>46139.0</v>
      </c>
      <c r="L934" s="11" t="s">
        <v>160</v>
      </c>
      <c r="M934" s="11"/>
      <c r="N934" s="4" t="str">
        <f t="shared" si="1"/>
        <v>Valentina Araya Rojas</v>
      </c>
      <c r="O934" s="6" t="str">
        <f t="shared" si="2"/>
        <v>14.532.054-2</v>
      </c>
      <c r="P934" s="6" t="str">
        <f t="shared" si="3"/>
        <v>Temuco - Temuco - Región de la Araucanía</v>
      </c>
      <c r="Q934" s="4" t="str">
        <f t="shared" si="4"/>
        <v>Activo</v>
      </c>
      <c r="R934" s="12" t="str">
        <f t="shared" si="5"/>
        <v>Riesgo Bajo</v>
      </c>
    </row>
    <row r="935">
      <c r="A935" s="1" t="s">
        <v>4091</v>
      </c>
      <c r="B935" s="9" t="s">
        <v>4092</v>
      </c>
      <c r="C935" s="9" t="s">
        <v>4935</v>
      </c>
      <c r="D935" s="1" t="s">
        <v>4094</v>
      </c>
      <c r="E935" s="1" t="s">
        <v>33</v>
      </c>
      <c r="F935" s="1" t="s">
        <v>33</v>
      </c>
      <c r="G935" s="1" t="s">
        <v>34</v>
      </c>
      <c r="H935" s="2">
        <v>1.381E7</v>
      </c>
      <c r="I935" s="1">
        <v>15.0</v>
      </c>
      <c r="J935" s="9" t="s">
        <v>20</v>
      </c>
      <c r="K935" s="5">
        <v>46210.0</v>
      </c>
      <c r="L935" s="11" t="s">
        <v>181</v>
      </c>
      <c r="M935" s="11"/>
      <c r="N935" s="4" t="str">
        <f t="shared" si="1"/>
        <v>Valentina Contreras Díaz</v>
      </c>
      <c r="O935" s="6" t="str">
        <f t="shared" si="2"/>
        <v>15.054.974-8</v>
      </c>
      <c r="P935" s="6" t="str">
        <f t="shared" si="3"/>
        <v>Puerto Montt - Puerto Montt - Región de Los Lagos</v>
      </c>
      <c r="Q935" s="4" t="str">
        <f t="shared" si="4"/>
        <v>En Revisión</v>
      </c>
      <c r="R935" s="12" t="str">
        <f t="shared" si="5"/>
        <v>Riesgo Medio</v>
      </c>
    </row>
    <row r="936">
      <c r="A936" s="1" t="s">
        <v>2937</v>
      </c>
      <c r="B936" s="9" t="s">
        <v>2938</v>
      </c>
      <c r="C936" s="9" t="s">
        <v>4936</v>
      </c>
      <c r="D936" s="1" t="s">
        <v>2942</v>
      </c>
      <c r="E936" s="1" t="s">
        <v>158</v>
      </c>
      <c r="F936" s="1" t="s">
        <v>158</v>
      </c>
      <c r="G936" s="1" t="s">
        <v>159</v>
      </c>
      <c r="H936" s="2">
        <v>1.243E7</v>
      </c>
      <c r="I936" s="1">
        <v>0.0</v>
      </c>
      <c r="J936" s="9" t="s">
        <v>28</v>
      </c>
      <c r="K936" s="5">
        <v>46191.0</v>
      </c>
      <c r="L936" s="11" t="s">
        <v>199</v>
      </c>
      <c r="M936" s="11"/>
      <c r="N936" s="4" t="str">
        <f t="shared" si="1"/>
        <v>Valentina Contreras Fuentes</v>
      </c>
      <c r="O936" s="6" t="str">
        <f t="shared" si="2"/>
        <v>12.170.250-5</v>
      </c>
      <c r="P936" s="6" t="str">
        <f t="shared" si="3"/>
        <v>Antofagasta - Antofagasta - Región de Antofagasta</v>
      </c>
      <c r="Q936" s="4" t="str">
        <f t="shared" si="4"/>
        <v>Activo</v>
      </c>
      <c r="R936" s="12" t="str">
        <f t="shared" si="5"/>
        <v>Riesgo Bajo</v>
      </c>
    </row>
    <row r="937">
      <c r="A937" s="1" t="s">
        <v>2428</v>
      </c>
      <c r="B937" s="9" t="s">
        <v>2429</v>
      </c>
      <c r="C937" s="9" t="s">
        <v>4937</v>
      </c>
      <c r="D937" s="1" t="s">
        <v>2431</v>
      </c>
      <c r="E937" s="1" t="s">
        <v>33</v>
      </c>
      <c r="F937" s="1" t="s">
        <v>33</v>
      </c>
      <c r="G937" s="1" t="s">
        <v>34</v>
      </c>
      <c r="H937" s="2">
        <v>910000.0</v>
      </c>
      <c r="I937" s="1">
        <v>60.0</v>
      </c>
      <c r="J937" s="9" t="s">
        <v>28</v>
      </c>
      <c r="K937" s="5">
        <v>46039.0</v>
      </c>
      <c r="L937" s="11" t="s">
        <v>207</v>
      </c>
      <c r="M937" s="11"/>
      <c r="N937" s="4" t="str">
        <f t="shared" si="1"/>
        <v>Valentina Contreras Rojas</v>
      </c>
      <c r="O937" s="6" t="str">
        <f t="shared" si="2"/>
        <v>16.965.529-2</v>
      </c>
      <c r="P937" s="6" t="str">
        <f t="shared" si="3"/>
        <v>Puerto Montt - Puerto Montt - Región de Los Lagos</v>
      </c>
      <c r="Q937" s="4" t="str">
        <f t="shared" si="4"/>
        <v>Activo</v>
      </c>
      <c r="R937" s="12" t="str">
        <f t="shared" si="5"/>
        <v>Riesgo Medio</v>
      </c>
    </row>
    <row r="938">
      <c r="A938" s="1" t="s">
        <v>4791</v>
      </c>
      <c r="B938" s="9" t="s">
        <v>4792</v>
      </c>
      <c r="C938" s="9" t="s">
        <v>4793</v>
      </c>
      <c r="D938" s="1" t="s">
        <v>4794</v>
      </c>
      <c r="E938" s="1" t="s">
        <v>61</v>
      </c>
      <c r="F938" s="1" t="s">
        <v>62</v>
      </c>
      <c r="G938" s="1" t="s">
        <v>63</v>
      </c>
      <c r="H938" s="2">
        <v>1.874E7</v>
      </c>
      <c r="I938" s="1">
        <v>45.0</v>
      </c>
      <c r="J938" s="9" t="s">
        <v>20</v>
      </c>
      <c r="K938" s="5">
        <v>46030.0</v>
      </c>
      <c r="L938" s="11" t="s">
        <v>160</v>
      </c>
      <c r="M938" s="11"/>
      <c r="N938" s="4" t="str">
        <f t="shared" si="1"/>
        <v>Valentina Fuentes Contreras</v>
      </c>
      <c r="O938" s="6" t="str">
        <f t="shared" si="2"/>
        <v>16.895.044-K</v>
      </c>
      <c r="P938" s="6" t="str">
        <f t="shared" si="3"/>
        <v>Santiago Centro - Santiago - Región Metropolitana</v>
      </c>
      <c r="Q938" s="4" t="str">
        <f t="shared" si="4"/>
        <v>En Revisión</v>
      </c>
      <c r="R938" s="12" t="str">
        <f t="shared" si="5"/>
        <v>Riesgo Medio</v>
      </c>
    </row>
    <row r="939">
      <c r="A939" s="1" t="s">
        <v>2533</v>
      </c>
      <c r="B939" s="9" t="s">
        <v>2534</v>
      </c>
      <c r="C939" s="9" t="s">
        <v>4938</v>
      </c>
      <c r="D939" s="1" t="s">
        <v>2002</v>
      </c>
      <c r="E939" s="1" t="s">
        <v>158</v>
      </c>
      <c r="F939" s="1" t="s">
        <v>158</v>
      </c>
      <c r="G939" s="1" t="s">
        <v>159</v>
      </c>
      <c r="H939" s="2">
        <v>6550000.0</v>
      </c>
      <c r="I939" s="1">
        <v>45.0</v>
      </c>
      <c r="J939" s="9" t="s">
        <v>20</v>
      </c>
      <c r="K939" s="5">
        <v>46079.0</v>
      </c>
      <c r="L939" s="11" t="s">
        <v>100</v>
      </c>
      <c r="M939" s="11"/>
      <c r="N939" s="4" t="str">
        <f t="shared" si="1"/>
        <v>Valentina González Contreras</v>
      </c>
      <c r="O939" s="6" t="str">
        <f t="shared" si="2"/>
        <v>20818268-6</v>
      </c>
      <c r="P939" s="6" t="str">
        <f t="shared" si="3"/>
        <v>Antofagasta - Antofagasta - Región de Antofagasta</v>
      </c>
      <c r="Q939" s="4" t="str">
        <f t="shared" si="4"/>
        <v>En Revisión</v>
      </c>
      <c r="R939" s="12" t="str">
        <f t="shared" si="5"/>
        <v>Riesgo Medio</v>
      </c>
    </row>
    <row r="940">
      <c r="A940" s="1" t="s">
        <v>1998</v>
      </c>
      <c r="B940" s="9" t="s">
        <v>1999</v>
      </c>
      <c r="C940" s="9" t="s">
        <v>4939</v>
      </c>
      <c r="D940" s="1" t="s">
        <v>2002</v>
      </c>
      <c r="E940" s="1" t="s">
        <v>61</v>
      </c>
      <c r="F940" s="1" t="s">
        <v>62</v>
      </c>
      <c r="G940" s="1" t="s">
        <v>63</v>
      </c>
      <c r="H940" s="2">
        <v>1.753E7</v>
      </c>
      <c r="I940" s="1">
        <v>0.0</v>
      </c>
      <c r="J940" s="9" t="s">
        <v>20</v>
      </c>
      <c r="K940" s="5">
        <v>46107.0</v>
      </c>
      <c r="L940" s="11" t="s">
        <v>160</v>
      </c>
      <c r="M940" s="11"/>
      <c r="N940" s="4" t="str">
        <f t="shared" si="1"/>
        <v>Valentina González Tapia</v>
      </c>
      <c r="O940" s="6" t="str">
        <f t="shared" si="2"/>
        <v>20.227.751-1</v>
      </c>
      <c r="P940" s="6" t="str">
        <f t="shared" si="3"/>
        <v>Santiago Centro - Santiago - Región Metropolitana</v>
      </c>
      <c r="Q940" s="4" t="str">
        <f t="shared" si="4"/>
        <v>En Revisión</v>
      </c>
      <c r="R940" s="12" t="str">
        <f t="shared" si="5"/>
        <v>Riesgo Medio</v>
      </c>
    </row>
    <row r="941">
      <c r="A941" s="1" t="s">
        <v>228</v>
      </c>
      <c r="B941" s="9" t="s">
        <v>229</v>
      </c>
      <c r="C941" s="9" t="s">
        <v>230</v>
      </c>
      <c r="D941" s="1" t="s">
        <v>235</v>
      </c>
      <c r="E941" s="1" t="s">
        <v>26</v>
      </c>
      <c r="F941" s="1" t="s">
        <v>26</v>
      </c>
      <c r="G941" s="1" t="s">
        <v>27</v>
      </c>
      <c r="H941" s="2">
        <v>6160000.0</v>
      </c>
      <c r="I941" s="1">
        <v>120.0</v>
      </c>
      <c r="J941" s="9" t="s">
        <v>97</v>
      </c>
      <c r="K941" s="5">
        <v>46222.0</v>
      </c>
      <c r="L941" s="11" t="s">
        <v>160</v>
      </c>
      <c r="M941" s="11"/>
      <c r="N941" s="4" t="str">
        <f t="shared" si="1"/>
        <v>Valentina López Morales</v>
      </c>
      <c r="O941" s="6" t="str">
        <f t="shared" si="2"/>
        <v>18.340.158-8</v>
      </c>
      <c r="P941" s="6" t="str">
        <f t="shared" si="3"/>
        <v>Valparaíso - Valparaíso - Región de Valparaíso</v>
      </c>
      <c r="Q941" s="4" t="str">
        <f t="shared" si="4"/>
        <v>Inactivo</v>
      </c>
      <c r="R941" s="12" t="str">
        <f t="shared" si="5"/>
        <v>Riesgo Medio</v>
      </c>
    </row>
    <row r="942">
      <c r="A942" s="1" t="s">
        <v>4624</v>
      </c>
      <c r="B942" s="9" t="s">
        <v>4625</v>
      </c>
      <c r="C942" s="9" t="s">
        <v>4626</v>
      </c>
      <c r="D942" s="1" t="s">
        <v>4627</v>
      </c>
      <c r="E942" s="1" t="s">
        <v>33</v>
      </c>
      <c r="F942" s="1" t="s">
        <v>33</v>
      </c>
      <c r="G942" s="1" t="s">
        <v>34</v>
      </c>
      <c r="H942" s="2">
        <v>1.98E7</v>
      </c>
      <c r="I942" s="1">
        <v>0.0</v>
      </c>
      <c r="J942" s="9" t="s">
        <v>20</v>
      </c>
      <c r="K942" s="5">
        <v>46186.0</v>
      </c>
      <c r="L942" s="11" t="s">
        <v>181</v>
      </c>
      <c r="M942" s="11"/>
      <c r="N942" s="4" t="str">
        <f t="shared" si="1"/>
        <v>Valentina López Soto</v>
      </c>
      <c r="O942" s="6" t="str">
        <f t="shared" si="2"/>
        <v>13.220.131-9</v>
      </c>
      <c r="P942" s="6" t="str">
        <f t="shared" si="3"/>
        <v>Puerto Montt - Puerto Montt - Región de Los Lagos</v>
      </c>
      <c r="Q942" s="4" t="str">
        <f t="shared" si="4"/>
        <v>En Revisión</v>
      </c>
      <c r="R942" s="12" t="str">
        <f t="shared" si="5"/>
        <v>Riesgo Medio</v>
      </c>
    </row>
    <row r="943">
      <c r="A943" s="1" t="s">
        <v>927</v>
      </c>
      <c r="B943" s="9" t="s">
        <v>929</v>
      </c>
      <c r="C943" s="9" t="s">
        <v>930</v>
      </c>
      <c r="D943" s="1" t="s">
        <v>931</v>
      </c>
      <c r="E943" s="1" t="s">
        <v>26</v>
      </c>
      <c r="F943" s="1" t="s">
        <v>26</v>
      </c>
      <c r="G943" s="1" t="s">
        <v>27</v>
      </c>
      <c r="H943" s="2">
        <v>1.298E7</v>
      </c>
      <c r="I943" s="1">
        <v>120.0</v>
      </c>
      <c r="J943" s="9" t="s">
        <v>28</v>
      </c>
      <c r="K943" s="5">
        <v>46217.0</v>
      </c>
      <c r="L943" s="11" t="s">
        <v>160</v>
      </c>
      <c r="M943" s="11"/>
      <c r="N943" s="4" t="str">
        <f t="shared" si="1"/>
        <v>Valentina Morales Sepúlveda</v>
      </c>
      <c r="O943" s="6" t="str">
        <f t="shared" si="2"/>
        <v>19.431.960-9</v>
      </c>
      <c r="P943" s="6" t="str">
        <f t="shared" si="3"/>
        <v>Valparaíso - Valparaíso - Región de Valparaíso</v>
      </c>
      <c r="Q943" s="4" t="str">
        <f t="shared" si="4"/>
        <v>Activo</v>
      </c>
      <c r="R943" s="12" t="str">
        <f t="shared" si="5"/>
        <v>Riesgo Alto</v>
      </c>
    </row>
    <row r="944">
      <c r="A944" s="1" t="s">
        <v>3397</v>
      </c>
      <c r="B944" s="9" t="s">
        <v>3398</v>
      </c>
      <c r="C944" s="9" t="s">
        <v>3399</v>
      </c>
      <c r="D944" s="1" t="s">
        <v>3400</v>
      </c>
      <c r="E944" s="1" t="s">
        <v>61</v>
      </c>
      <c r="F944" s="1" t="s">
        <v>62</v>
      </c>
      <c r="G944" s="1" t="s">
        <v>63</v>
      </c>
      <c r="H944" s="2">
        <v>1.873E7</v>
      </c>
      <c r="I944" s="1">
        <v>15.0</v>
      </c>
      <c r="J944" s="9" t="s">
        <v>28</v>
      </c>
      <c r="K944" s="5">
        <v>46124.0</v>
      </c>
      <c r="L944" s="11" t="s">
        <v>160</v>
      </c>
      <c r="M944" s="11"/>
      <c r="N944" s="4" t="str">
        <f t="shared" si="1"/>
        <v>Valentina Muñoz Díaz</v>
      </c>
      <c r="O944" s="6" t="str">
        <f t="shared" si="2"/>
        <v>14.863.931-1</v>
      </c>
      <c r="P944" s="6" t="str">
        <f t="shared" si="3"/>
        <v>Santiago Centro - Santiago - Región Metropolitana</v>
      </c>
      <c r="Q944" s="4" t="str">
        <f t="shared" si="4"/>
        <v>Activo</v>
      </c>
      <c r="R944" s="12" t="str">
        <f t="shared" si="5"/>
        <v>Riesgo Bajo</v>
      </c>
    </row>
    <row r="945">
      <c r="A945" s="1" t="s">
        <v>3467</v>
      </c>
      <c r="B945" s="9" t="s">
        <v>3468</v>
      </c>
      <c r="C945" s="9" t="s">
        <v>3470</v>
      </c>
      <c r="D945" s="1" t="s">
        <v>2623</v>
      </c>
      <c r="E945" s="1" t="s">
        <v>56</v>
      </c>
      <c r="F945" s="1" t="s">
        <v>39</v>
      </c>
      <c r="G945" s="1" t="s">
        <v>40</v>
      </c>
      <c r="H945" s="2">
        <v>9040000.0</v>
      </c>
      <c r="I945" s="1">
        <v>45.0</v>
      </c>
      <c r="J945" s="9" t="s">
        <v>20</v>
      </c>
      <c r="K945" s="5">
        <v>46230.0</v>
      </c>
      <c r="L945" s="11" t="s">
        <v>207</v>
      </c>
      <c r="M945" s="11"/>
      <c r="N945" s="4" t="str">
        <f t="shared" si="1"/>
        <v>Valentina Pérez Espinoza</v>
      </c>
      <c r="O945" s="6" t="str">
        <f t="shared" si="2"/>
        <v>13.940.643-3</v>
      </c>
      <c r="P945" s="6" t="str">
        <f t="shared" si="3"/>
        <v>Talcahuano - Concepción - Región del Biobío</v>
      </c>
      <c r="Q945" s="4" t="str">
        <f t="shared" si="4"/>
        <v>En Revisión</v>
      </c>
      <c r="R945" s="12" t="str">
        <f t="shared" si="5"/>
        <v>Riesgo Medio</v>
      </c>
    </row>
    <row r="946">
      <c r="A946" s="1" t="s">
        <v>4194</v>
      </c>
      <c r="B946" s="9" t="s">
        <v>4195</v>
      </c>
      <c r="C946" s="9" t="s">
        <v>4196</v>
      </c>
      <c r="D946" s="1" t="s">
        <v>2623</v>
      </c>
      <c r="E946" s="1" t="s">
        <v>39</v>
      </c>
      <c r="F946" s="1" t="s">
        <v>39</v>
      </c>
      <c r="G946" s="1" t="s">
        <v>40</v>
      </c>
      <c r="H946" s="2">
        <v>1.671E7</v>
      </c>
      <c r="I946" s="1">
        <v>30.0</v>
      </c>
      <c r="J946" s="9" t="s">
        <v>28</v>
      </c>
      <c r="K946" s="5">
        <v>46183.0</v>
      </c>
      <c r="L946" s="11" t="s">
        <v>160</v>
      </c>
      <c r="M946" s="11"/>
      <c r="N946" s="4" t="str">
        <f t="shared" si="1"/>
        <v>Valentina Pérez López</v>
      </c>
      <c r="O946" s="6" t="str">
        <f t="shared" si="2"/>
        <v>15399265-1</v>
      </c>
      <c r="P946" s="6" t="str">
        <f t="shared" si="3"/>
        <v>Concepción - Concepción - Región del Biobío</v>
      </c>
      <c r="Q946" s="4" t="str">
        <f t="shared" si="4"/>
        <v>Activo</v>
      </c>
      <c r="R946" s="12" t="str">
        <f t="shared" si="5"/>
        <v>Riesgo Bajo</v>
      </c>
    </row>
    <row r="947">
      <c r="A947" s="1" t="s">
        <v>2619</v>
      </c>
      <c r="B947" s="9" t="s">
        <v>2620</v>
      </c>
      <c r="C947" s="9" t="s">
        <v>2621</v>
      </c>
      <c r="D947" s="1" t="s">
        <v>2623</v>
      </c>
      <c r="E947" s="1" t="s">
        <v>45</v>
      </c>
      <c r="F947" s="1" t="s">
        <v>45</v>
      </c>
      <c r="G947" s="1" t="s">
        <v>46</v>
      </c>
      <c r="H947" s="2">
        <v>2.032E7</v>
      </c>
      <c r="I947" s="1">
        <v>90.0</v>
      </c>
      <c r="J947" s="9" t="s">
        <v>97</v>
      </c>
      <c r="K947" s="5">
        <v>46085.0</v>
      </c>
      <c r="L947" s="11" t="s">
        <v>207</v>
      </c>
      <c r="M947" s="11"/>
      <c r="N947" s="4" t="str">
        <f t="shared" si="1"/>
        <v>Valentina Pérez Silva</v>
      </c>
      <c r="O947" s="6" t="str">
        <f t="shared" si="2"/>
        <v>19.011.762-1</v>
      </c>
      <c r="P947" s="6" t="str">
        <f t="shared" si="3"/>
        <v>Temuco - Temuco - Región de la Araucanía</v>
      </c>
      <c r="Q947" s="4" t="str">
        <f t="shared" si="4"/>
        <v>Inactivo</v>
      </c>
      <c r="R947" s="12" t="str">
        <f t="shared" si="5"/>
        <v>Riesgo Medio</v>
      </c>
    </row>
    <row r="948">
      <c r="A948" s="1" t="s">
        <v>1847</v>
      </c>
      <c r="B948" s="9" t="s">
        <v>1849</v>
      </c>
      <c r="C948" s="9" t="s">
        <v>1850</v>
      </c>
      <c r="D948" s="1" t="s">
        <v>1851</v>
      </c>
      <c r="E948" s="1" t="s">
        <v>18</v>
      </c>
      <c r="F948" s="1" t="s">
        <v>18</v>
      </c>
      <c r="G948" s="1" t="s">
        <v>19</v>
      </c>
      <c r="H948" s="2">
        <v>1.328E7</v>
      </c>
      <c r="I948" s="1">
        <v>120.0</v>
      </c>
      <c r="J948" s="9" t="s">
        <v>20</v>
      </c>
      <c r="K948" s="5">
        <v>46229.0</v>
      </c>
      <c r="L948" s="11" t="s">
        <v>100</v>
      </c>
      <c r="M948" s="11"/>
      <c r="N948" s="4" t="str">
        <f t="shared" si="1"/>
        <v>Valentina Rodríguez Díaz</v>
      </c>
      <c r="O948" s="6" t="str">
        <f t="shared" si="2"/>
        <v>11.817.756-3</v>
      </c>
      <c r="P948" s="6" t="str">
        <f t="shared" si="3"/>
        <v>La Serena - La Serena - Región de Coquimbo</v>
      </c>
      <c r="Q948" s="4" t="str">
        <f t="shared" si="4"/>
        <v>En Revisión</v>
      </c>
      <c r="R948" s="12" t="str">
        <f t="shared" si="5"/>
        <v>Riesgo Medio</v>
      </c>
    </row>
    <row r="949">
      <c r="A949" s="1" t="s">
        <v>3993</v>
      </c>
      <c r="B949" s="9" t="s">
        <v>3994</v>
      </c>
      <c r="C949" s="9" t="s">
        <v>4940</v>
      </c>
      <c r="D949" s="1" t="s">
        <v>3997</v>
      </c>
      <c r="E949" s="1" t="s">
        <v>18</v>
      </c>
      <c r="F949" s="1" t="s">
        <v>18</v>
      </c>
      <c r="G949" s="1" t="s">
        <v>19</v>
      </c>
      <c r="H949" s="2">
        <v>7110000.0</v>
      </c>
      <c r="I949" s="1">
        <v>45.0</v>
      </c>
      <c r="J949" s="9" t="s">
        <v>28</v>
      </c>
      <c r="K949" s="5">
        <v>46028.0</v>
      </c>
      <c r="L949" s="11" t="s">
        <v>207</v>
      </c>
      <c r="M949" s="11"/>
      <c r="N949" s="4" t="str">
        <f t="shared" si="1"/>
        <v>Valentina Rojas González</v>
      </c>
      <c r="O949" s="6" t="str">
        <f t="shared" si="2"/>
        <v>22.276.530-K</v>
      </c>
      <c r="P949" s="6" t="str">
        <f t="shared" si="3"/>
        <v>La Serena - La Serena - Región de Coquimbo</v>
      </c>
      <c r="Q949" s="4" t="str">
        <f t="shared" si="4"/>
        <v>Activo</v>
      </c>
      <c r="R949" s="12" t="str">
        <f t="shared" si="5"/>
        <v>Riesgo Medio</v>
      </c>
    </row>
    <row r="950">
      <c r="A950" s="1" t="s">
        <v>4329</v>
      </c>
      <c r="B950" s="9" t="s">
        <v>4330</v>
      </c>
      <c r="C950" s="9" t="s">
        <v>4941</v>
      </c>
      <c r="D950" s="1" t="s">
        <v>4332</v>
      </c>
      <c r="E950" s="1" t="s">
        <v>109</v>
      </c>
      <c r="F950" s="1" t="s">
        <v>62</v>
      </c>
      <c r="G950" s="1" t="s">
        <v>63</v>
      </c>
      <c r="H950" s="2">
        <v>2.029E7</v>
      </c>
      <c r="I950" s="1">
        <v>120.0</v>
      </c>
      <c r="J950" s="9" t="s">
        <v>28</v>
      </c>
      <c r="K950" s="5">
        <v>46090.0</v>
      </c>
      <c r="L950" s="11" t="s">
        <v>207</v>
      </c>
      <c r="M950" s="11"/>
      <c r="N950" s="4" t="str">
        <f t="shared" si="1"/>
        <v>Valentina Rojas Vergara</v>
      </c>
      <c r="O950" s="6" t="str">
        <f t="shared" si="2"/>
        <v>16.481.237-2</v>
      </c>
      <c r="P950" s="6" t="str">
        <f t="shared" si="3"/>
        <v>Ñuñoa - Santiago - Región Metropolitana</v>
      </c>
      <c r="Q950" s="4" t="str">
        <f t="shared" si="4"/>
        <v>Activo</v>
      </c>
      <c r="R950" s="12" t="str">
        <f t="shared" si="5"/>
        <v>Riesgo Alto</v>
      </c>
    </row>
    <row r="951">
      <c r="A951" s="1" t="s">
        <v>1644</v>
      </c>
      <c r="B951" s="9" t="s">
        <v>1645</v>
      </c>
      <c r="C951" s="9" t="s">
        <v>4942</v>
      </c>
      <c r="D951" s="1" t="s">
        <v>1647</v>
      </c>
      <c r="E951" s="1" t="s">
        <v>118</v>
      </c>
      <c r="F951" s="1" t="s">
        <v>62</v>
      </c>
      <c r="G951" s="1" t="s">
        <v>63</v>
      </c>
      <c r="H951" s="2">
        <v>1.051E7</v>
      </c>
      <c r="I951" s="1">
        <v>45.0</v>
      </c>
      <c r="J951" s="9" t="s">
        <v>20</v>
      </c>
      <c r="K951" s="5">
        <v>46189.0</v>
      </c>
      <c r="L951" s="11" t="s">
        <v>100</v>
      </c>
      <c r="M951" s="11"/>
      <c r="N951" s="4" t="str">
        <f t="shared" si="1"/>
        <v>Valentina Silva Muñoz</v>
      </c>
      <c r="O951" s="6" t="str">
        <f t="shared" si="2"/>
        <v>20230848-3</v>
      </c>
      <c r="P951" s="6" t="str">
        <f t="shared" si="3"/>
        <v>Maipú - Santiago - Región Metropolitana</v>
      </c>
      <c r="Q951" s="4" t="str">
        <f t="shared" si="4"/>
        <v>En Revisión</v>
      </c>
      <c r="R951" s="12" t="str">
        <f t="shared" si="5"/>
        <v>Riesgo Medio</v>
      </c>
    </row>
    <row r="952">
      <c r="A952" s="1" t="s">
        <v>3413</v>
      </c>
      <c r="B952" s="9" t="s">
        <v>3414</v>
      </c>
      <c r="C952" s="9" t="s">
        <v>3415</v>
      </c>
      <c r="D952" s="1" t="s">
        <v>3416</v>
      </c>
      <c r="E952" s="1" t="s">
        <v>33</v>
      </c>
      <c r="F952" s="1" t="s">
        <v>33</v>
      </c>
      <c r="G952" s="1" t="s">
        <v>34</v>
      </c>
      <c r="H952" s="2">
        <v>1950000.0</v>
      </c>
      <c r="I952" s="1">
        <v>120.0</v>
      </c>
      <c r="J952" s="9" t="s">
        <v>28</v>
      </c>
      <c r="K952" s="5">
        <v>46161.0</v>
      </c>
      <c r="L952" s="11" t="s">
        <v>181</v>
      </c>
      <c r="M952" s="11"/>
      <c r="N952" s="4" t="str">
        <f t="shared" si="1"/>
        <v>Valentina Silva Pérez</v>
      </c>
      <c r="O952" s="6" t="str">
        <f t="shared" si="2"/>
        <v>12.150.969-1</v>
      </c>
      <c r="P952" s="6" t="str">
        <f t="shared" si="3"/>
        <v>Puerto Montt - Puerto Montt - Región de Los Lagos</v>
      </c>
      <c r="Q952" s="4" t="str">
        <f t="shared" si="4"/>
        <v>Activo</v>
      </c>
      <c r="R952" s="12" t="str">
        <f t="shared" si="5"/>
        <v>Riesgo Alto</v>
      </c>
    </row>
    <row r="953">
      <c r="A953" s="1" t="s">
        <v>4366</v>
      </c>
      <c r="B953" s="9" t="s">
        <v>4367</v>
      </c>
      <c r="C953" s="9" t="s">
        <v>4943</v>
      </c>
      <c r="D953" s="1" t="s">
        <v>4369</v>
      </c>
      <c r="E953" s="1" t="s">
        <v>118</v>
      </c>
      <c r="F953" s="1" t="s">
        <v>62</v>
      </c>
      <c r="G953" s="1" t="s">
        <v>63</v>
      </c>
      <c r="H953" s="2">
        <v>1.394E7</v>
      </c>
      <c r="I953" s="1">
        <v>30.0</v>
      </c>
      <c r="J953" s="9" t="s">
        <v>97</v>
      </c>
      <c r="K953" s="5">
        <v>46040.0</v>
      </c>
      <c r="L953" s="11" t="s">
        <v>100</v>
      </c>
      <c r="M953" s="11"/>
      <c r="N953" s="4" t="str">
        <f t="shared" si="1"/>
        <v>Valentina Silva Soto</v>
      </c>
      <c r="O953" s="6" t="str">
        <f t="shared" si="2"/>
        <v>13374637-1</v>
      </c>
      <c r="P953" s="6" t="str">
        <f t="shared" si="3"/>
        <v>Maipú - Santiago - Región Metropolitana</v>
      </c>
      <c r="Q953" s="4" t="str">
        <f t="shared" si="4"/>
        <v>Inactivo</v>
      </c>
      <c r="R953" s="12" t="str">
        <f t="shared" si="5"/>
        <v>Riesgo Bajo</v>
      </c>
    </row>
    <row r="954">
      <c r="A954" s="1" t="s">
        <v>4571</v>
      </c>
      <c r="B954" s="9" t="s">
        <v>4572</v>
      </c>
      <c r="C954" s="9" t="s">
        <v>4944</v>
      </c>
      <c r="D954" s="1" t="s">
        <v>4574</v>
      </c>
      <c r="E954" s="1" t="s">
        <v>26</v>
      </c>
      <c r="F954" s="1" t="s">
        <v>26</v>
      </c>
      <c r="G954" s="1" t="s">
        <v>27</v>
      </c>
      <c r="H954" s="2">
        <v>2.031E7</v>
      </c>
      <c r="I954" s="1">
        <v>0.0</v>
      </c>
      <c r="J954" s="9" t="s">
        <v>20</v>
      </c>
      <c r="K954" s="5">
        <v>46153.0</v>
      </c>
      <c r="L954" s="11" t="s">
        <v>207</v>
      </c>
      <c r="M954" s="11"/>
      <c r="N954" s="4" t="str">
        <f t="shared" si="1"/>
        <v>Valentina Silva Vergara</v>
      </c>
      <c r="O954" s="6" t="str">
        <f t="shared" si="2"/>
        <v>22175780-4</v>
      </c>
      <c r="P954" s="6" t="str">
        <f t="shared" si="3"/>
        <v>Valparaíso - Valparaíso - Región de Valparaíso</v>
      </c>
      <c r="Q954" s="4" t="str">
        <f t="shared" si="4"/>
        <v>En Revisión</v>
      </c>
      <c r="R954" s="12" t="str">
        <f t="shared" si="5"/>
        <v>Riesgo Medio</v>
      </c>
    </row>
    <row r="955">
      <c r="A955" s="1" t="s">
        <v>350</v>
      </c>
      <c r="B955" s="9" t="s">
        <v>352</v>
      </c>
      <c r="C955" s="9" t="s">
        <v>354</v>
      </c>
      <c r="D955" s="1" t="s">
        <v>356</v>
      </c>
      <c r="E955" s="1" t="s">
        <v>194</v>
      </c>
      <c r="F955" s="1" t="s">
        <v>62</v>
      </c>
      <c r="G955" s="1" t="s">
        <v>63</v>
      </c>
      <c r="H955" s="2">
        <v>1.442E7</v>
      </c>
      <c r="I955" s="1">
        <v>0.0</v>
      </c>
      <c r="J955" s="9" t="s">
        <v>20</v>
      </c>
      <c r="K955" s="5">
        <v>46174.0</v>
      </c>
      <c r="L955" s="11" t="s">
        <v>160</v>
      </c>
      <c r="M955" s="11"/>
      <c r="N955" s="4" t="str">
        <f t="shared" si="1"/>
        <v>Valentina Soto Díaz</v>
      </c>
      <c r="O955" s="6" t="str">
        <f t="shared" si="2"/>
        <v>11.500.055-5</v>
      </c>
      <c r="P955" s="6" t="str">
        <f t="shared" si="3"/>
        <v>Las Condes - Santiago - Región Metropolitana</v>
      </c>
      <c r="Q955" s="4" t="str">
        <f t="shared" si="4"/>
        <v>En Revisión</v>
      </c>
      <c r="R955" s="12" t="str">
        <f t="shared" si="5"/>
        <v>Riesgo Medio</v>
      </c>
    </row>
    <row r="956">
      <c r="A956" s="1" t="s">
        <v>4683</v>
      </c>
      <c r="B956" s="9" t="s">
        <v>4684</v>
      </c>
      <c r="C956" s="9" t="s">
        <v>4945</v>
      </c>
      <c r="D956" s="1" t="s">
        <v>4686</v>
      </c>
      <c r="E956" s="1" t="s">
        <v>26</v>
      </c>
      <c r="F956" s="1" t="s">
        <v>26</v>
      </c>
      <c r="G956" s="1" t="s">
        <v>27</v>
      </c>
      <c r="H956" s="2">
        <v>1.896E7</v>
      </c>
      <c r="I956" s="1">
        <v>120.0</v>
      </c>
      <c r="J956" s="9" t="s">
        <v>28</v>
      </c>
      <c r="K956" s="5">
        <v>46206.0</v>
      </c>
      <c r="L956" s="11" t="s">
        <v>160</v>
      </c>
      <c r="M956" s="11"/>
      <c r="N956" s="4" t="str">
        <f t="shared" si="1"/>
        <v>Valentina Soto Rojas</v>
      </c>
      <c r="O956" s="6" t="str">
        <f t="shared" si="2"/>
        <v>11543884-4</v>
      </c>
      <c r="P956" s="6" t="str">
        <f t="shared" si="3"/>
        <v>Valparaíso - Valparaíso - Región de Valparaíso</v>
      </c>
      <c r="Q956" s="4" t="str">
        <f t="shared" si="4"/>
        <v>Activo</v>
      </c>
      <c r="R956" s="12" t="str">
        <f t="shared" si="5"/>
        <v>Riesgo Alto</v>
      </c>
    </row>
    <row r="957">
      <c r="A957" s="1" t="s">
        <v>3516</v>
      </c>
      <c r="B957" s="9" t="s">
        <v>3517</v>
      </c>
      <c r="C957" s="9" t="s">
        <v>3518</v>
      </c>
      <c r="D957" s="1" t="s">
        <v>3519</v>
      </c>
      <c r="E957" s="1" t="s">
        <v>26</v>
      </c>
      <c r="F957" s="1" t="s">
        <v>26</v>
      </c>
      <c r="G957" s="1" t="s">
        <v>27</v>
      </c>
      <c r="H957" s="2">
        <v>1.768E7</v>
      </c>
      <c r="I957" s="1">
        <v>45.0</v>
      </c>
      <c r="J957" s="9" t="s">
        <v>28</v>
      </c>
      <c r="K957" s="5">
        <v>46205.0</v>
      </c>
      <c r="L957" s="11" t="s">
        <v>181</v>
      </c>
      <c r="M957" s="11"/>
      <c r="N957" s="4" t="str">
        <f t="shared" si="1"/>
        <v>Valentina Valenzuela Araya</v>
      </c>
      <c r="O957" s="6" t="str">
        <f t="shared" si="2"/>
        <v>17.871.403-2</v>
      </c>
      <c r="P957" s="6" t="str">
        <f t="shared" si="3"/>
        <v>Valparaíso - Valparaíso - Región de Valparaíso</v>
      </c>
      <c r="Q957" s="4" t="str">
        <f t="shared" si="4"/>
        <v>Activo</v>
      </c>
      <c r="R957" s="12" t="str">
        <f t="shared" si="5"/>
        <v>Riesgo Medio</v>
      </c>
    </row>
    <row r="958">
      <c r="H958" s="2"/>
      <c r="K958" s="5"/>
      <c r="L958" s="11"/>
      <c r="M958" s="11"/>
      <c r="N958" s="4"/>
      <c r="O958" s="6"/>
      <c r="P958" s="6"/>
      <c r="Q958" s="4"/>
      <c r="R958" s="12"/>
    </row>
    <row r="959">
      <c r="H959" s="2"/>
      <c r="K959" s="5"/>
      <c r="L959" s="11"/>
      <c r="M959" s="11"/>
      <c r="O959" s="6"/>
      <c r="P959" s="6"/>
      <c r="Q959" s="4"/>
    </row>
    <row r="960">
      <c r="H960" s="2"/>
      <c r="K960" s="5"/>
      <c r="L960" s="11"/>
      <c r="M960" s="11"/>
      <c r="O960" s="6"/>
      <c r="P960" s="6"/>
      <c r="Q960" s="4"/>
    </row>
    <row r="961">
      <c r="H961" s="2"/>
      <c r="K961" s="5"/>
      <c r="L961" s="11"/>
      <c r="M961" s="11"/>
      <c r="O961" s="6"/>
      <c r="P961" s="6"/>
      <c r="Q961" s="4"/>
    </row>
    <row r="962">
      <c r="H962" s="2"/>
      <c r="K962" s="5"/>
      <c r="L962" s="11"/>
      <c r="M962" s="11"/>
      <c r="O962" s="6"/>
      <c r="P962" s="6"/>
      <c r="Q962" s="4"/>
    </row>
    <row r="963">
      <c r="H963" s="2"/>
      <c r="K963" s="5"/>
      <c r="L963" s="11"/>
      <c r="M963" s="11"/>
      <c r="O963" s="6"/>
      <c r="P963" s="6"/>
      <c r="Q963" s="4"/>
    </row>
    <row r="964">
      <c r="H964" s="2"/>
      <c r="K964" s="5"/>
      <c r="L964" s="11"/>
      <c r="M964" s="11"/>
      <c r="O964" s="6"/>
      <c r="P964" s="6"/>
      <c r="Q964" s="4"/>
    </row>
    <row r="965">
      <c r="H965" s="2"/>
      <c r="K965" s="5"/>
      <c r="L965" s="11"/>
      <c r="M965" s="11"/>
      <c r="O965" s="6"/>
      <c r="P965" s="6"/>
      <c r="Q965" s="4"/>
    </row>
    <row r="966">
      <c r="H966" s="2"/>
      <c r="K966" s="5"/>
      <c r="L966" s="11"/>
      <c r="M966" s="11"/>
      <c r="O966" s="6"/>
      <c r="P966" s="6"/>
      <c r="Q966" s="4"/>
    </row>
    <row r="967">
      <c r="H967" s="2"/>
      <c r="K967" s="5"/>
      <c r="L967" s="11"/>
      <c r="M967" s="11"/>
      <c r="O967" s="6"/>
      <c r="P967" s="6"/>
      <c r="Q967" s="4"/>
    </row>
    <row r="968">
      <c r="H968" s="2"/>
      <c r="K968" s="5"/>
      <c r="L968" s="11"/>
      <c r="M968" s="11"/>
      <c r="O968" s="6"/>
      <c r="P968" s="6"/>
      <c r="Q968" s="4"/>
    </row>
    <row r="969">
      <c r="H969" s="2"/>
      <c r="K969" s="5"/>
      <c r="L969" s="11"/>
      <c r="M969" s="11"/>
      <c r="O969" s="6"/>
      <c r="P969" s="6"/>
      <c r="Q969" s="4"/>
    </row>
    <row r="970">
      <c r="H970" s="2"/>
      <c r="K970" s="5"/>
      <c r="L970" s="11"/>
      <c r="M970" s="11"/>
      <c r="O970" s="6"/>
      <c r="P970" s="6"/>
      <c r="Q970" s="4"/>
    </row>
    <row r="971">
      <c r="H971" s="2"/>
      <c r="K971" s="5"/>
      <c r="L971" s="11"/>
      <c r="M971" s="11"/>
      <c r="O971" s="6"/>
      <c r="P971" s="6"/>
      <c r="Q971" s="4"/>
    </row>
    <row r="972">
      <c r="H972" s="2"/>
      <c r="K972" s="5"/>
      <c r="L972" s="11"/>
      <c r="M972" s="11"/>
      <c r="O972" s="6"/>
      <c r="P972" s="6"/>
      <c r="Q972" s="4"/>
    </row>
    <row r="973">
      <c r="H973" s="2"/>
      <c r="K973" s="5"/>
      <c r="L973" s="11"/>
      <c r="M973" s="11"/>
      <c r="O973" s="6"/>
      <c r="P973" s="6"/>
      <c r="Q973" s="4"/>
    </row>
    <row r="974">
      <c r="H974" s="2"/>
      <c r="K974" s="5"/>
      <c r="L974" s="11"/>
      <c r="M974" s="11"/>
      <c r="O974" s="6"/>
      <c r="P974" s="6"/>
      <c r="Q974" s="4"/>
    </row>
    <row r="975">
      <c r="H975" s="2"/>
      <c r="K975" s="5"/>
      <c r="L975" s="11"/>
      <c r="M975" s="11"/>
      <c r="O975" s="6"/>
      <c r="P975" s="6"/>
      <c r="Q975" s="4"/>
    </row>
    <row r="976">
      <c r="H976" s="2"/>
      <c r="K976" s="5"/>
      <c r="L976" s="11"/>
      <c r="M976" s="11"/>
      <c r="O976" s="6"/>
      <c r="P976" s="6"/>
      <c r="Q976" s="4"/>
    </row>
    <row r="977">
      <c r="H977" s="2"/>
      <c r="K977" s="5"/>
      <c r="L977" s="11"/>
      <c r="M977" s="11"/>
      <c r="O977" s="6"/>
      <c r="P977" s="6"/>
      <c r="Q977" s="4"/>
    </row>
    <row r="978">
      <c r="H978" s="2"/>
      <c r="K978" s="5"/>
      <c r="L978" s="11"/>
      <c r="M978" s="11"/>
      <c r="O978" s="6"/>
      <c r="P978" s="6"/>
      <c r="Q978" s="4"/>
    </row>
    <row r="979">
      <c r="H979" s="2"/>
      <c r="K979" s="5"/>
      <c r="L979" s="11"/>
      <c r="M979" s="11"/>
      <c r="O979" s="6"/>
      <c r="P979" s="6"/>
      <c r="Q979" s="4"/>
    </row>
    <row r="980">
      <c r="H980" s="2"/>
      <c r="K980" s="5"/>
      <c r="L980" s="11"/>
      <c r="M980" s="11"/>
      <c r="O980" s="6"/>
      <c r="P980" s="6"/>
      <c r="Q980" s="4"/>
    </row>
    <row r="981">
      <c r="H981" s="2"/>
      <c r="K981" s="5"/>
      <c r="L981" s="11"/>
      <c r="M981" s="11"/>
      <c r="O981" s="6"/>
      <c r="P981" s="6"/>
      <c r="Q981" s="4"/>
    </row>
    <row r="982">
      <c r="H982" s="2"/>
      <c r="K982" s="5"/>
      <c r="L982" s="11"/>
      <c r="M982" s="11"/>
      <c r="O982" s="6"/>
      <c r="P982" s="6"/>
      <c r="Q982" s="4"/>
    </row>
    <row r="983">
      <c r="H983" s="2"/>
      <c r="K983" s="5"/>
      <c r="L983" s="11"/>
      <c r="M983" s="11"/>
      <c r="O983" s="6"/>
      <c r="P983" s="6"/>
      <c r="Q983" s="4"/>
    </row>
    <row r="984">
      <c r="H984" s="2"/>
      <c r="K984" s="5"/>
      <c r="L984" s="11"/>
      <c r="M984" s="11"/>
      <c r="O984" s="6"/>
      <c r="P984" s="6"/>
      <c r="Q984" s="4"/>
    </row>
    <row r="985">
      <c r="H985" s="2"/>
      <c r="K985" s="5"/>
      <c r="L985" s="11"/>
      <c r="M985" s="11"/>
      <c r="O985" s="6"/>
      <c r="P985" s="6"/>
      <c r="Q985" s="4"/>
    </row>
    <row r="986">
      <c r="H986" s="2"/>
      <c r="K986" s="5"/>
      <c r="L986" s="11"/>
      <c r="M986" s="11"/>
      <c r="O986" s="6"/>
      <c r="P986" s="6"/>
      <c r="Q986" s="4"/>
    </row>
    <row r="987">
      <c r="H987" s="2"/>
      <c r="K987" s="5"/>
      <c r="L987" s="11"/>
      <c r="M987" s="11"/>
      <c r="O987" s="6"/>
      <c r="P987" s="6"/>
      <c r="Q987" s="4"/>
    </row>
    <row r="988">
      <c r="H988" s="2"/>
      <c r="K988" s="5"/>
      <c r="L988" s="11"/>
      <c r="M988" s="11"/>
      <c r="O988" s="6"/>
      <c r="P988" s="6"/>
      <c r="Q988" s="4"/>
    </row>
    <row r="989">
      <c r="H989" s="2"/>
      <c r="K989" s="5"/>
      <c r="L989" s="11"/>
      <c r="M989" s="11"/>
      <c r="O989" s="6"/>
      <c r="P989" s="6"/>
      <c r="Q989" s="4"/>
    </row>
    <row r="990">
      <c r="H990" s="2"/>
      <c r="K990" s="5"/>
      <c r="L990" s="11"/>
      <c r="M990" s="11"/>
      <c r="O990" s="6"/>
      <c r="P990" s="6"/>
      <c r="Q990" s="4"/>
    </row>
    <row r="991">
      <c r="H991" s="2"/>
      <c r="K991" s="5"/>
      <c r="L991" s="11"/>
      <c r="M991" s="11"/>
      <c r="O991" s="6"/>
      <c r="P991" s="6"/>
      <c r="Q991" s="4"/>
    </row>
    <row r="992">
      <c r="H992" s="2"/>
      <c r="K992" s="5"/>
      <c r="L992" s="11"/>
      <c r="M992" s="11"/>
      <c r="O992" s="6"/>
      <c r="P992" s="6"/>
      <c r="Q992" s="4"/>
    </row>
    <row r="993">
      <c r="H993" s="2"/>
      <c r="K993" s="5"/>
      <c r="L993" s="11"/>
      <c r="M993" s="11"/>
      <c r="O993" s="6"/>
      <c r="P993" s="6"/>
      <c r="Q993" s="4"/>
    </row>
    <row r="994">
      <c r="H994" s="2"/>
      <c r="K994" s="5"/>
      <c r="L994" s="11"/>
      <c r="M994" s="11"/>
      <c r="O994" s="6"/>
      <c r="P994" s="6"/>
      <c r="Q994" s="4"/>
    </row>
    <row r="995">
      <c r="H995" s="2"/>
      <c r="K995" s="5"/>
      <c r="L995" s="11"/>
      <c r="M995" s="11"/>
      <c r="O995" s="6"/>
      <c r="P995" s="6"/>
      <c r="Q995" s="4"/>
    </row>
    <row r="996">
      <c r="H996" s="2"/>
      <c r="K996" s="5"/>
      <c r="L996" s="11"/>
      <c r="M996" s="11"/>
      <c r="O996" s="6"/>
      <c r="P996" s="6"/>
      <c r="Q996" s="4"/>
    </row>
    <row r="997">
      <c r="H997" s="2"/>
      <c r="K997" s="5"/>
      <c r="L997" s="11"/>
      <c r="M997" s="11"/>
      <c r="O997" s="6"/>
      <c r="P997" s="6"/>
      <c r="Q997" s="4"/>
    </row>
    <row r="998">
      <c r="H998" s="2"/>
      <c r="K998" s="5"/>
      <c r="L998" s="11"/>
      <c r="M998" s="11"/>
      <c r="O998" s="6"/>
      <c r="P998" s="6"/>
      <c r="Q998" s="4"/>
    </row>
    <row r="999">
      <c r="H999" s="2"/>
      <c r="K999" s="5"/>
      <c r="L999" s="11"/>
      <c r="M999" s="11"/>
      <c r="O999" s="6"/>
      <c r="P999" s="6"/>
      <c r="Q999" s="4"/>
    </row>
    <row r="1000">
      <c r="H1000" s="2"/>
      <c r="K1000" s="5"/>
      <c r="L1000" s="11"/>
      <c r="M1000" s="11"/>
      <c r="O1000" s="6"/>
      <c r="P1000" s="6"/>
      <c r="Q1000" s="4"/>
    </row>
    <row r="1001">
      <c r="H1001" s="2"/>
      <c r="K1001" s="5"/>
      <c r="L1001" s="11"/>
      <c r="M1001" s="11"/>
      <c r="O1001" s="6"/>
      <c r="P1001" s="6"/>
      <c r="Q1001" s="4"/>
    </row>
    <row r="1002">
      <c r="H1002" s="10"/>
      <c r="O1002" s="6"/>
      <c r="P1002" s="4"/>
      <c r="Q1002" s="4"/>
    </row>
    <row r="1003">
      <c r="Q1003" s="4"/>
    </row>
  </sheetData>
  <autoFilter ref="$A$1:$L$958"/>
  <conditionalFormatting sqref="R2:R958">
    <cfRule type="cellIs" dxfId="0" priority="1" operator="equal">
      <formula>"Riesgo Alto"</formula>
    </cfRule>
  </conditionalFormatting>
  <conditionalFormatting sqref="R2:R958">
    <cfRule type="cellIs" dxfId="1" priority="2" operator="equal">
      <formula>"Riesgo Bajo"</formula>
    </cfRule>
  </conditionalFormatting>
  <conditionalFormatting sqref="R2:R958">
    <cfRule type="cellIs" dxfId="2" priority="3" operator="equal">
      <formula>"Riesgo Medio"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3.38"/>
  </cols>
  <sheetData>
    <row r="1">
      <c r="I1" s="1" t="s">
        <v>74</v>
      </c>
      <c r="J1" s="10">
        <f>SUM(Dataset_limpio_A2!H2:H957)</f>
        <v>11090210000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38"/>
    <col customWidth="1" min="2" max="2" width="18.5"/>
    <col customWidth="1" min="3" max="3" width="24.75"/>
    <col customWidth="1" min="4" max="4" width="18.5"/>
    <col customWidth="1" min="5" max="5" width="24.75"/>
    <col customWidth="1" min="6" max="6" width="14.75"/>
    <col customWidth="1" min="7" max="7" width="24.75"/>
    <col customWidth="1" min="8" max="8" width="19.5"/>
    <col customWidth="1" min="9" max="9" width="9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3.75"/>
    <col customWidth="1" min="10" max="10" width="31.75"/>
  </cols>
  <sheetData>
    <row r="1">
      <c r="A1" s="1" t="s">
        <v>272</v>
      </c>
      <c r="B1" s="1" t="s">
        <v>276</v>
      </c>
      <c r="C1" s="1" t="s">
        <v>0</v>
      </c>
      <c r="D1" s="1" t="s">
        <v>281</v>
      </c>
      <c r="E1" s="1" t="s">
        <v>283</v>
      </c>
      <c r="F1" s="1" t="s">
        <v>284</v>
      </c>
      <c r="G1" s="1"/>
      <c r="H1" s="13" t="s">
        <v>285</v>
      </c>
      <c r="I1" s="13" t="s">
        <v>286</v>
      </c>
      <c r="J1" s="13" t="s">
        <v>287</v>
      </c>
    </row>
    <row r="2">
      <c r="A2" s="1" t="s">
        <v>290</v>
      </c>
      <c r="B2" s="5">
        <v>46145.0</v>
      </c>
      <c r="C2" s="1" t="s">
        <v>293</v>
      </c>
      <c r="D2" s="1" t="s">
        <v>294</v>
      </c>
      <c r="E2" s="1" t="s">
        <v>295</v>
      </c>
      <c r="F2" s="1">
        <v>1.0</v>
      </c>
      <c r="H2" s="1" t="s">
        <v>293</v>
      </c>
      <c r="I2" s="9" t="str">
        <f t="array" ref="I2">IFERROR(_xlfn.XLOOKUP(H2, '2.10 Clientes'!A$2:A$101, '2.10 Clientes'!C$2:C$101), "No encontrado")
</f>
        <v>Catalina López Espinoza</v>
      </c>
      <c r="J2" s="14" t="s">
        <v>320</v>
      </c>
    </row>
    <row r="3">
      <c r="A3" s="1" t="s">
        <v>324</v>
      </c>
      <c r="B3" s="5">
        <v>46221.0</v>
      </c>
      <c r="C3" s="1" t="s">
        <v>293</v>
      </c>
      <c r="D3" s="1" t="s">
        <v>325</v>
      </c>
      <c r="E3" s="1" t="s">
        <v>295</v>
      </c>
      <c r="F3" s="1">
        <v>3.0</v>
      </c>
      <c r="H3" s="1" t="s">
        <v>326</v>
      </c>
      <c r="I3" s="9" t="str">
        <f t="array" ref="I3">IFERROR(_xlfn.XLOOKUP(H3, '2.10 Clientes'!A$2:A$101, '2.10 Clientes'!C$2:C$101), "No encontrado")
</f>
        <v>Claudio Silva Muñoz</v>
      </c>
    </row>
    <row r="4">
      <c r="A4" s="1" t="s">
        <v>339</v>
      </c>
      <c r="B4" s="5">
        <v>46040.0</v>
      </c>
      <c r="C4" s="1" t="s">
        <v>293</v>
      </c>
      <c r="D4" s="1" t="s">
        <v>343</v>
      </c>
      <c r="E4" s="1" t="s">
        <v>295</v>
      </c>
      <c r="F4" s="1">
        <v>3.0</v>
      </c>
      <c r="H4" s="1" t="s">
        <v>345</v>
      </c>
      <c r="I4" s="9" t="str">
        <f t="array" ref="I4">IFERROR(_xlfn.XLOOKUP(H4, '2.10 Clientes'!A$2:A$101, '2.10 Clientes'!C$2:C$101), "No encontrado")
</f>
        <v>Valentina Valenzuela Morales</v>
      </c>
    </row>
    <row r="5">
      <c r="A5" s="1" t="s">
        <v>357</v>
      </c>
      <c r="B5" s="5">
        <v>46216.0</v>
      </c>
      <c r="C5" s="1" t="s">
        <v>293</v>
      </c>
      <c r="D5" s="1" t="s">
        <v>358</v>
      </c>
      <c r="E5" s="1" t="s">
        <v>359</v>
      </c>
      <c r="F5" s="1">
        <v>1.0</v>
      </c>
      <c r="G5" s="1"/>
      <c r="H5" s="1"/>
      <c r="I5" s="1"/>
      <c r="J5" s="1"/>
    </row>
    <row r="6">
      <c r="A6" s="1" t="s">
        <v>364</v>
      </c>
      <c r="B6" s="5">
        <v>46049.0</v>
      </c>
      <c r="C6" s="1" t="s">
        <v>293</v>
      </c>
      <c r="D6" s="1" t="s">
        <v>365</v>
      </c>
      <c r="E6" s="1" t="s">
        <v>366</v>
      </c>
      <c r="F6" s="1">
        <v>5.0</v>
      </c>
    </row>
    <row r="7">
      <c r="A7" s="1" t="s">
        <v>369</v>
      </c>
      <c r="B7" s="5">
        <v>46127.0</v>
      </c>
      <c r="C7" s="1" t="s">
        <v>293</v>
      </c>
      <c r="D7" s="1" t="s">
        <v>372</v>
      </c>
      <c r="E7" s="1" t="s">
        <v>366</v>
      </c>
      <c r="F7" s="1">
        <v>3.0</v>
      </c>
      <c r="H7" s="15" t="s">
        <v>376</v>
      </c>
      <c r="I7" s="15" t="s">
        <v>378</v>
      </c>
      <c r="J7" s="15" t="s">
        <v>379</v>
      </c>
    </row>
    <row r="8">
      <c r="A8" s="1" t="s">
        <v>380</v>
      </c>
      <c r="B8" s="5">
        <v>46150.0</v>
      </c>
      <c r="C8" s="1" t="s">
        <v>326</v>
      </c>
      <c r="D8" s="1" t="s">
        <v>381</v>
      </c>
      <c r="E8" s="1" t="s">
        <v>382</v>
      </c>
      <c r="F8" s="1">
        <v>5.0</v>
      </c>
      <c r="H8" s="1" t="s">
        <v>383</v>
      </c>
      <c r="I8" s="9" t="str">
        <f t="array" ref="I8">IFERROR(_xlfn.XLOOKUP(H8, '2.10_Productos'!A$2:A$26, '2.10_Productos'!B$2:B$26), "No encontrado")
</f>
        <v>Configuración SD-WAN Redes</v>
      </c>
      <c r="J8" s="9">
        <f t="array" ref="J8">IFERROR(_xlfn.XLOOKUP(H8, '2.10_Productos'!A$2:A$26, '2.10_Productos'!D$2:D$26), "No encontrado")
</f>
        <v>1250000</v>
      </c>
    </row>
    <row r="9">
      <c r="A9" s="1" t="s">
        <v>405</v>
      </c>
      <c r="B9" s="5">
        <v>46211.0</v>
      </c>
      <c r="C9" s="1" t="s">
        <v>345</v>
      </c>
      <c r="D9" s="1" t="s">
        <v>372</v>
      </c>
      <c r="E9" s="1" t="s">
        <v>409</v>
      </c>
      <c r="F9" s="1">
        <v>5.0</v>
      </c>
      <c r="G9" s="1"/>
      <c r="H9" s="1"/>
      <c r="I9" s="1"/>
      <c r="J9" s="1"/>
    </row>
    <row r="10">
      <c r="A10" s="1" t="s">
        <v>410</v>
      </c>
      <c r="B10" s="5">
        <v>46197.0</v>
      </c>
      <c r="C10" s="1" t="s">
        <v>345</v>
      </c>
      <c r="D10" s="1" t="s">
        <v>414</v>
      </c>
      <c r="E10" s="1" t="s">
        <v>416</v>
      </c>
      <c r="F10" s="1">
        <v>10.0</v>
      </c>
    </row>
    <row r="11">
      <c r="A11" s="1" t="s">
        <v>417</v>
      </c>
      <c r="B11" s="5">
        <v>46096.0</v>
      </c>
      <c r="C11" s="1" t="s">
        <v>345</v>
      </c>
      <c r="D11" s="1" t="s">
        <v>418</v>
      </c>
      <c r="E11" s="1" t="s">
        <v>419</v>
      </c>
      <c r="F11" s="1">
        <v>10.0</v>
      </c>
    </row>
    <row r="12">
      <c r="A12" s="1" t="s">
        <v>425</v>
      </c>
      <c r="B12" s="5">
        <v>46038.0</v>
      </c>
      <c r="C12" s="1" t="s">
        <v>427</v>
      </c>
      <c r="D12" s="1" t="s">
        <v>343</v>
      </c>
      <c r="E12" s="1" t="s">
        <v>416</v>
      </c>
      <c r="F12" s="1">
        <v>2.0</v>
      </c>
    </row>
    <row r="13">
      <c r="A13" s="1" t="s">
        <v>430</v>
      </c>
      <c r="B13" s="5">
        <v>46114.0</v>
      </c>
      <c r="C13" s="1" t="s">
        <v>427</v>
      </c>
      <c r="D13" s="1" t="s">
        <v>431</v>
      </c>
      <c r="E13" s="1" t="s">
        <v>432</v>
      </c>
      <c r="F13" s="1">
        <v>5.0</v>
      </c>
      <c r="G13" s="1"/>
      <c r="H13" s="1"/>
      <c r="I13" s="1"/>
      <c r="J13" s="1"/>
    </row>
    <row r="14">
      <c r="A14" s="1" t="s">
        <v>433</v>
      </c>
      <c r="B14" s="5">
        <v>46219.0</v>
      </c>
      <c r="C14" s="1" t="s">
        <v>427</v>
      </c>
      <c r="D14" s="1" t="s">
        <v>434</v>
      </c>
      <c r="E14" s="1" t="s">
        <v>295</v>
      </c>
      <c r="F14" s="1">
        <v>5.0</v>
      </c>
    </row>
    <row r="15">
      <c r="A15" s="1" t="s">
        <v>440</v>
      </c>
      <c r="B15" s="5">
        <v>46077.0</v>
      </c>
      <c r="C15" s="1" t="s">
        <v>427</v>
      </c>
      <c r="D15" s="1" t="s">
        <v>443</v>
      </c>
      <c r="E15" s="1" t="s">
        <v>359</v>
      </c>
      <c r="F15" s="1">
        <v>5.0</v>
      </c>
    </row>
    <row r="16">
      <c r="A16" s="1" t="s">
        <v>444</v>
      </c>
      <c r="B16" s="5">
        <v>46137.0</v>
      </c>
      <c r="C16" s="1" t="s">
        <v>427</v>
      </c>
      <c r="D16" s="1" t="s">
        <v>445</v>
      </c>
      <c r="E16" s="1" t="s">
        <v>419</v>
      </c>
      <c r="F16" s="1">
        <v>5.0</v>
      </c>
    </row>
    <row r="17">
      <c r="A17" s="1" t="s">
        <v>446</v>
      </c>
      <c r="B17" s="5">
        <v>46231.0</v>
      </c>
      <c r="C17" s="1" t="s">
        <v>447</v>
      </c>
      <c r="D17" s="1" t="s">
        <v>448</v>
      </c>
      <c r="E17" s="1" t="s">
        <v>359</v>
      </c>
      <c r="F17" s="1">
        <v>10.0</v>
      </c>
    </row>
    <row r="18">
      <c r="A18" s="1" t="s">
        <v>449</v>
      </c>
      <c r="B18" s="5">
        <v>46085.0</v>
      </c>
      <c r="C18" s="1" t="s">
        <v>447</v>
      </c>
      <c r="D18" s="1" t="s">
        <v>450</v>
      </c>
      <c r="E18" s="1" t="s">
        <v>359</v>
      </c>
      <c r="F18" s="1">
        <v>10.0</v>
      </c>
    </row>
    <row r="19">
      <c r="A19" s="1" t="s">
        <v>453</v>
      </c>
      <c r="B19" s="5">
        <v>46128.0</v>
      </c>
      <c r="C19" s="1" t="s">
        <v>447</v>
      </c>
      <c r="D19" s="1" t="s">
        <v>448</v>
      </c>
      <c r="E19" s="1" t="s">
        <v>295</v>
      </c>
      <c r="F19" s="1">
        <v>10.0</v>
      </c>
    </row>
    <row r="20">
      <c r="A20" s="1" t="s">
        <v>459</v>
      </c>
      <c r="B20" s="5">
        <v>46229.0</v>
      </c>
      <c r="C20" s="1" t="s">
        <v>447</v>
      </c>
      <c r="D20" s="1" t="s">
        <v>460</v>
      </c>
      <c r="E20" s="1" t="s">
        <v>461</v>
      </c>
      <c r="F20" s="1">
        <v>5.0</v>
      </c>
    </row>
    <row r="21">
      <c r="A21" s="1" t="s">
        <v>462</v>
      </c>
      <c r="B21" s="5">
        <v>46024.0</v>
      </c>
      <c r="C21" s="1" t="s">
        <v>463</v>
      </c>
      <c r="D21" s="1" t="s">
        <v>418</v>
      </c>
      <c r="E21" s="1" t="s">
        <v>295</v>
      </c>
      <c r="F21" s="1">
        <v>10.0</v>
      </c>
    </row>
    <row r="22">
      <c r="A22" s="1" t="s">
        <v>464</v>
      </c>
      <c r="B22" s="5">
        <v>46024.0</v>
      </c>
      <c r="C22" s="1" t="s">
        <v>463</v>
      </c>
      <c r="D22" s="1" t="s">
        <v>434</v>
      </c>
      <c r="E22" s="1" t="s">
        <v>295</v>
      </c>
      <c r="F22" s="1">
        <v>10.0</v>
      </c>
    </row>
    <row r="23">
      <c r="A23" s="1" t="s">
        <v>469</v>
      </c>
      <c r="B23" s="5">
        <v>46102.0</v>
      </c>
      <c r="C23" s="1" t="s">
        <v>463</v>
      </c>
      <c r="D23" s="1" t="s">
        <v>294</v>
      </c>
      <c r="E23" s="1" t="s">
        <v>359</v>
      </c>
      <c r="F23" s="1">
        <v>5.0</v>
      </c>
    </row>
    <row r="24">
      <c r="A24" s="1" t="s">
        <v>470</v>
      </c>
      <c r="B24" s="5">
        <v>46114.0</v>
      </c>
      <c r="C24" s="1" t="s">
        <v>472</v>
      </c>
      <c r="D24" s="1" t="s">
        <v>474</v>
      </c>
      <c r="E24" s="1" t="s">
        <v>416</v>
      </c>
      <c r="F24" s="1">
        <v>1.0</v>
      </c>
    </row>
    <row r="25">
      <c r="A25" s="1" t="s">
        <v>477</v>
      </c>
      <c r="B25" s="5">
        <v>46210.0</v>
      </c>
      <c r="C25" s="1" t="s">
        <v>478</v>
      </c>
      <c r="D25" s="1" t="s">
        <v>343</v>
      </c>
      <c r="E25" s="1" t="s">
        <v>479</v>
      </c>
      <c r="F25" s="1">
        <v>5.0</v>
      </c>
    </row>
    <row r="26">
      <c r="A26" s="1" t="s">
        <v>481</v>
      </c>
      <c r="B26" s="5">
        <v>46107.0</v>
      </c>
      <c r="C26" s="1" t="s">
        <v>483</v>
      </c>
      <c r="D26" s="1" t="s">
        <v>485</v>
      </c>
      <c r="E26" s="1" t="s">
        <v>432</v>
      </c>
      <c r="F26" s="1">
        <v>5.0</v>
      </c>
    </row>
    <row r="27">
      <c r="A27" s="1" t="s">
        <v>487</v>
      </c>
      <c r="B27" s="5">
        <v>46082.0</v>
      </c>
      <c r="C27" s="1" t="s">
        <v>483</v>
      </c>
      <c r="D27" s="1" t="s">
        <v>443</v>
      </c>
      <c r="E27" s="1" t="s">
        <v>488</v>
      </c>
      <c r="F27" s="1">
        <v>5.0</v>
      </c>
    </row>
    <row r="28">
      <c r="A28" s="1" t="s">
        <v>489</v>
      </c>
      <c r="B28" s="5">
        <v>46194.0</v>
      </c>
      <c r="C28" s="1" t="s">
        <v>492</v>
      </c>
      <c r="D28" s="1" t="s">
        <v>414</v>
      </c>
      <c r="E28" s="1" t="s">
        <v>494</v>
      </c>
      <c r="F28" s="1">
        <v>2.0</v>
      </c>
    </row>
    <row r="29">
      <c r="A29" s="1" t="s">
        <v>496</v>
      </c>
      <c r="B29" s="5">
        <v>46200.0</v>
      </c>
      <c r="C29" s="1" t="s">
        <v>492</v>
      </c>
      <c r="D29" s="1" t="s">
        <v>497</v>
      </c>
      <c r="E29" s="1" t="s">
        <v>461</v>
      </c>
      <c r="F29" s="1">
        <v>5.0</v>
      </c>
    </row>
    <row r="30">
      <c r="A30" s="1" t="s">
        <v>501</v>
      </c>
      <c r="B30" s="5">
        <v>46117.0</v>
      </c>
      <c r="C30" s="1" t="s">
        <v>492</v>
      </c>
      <c r="D30" s="1" t="s">
        <v>294</v>
      </c>
      <c r="E30" s="1" t="s">
        <v>419</v>
      </c>
      <c r="F30" s="1">
        <v>3.0</v>
      </c>
    </row>
    <row r="31">
      <c r="A31" s="1" t="s">
        <v>503</v>
      </c>
      <c r="B31" s="5">
        <v>46105.0</v>
      </c>
      <c r="C31" s="1" t="s">
        <v>504</v>
      </c>
      <c r="D31" s="1" t="s">
        <v>418</v>
      </c>
      <c r="E31" s="1" t="s">
        <v>419</v>
      </c>
      <c r="F31" s="1">
        <v>5.0</v>
      </c>
    </row>
    <row r="32">
      <c r="A32" s="1" t="s">
        <v>505</v>
      </c>
      <c r="B32" s="5">
        <v>46104.0</v>
      </c>
      <c r="C32" s="1" t="s">
        <v>504</v>
      </c>
      <c r="D32" s="1" t="s">
        <v>506</v>
      </c>
      <c r="E32" s="1" t="s">
        <v>494</v>
      </c>
      <c r="F32" s="1">
        <v>2.0</v>
      </c>
    </row>
    <row r="33">
      <c r="A33" s="1" t="s">
        <v>510</v>
      </c>
      <c r="B33" s="5">
        <v>46222.0</v>
      </c>
      <c r="C33" s="1" t="s">
        <v>504</v>
      </c>
      <c r="D33" s="1" t="s">
        <v>460</v>
      </c>
      <c r="E33" s="1" t="s">
        <v>419</v>
      </c>
      <c r="F33" s="1">
        <v>3.0</v>
      </c>
    </row>
    <row r="34">
      <c r="A34" s="1" t="s">
        <v>516</v>
      </c>
      <c r="B34" s="5">
        <v>46090.0</v>
      </c>
      <c r="C34" s="1" t="s">
        <v>504</v>
      </c>
      <c r="D34" s="1" t="s">
        <v>414</v>
      </c>
      <c r="E34" s="1" t="s">
        <v>494</v>
      </c>
      <c r="F34" s="1">
        <v>1.0</v>
      </c>
    </row>
    <row r="35">
      <c r="A35" s="1" t="s">
        <v>517</v>
      </c>
      <c r="B35" s="5">
        <v>46109.0</v>
      </c>
      <c r="C35" s="1" t="s">
        <v>504</v>
      </c>
      <c r="D35" s="1" t="s">
        <v>414</v>
      </c>
      <c r="E35" s="1" t="s">
        <v>479</v>
      </c>
      <c r="F35" s="1">
        <v>5.0</v>
      </c>
    </row>
    <row r="36">
      <c r="A36" s="1" t="s">
        <v>518</v>
      </c>
      <c r="B36" s="5">
        <v>46194.0</v>
      </c>
      <c r="C36" s="1" t="s">
        <v>504</v>
      </c>
      <c r="D36" s="1" t="s">
        <v>460</v>
      </c>
      <c r="E36" s="1" t="s">
        <v>461</v>
      </c>
      <c r="F36" s="1">
        <v>10.0</v>
      </c>
    </row>
    <row r="37">
      <c r="A37" s="1" t="s">
        <v>521</v>
      </c>
      <c r="B37" s="5">
        <v>46029.0</v>
      </c>
      <c r="C37" s="1" t="s">
        <v>524</v>
      </c>
      <c r="D37" s="1" t="s">
        <v>445</v>
      </c>
      <c r="E37" s="1" t="s">
        <v>461</v>
      </c>
      <c r="F37" s="1">
        <v>5.0</v>
      </c>
    </row>
    <row r="38">
      <c r="A38" s="1" t="s">
        <v>525</v>
      </c>
      <c r="B38" s="5">
        <v>46182.0</v>
      </c>
      <c r="C38" s="1" t="s">
        <v>526</v>
      </c>
      <c r="D38" s="1" t="s">
        <v>474</v>
      </c>
      <c r="E38" s="1" t="s">
        <v>366</v>
      </c>
      <c r="F38" s="1">
        <v>5.0</v>
      </c>
    </row>
    <row r="39">
      <c r="A39" s="1" t="s">
        <v>527</v>
      </c>
      <c r="B39" s="5">
        <v>46154.0</v>
      </c>
      <c r="C39" s="1" t="s">
        <v>526</v>
      </c>
      <c r="D39" s="1" t="s">
        <v>418</v>
      </c>
      <c r="E39" s="1" t="s">
        <v>488</v>
      </c>
      <c r="F39" s="1">
        <v>3.0</v>
      </c>
    </row>
    <row r="40">
      <c r="A40" s="1" t="s">
        <v>529</v>
      </c>
      <c r="B40" s="5">
        <v>46219.0</v>
      </c>
      <c r="C40" s="1" t="s">
        <v>526</v>
      </c>
      <c r="D40" s="1" t="s">
        <v>445</v>
      </c>
      <c r="E40" s="1" t="s">
        <v>366</v>
      </c>
      <c r="F40" s="1">
        <v>1.0</v>
      </c>
    </row>
    <row r="41">
      <c r="A41" s="1" t="s">
        <v>534</v>
      </c>
      <c r="B41" s="5">
        <v>46081.0</v>
      </c>
      <c r="C41" s="1" t="s">
        <v>537</v>
      </c>
      <c r="D41" s="1" t="s">
        <v>497</v>
      </c>
      <c r="E41" s="1" t="s">
        <v>432</v>
      </c>
      <c r="F41" s="1">
        <v>2.0</v>
      </c>
    </row>
    <row r="42">
      <c r="A42" s="1" t="s">
        <v>539</v>
      </c>
      <c r="B42" s="5">
        <v>46201.0</v>
      </c>
      <c r="C42" s="1" t="s">
        <v>537</v>
      </c>
      <c r="D42" s="1" t="s">
        <v>485</v>
      </c>
      <c r="E42" s="1" t="s">
        <v>382</v>
      </c>
      <c r="F42" s="1">
        <v>1.0</v>
      </c>
    </row>
    <row r="43">
      <c r="A43" s="1" t="s">
        <v>540</v>
      </c>
      <c r="B43" s="5">
        <v>46158.0</v>
      </c>
      <c r="C43" s="1" t="s">
        <v>537</v>
      </c>
      <c r="D43" s="1" t="s">
        <v>414</v>
      </c>
      <c r="E43" s="1" t="s">
        <v>543</v>
      </c>
      <c r="F43" s="1">
        <v>2.0</v>
      </c>
    </row>
    <row r="44">
      <c r="A44" s="1" t="s">
        <v>546</v>
      </c>
      <c r="B44" s="5">
        <v>46163.0</v>
      </c>
      <c r="C44" s="1" t="s">
        <v>537</v>
      </c>
      <c r="D44" s="1" t="s">
        <v>434</v>
      </c>
      <c r="E44" s="1" t="s">
        <v>494</v>
      </c>
      <c r="F44" s="1">
        <v>3.0</v>
      </c>
    </row>
    <row r="45">
      <c r="A45" s="1" t="s">
        <v>547</v>
      </c>
      <c r="B45" s="5">
        <v>46125.0</v>
      </c>
      <c r="C45" s="1" t="s">
        <v>548</v>
      </c>
      <c r="D45" s="1" t="s">
        <v>549</v>
      </c>
      <c r="E45" s="1" t="s">
        <v>550</v>
      </c>
      <c r="F45" s="1">
        <v>2.0</v>
      </c>
    </row>
    <row r="46">
      <c r="A46" s="1" t="s">
        <v>551</v>
      </c>
      <c r="B46" s="5">
        <v>46210.0</v>
      </c>
      <c r="C46" s="1" t="s">
        <v>548</v>
      </c>
      <c r="D46" s="1" t="s">
        <v>414</v>
      </c>
      <c r="E46" s="1" t="s">
        <v>479</v>
      </c>
      <c r="F46" s="1">
        <v>2.0</v>
      </c>
    </row>
    <row r="47">
      <c r="A47" s="1" t="s">
        <v>552</v>
      </c>
      <c r="B47" s="5">
        <v>46046.0</v>
      </c>
      <c r="C47" s="1" t="s">
        <v>548</v>
      </c>
      <c r="D47" s="1" t="s">
        <v>485</v>
      </c>
      <c r="E47" s="1" t="s">
        <v>409</v>
      </c>
      <c r="F47" s="1">
        <v>1.0</v>
      </c>
    </row>
    <row r="48">
      <c r="A48" s="1" t="s">
        <v>561</v>
      </c>
      <c r="B48" s="5">
        <v>46175.0</v>
      </c>
      <c r="C48" s="1" t="s">
        <v>562</v>
      </c>
      <c r="D48" s="1" t="s">
        <v>448</v>
      </c>
      <c r="E48" s="1" t="s">
        <v>419</v>
      </c>
      <c r="F48" s="1">
        <v>5.0</v>
      </c>
    </row>
    <row r="49">
      <c r="A49" s="1" t="s">
        <v>563</v>
      </c>
      <c r="B49" s="5">
        <v>46074.0</v>
      </c>
      <c r="C49" s="1" t="s">
        <v>562</v>
      </c>
      <c r="D49" s="1" t="s">
        <v>358</v>
      </c>
      <c r="E49" s="1" t="s">
        <v>416</v>
      </c>
      <c r="F49" s="1">
        <v>1.0</v>
      </c>
    </row>
    <row r="50">
      <c r="A50" s="1" t="s">
        <v>564</v>
      </c>
      <c r="B50" s="5">
        <v>46078.0</v>
      </c>
      <c r="C50" s="1" t="s">
        <v>562</v>
      </c>
      <c r="D50" s="1" t="s">
        <v>372</v>
      </c>
      <c r="E50" s="1" t="s">
        <v>543</v>
      </c>
      <c r="F50" s="1">
        <v>2.0</v>
      </c>
    </row>
    <row r="51">
      <c r="A51" s="1" t="s">
        <v>568</v>
      </c>
      <c r="B51" s="5">
        <v>46130.0</v>
      </c>
      <c r="C51" s="1" t="s">
        <v>562</v>
      </c>
      <c r="D51" s="1" t="s">
        <v>570</v>
      </c>
      <c r="E51" s="1" t="s">
        <v>550</v>
      </c>
      <c r="F51" s="1">
        <v>3.0</v>
      </c>
    </row>
    <row r="52">
      <c r="A52" s="1" t="s">
        <v>571</v>
      </c>
      <c r="B52" s="5">
        <v>46229.0</v>
      </c>
      <c r="C52" s="1" t="s">
        <v>572</v>
      </c>
      <c r="D52" s="1" t="s">
        <v>573</v>
      </c>
      <c r="E52" s="1" t="s">
        <v>574</v>
      </c>
      <c r="F52" s="1">
        <v>10.0</v>
      </c>
    </row>
    <row r="53">
      <c r="A53" s="1" t="s">
        <v>575</v>
      </c>
      <c r="B53" s="5">
        <v>46156.0</v>
      </c>
      <c r="C53" s="1" t="s">
        <v>572</v>
      </c>
      <c r="D53" s="1" t="s">
        <v>573</v>
      </c>
      <c r="E53" s="1" t="s">
        <v>479</v>
      </c>
      <c r="F53" s="1">
        <v>10.0</v>
      </c>
    </row>
    <row r="54">
      <c r="A54" s="1" t="s">
        <v>580</v>
      </c>
      <c r="B54" s="5">
        <v>46034.0</v>
      </c>
      <c r="C54" s="1" t="s">
        <v>572</v>
      </c>
      <c r="D54" s="1" t="s">
        <v>343</v>
      </c>
      <c r="E54" s="1" t="s">
        <v>543</v>
      </c>
      <c r="F54" s="1">
        <v>1.0</v>
      </c>
    </row>
    <row r="55">
      <c r="A55" s="1" t="s">
        <v>581</v>
      </c>
      <c r="B55" s="5">
        <v>46178.0</v>
      </c>
      <c r="C55" s="1" t="s">
        <v>582</v>
      </c>
      <c r="D55" s="1" t="s">
        <v>485</v>
      </c>
      <c r="E55" s="1" t="s">
        <v>359</v>
      </c>
      <c r="F55" s="1">
        <v>3.0</v>
      </c>
    </row>
    <row r="56">
      <c r="A56" s="1" t="s">
        <v>583</v>
      </c>
      <c r="B56" s="5">
        <v>46062.0</v>
      </c>
      <c r="C56" s="1" t="s">
        <v>586</v>
      </c>
      <c r="D56" s="1" t="s">
        <v>358</v>
      </c>
      <c r="E56" s="1" t="s">
        <v>416</v>
      </c>
      <c r="F56" s="1">
        <v>10.0</v>
      </c>
    </row>
    <row r="57">
      <c r="A57" s="1" t="s">
        <v>589</v>
      </c>
      <c r="B57" s="5">
        <v>46056.0</v>
      </c>
      <c r="C57" s="1" t="s">
        <v>586</v>
      </c>
      <c r="D57" s="1" t="s">
        <v>590</v>
      </c>
      <c r="E57" s="1" t="s">
        <v>366</v>
      </c>
      <c r="F57" s="1">
        <v>2.0</v>
      </c>
    </row>
    <row r="58">
      <c r="A58" s="1" t="s">
        <v>593</v>
      </c>
      <c r="B58" s="5">
        <v>46081.0</v>
      </c>
      <c r="C58" s="1" t="s">
        <v>586</v>
      </c>
      <c r="D58" s="1" t="s">
        <v>431</v>
      </c>
      <c r="E58" s="1" t="s">
        <v>461</v>
      </c>
      <c r="F58" s="1">
        <v>5.0</v>
      </c>
    </row>
    <row r="59">
      <c r="A59" s="1" t="s">
        <v>596</v>
      </c>
      <c r="B59" s="5">
        <v>46129.0</v>
      </c>
      <c r="C59" s="1" t="s">
        <v>586</v>
      </c>
      <c r="D59" s="1" t="s">
        <v>343</v>
      </c>
      <c r="E59" s="1" t="s">
        <v>366</v>
      </c>
      <c r="F59" s="1">
        <v>1.0</v>
      </c>
    </row>
    <row r="60">
      <c r="A60" s="1" t="s">
        <v>609</v>
      </c>
      <c r="B60" s="5">
        <v>46192.0</v>
      </c>
      <c r="C60" s="1" t="s">
        <v>610</v>
      </c>
      <c r="D60" s="1" t="s">
        <v>570</v>
      </c>
      <c r="E60" s="1" t="s">
        <v>479</v>
      </c>
      <c r="F60" s="1">
        <v>3.0</v>
      </c>
    </row>
    <row r="61">
      <c r="A61" s="1" t="s">
        <v>613</v>
      </c>
      <c r="B61" s="5">
        <v>46169.0</v>
      </c>
      <c r="C61" s="1" t="s">
        <v>610</v>
      </c>
      <c r="D61" s="1" t="s">
        <v>431</v>
      </c>
      <c r="E61" s="1" t="s">
        <v>366</v>
      </c>
      <c r="F61" s="1">
        <v>2.0</v>
      </c>
    </row>
    <row r="62">
      <c r="A62" s="1" t="s">
        <v>616</v>
      </c>
      <c r="B62" s="5">
        <v>46030.0</v>
      </c>
      <c r="C62" s="1" t="s">
        <v>610</v>
      </c>
      <c r="D62" s="1" t="s">
        <v>497</v>
      </c>
      <c r="E62" s="1" t="s">
        <v>479</v>
      </c>
      <c r="F62" s="1">
        <v>3.0</v>
      </c>
    </row>
    <row r="63">
      <c r="A63" s="1" t="s">
        <v>619</v>
      </c>
      <c r="B63" s="5">
        <v>46042.0</v>
      </c>
      <c r="C63" s="1" t="s">
        <v>610</v>
      </c>
      <c r="D63" s="1" t="s">
        <v>450</v>
      </c>
      <c r="E63" s="1" t="s">
        <v>543</v>
      </c>
      <c r="F63" s="1">
        <v>1.0</v>
      </c>
    </row>
    <row r="64">
      <c r="A64" s="1" t="s">
        <v>624</v>
      </c>
      <c r="B64" s="5">
        <v>46033.0</v>
      </c>
      <c r="C64" s="1" t="s">
        <v>610</v>
      </c>
      <c r="D64" s="1" t="s">
        <v>358</v>
      </c>
      <c r="E64" s="1" t="s">
        <v>366</v>
      </c>
      <c r="F64" s="1">
        <v>1.0</v>
      </c>
    </row>
    <row r="65">
      <c r="A65" s="1" t="s">
        <v>625</v>
      </c>
      <c r="B65" s="5">
        <v>46160.0</v>
      </c>
      <c r="C65" s="1" t="s">
        <v>626</v>
      </c>
      <c r="D65" s="1" t="s">
        <v>627</v>
      </c>
      <c r="E65" s="1" t="s">
        <v>461</v>
      </c>
      <c r="F65" s="1">
        <v>2.0</v>
      </c>
    </row>
    <row r="66">
      <c r="A66" s="1" t="s">
        <v>629</v>
      </c>
      <c r="B66" s="5">
        <v>46205.0</v>
      </c>
      <c r="C66" s="1" t="s">
        <v>626</v>
      </c>
      <c r="D66" s="1" t="s">
        <v>445</v>
      </c>
      <c r="E66" s="1" t="s">
        <v>416</v>
      </c>
      <c r="F66" s="1">
        <v>1.0</v>
      </c>
    </row>
    <row r="67">
      <c r="A67" s="1" t="s">
        <v>635</v>
      </c>
      <c r="B67" s="5">
        <v>46183.0</v>
      </c>
      <c r="C67" s="1" t="s">
        <v>637</v>
      </c>
      <c r="D67" s="1" t="s">
        <v>570</v>
      </c>
      <c r="E67" s="1" t="s">
        <v>416</v>
      </c>
      <c r="F67" s="1">
        <v>5.0</v>
      </c>
    </row>
    <row r="68">
      <c r="A68" s="1" t="s">
        <v>639</v>
      </c>
      <c r="B68" s="5">
        <v>46183.0</v>
      </c>
      <c r="C68" s="1" t="s">
        <v>637</v>
      </c>
      <c r="D68" s="1" t="s">
        <v>372</v>
      </c>
      <c r="E68" s="1" t="s">
        <v>550</v>
      </c>
      <c r="F68" s="1">
        <v>5.0</v>
      </c>
    </row>
    <row r="69">
      <c r="A69" s="1" t="s">
        <v>640</v>
      </c>
      <c r="B69" s="5">
        <v>46132.0</v>
      </c>
      <c r="C69" s="1" t="s">
        <v>637</v>
      </c>
      <c r="D69" s="1" t="s">
        <v>474</v>
      </c>
      <c r="E69" s="1" t="s">
        <v>359</v>
      </c>
      <c r="F69" s="1">
        <v>1.0</v>
      </c>
    </row>
    <row r="70">
      <c r="A70" s="1" t="s">
        <v>645</v>
      </c>
      <c r="B70" s="5">
        <v>46181.0</v>
      </c>
      <c r="C70" s="1" t="s">
        <v>646</v>
      </c>
      <c r="D70" s="1" t="s">
        <v>418</v>
      </c>
      <c r="E70" s="1" t="s">
        <v>574</v>
      </c>
      <c r="F70" s="1">
        <v>5.0</v>
      </c>
    </row>
    <row r="71">
      <c r="A71" s="1" t="s">
        <v>647</v>
      </c>
      <c r="B71" s="5">
        <v>46055.0</v>
      </c>
      <c r="C71" s="1" t="s">
        <v>648</v>
      </c>
      <c r="D71" s="1" t="s">
        <v>343</v>
      </c>
      <c r="E71" s="1" t="s">
        <v>416</v>
      </c>
      <c r="F71" s="1">
        <v>10.0</v>
      </c>
    </row>
    <row r="72">
      <c r="A72" s="1" t="s">
        <v>649</v>
      </c>
      <c r="B72" s="5">
        <v>46049.0</v>
      </c>
      <c r="C72" s="1" t="s">
        <v>648</v>
      </c>
      <c r="D72" s="1" t="s">
        <v>450</v>
      </c>
      <c r="E72" s="1" t="s">
        <v>432</v>
      </c>
      <c r="F72" s="1">
        <v>3.0</v>
      </c>
    </row>
    <row r="73">
      <c r="A73" s="1" t="s">
        <v>651</v>
      </c>
      <c r="B73" s="5">
        <v>46165.0</v>
      </c>
      <c r="C73" s="1" t="s">
        <v>648</v>
      </c>
      <c r="D73" s="1" t="s">
        <v>418</v>
      </c>
      <c r="E73" s="1" t="s">
        <v>461</v>
      </c>
      <c r="F73" s="1">
        <v>3.0</v>
      </c>
    </row>
    <row r="74">
      <c r="A74" s="1" t="s">
        <v>656</v>
      </c>
      <c r="B74" s="5">
        <v>46121.0</v>
      </c>
      <c r="C74" s="1" t="s">
        <v>648</v>
      </c>
      <c r="D74" s="1" t="s">
        <v>445</v>
      </c>
      <c r="E74" s="1" t="s">
        <v>494</v>
      </c>
      <c r="F74" s="1">
        <v>1.0</v>
      </c>
    </row>
    <row r="75">
      <c r="A75" s="1" t="s">
        <v>658</v>
      </c>
      <c r="B75" s="5">
        <v>46041.0</v>
      </c>
      <c r="C75" s="1" t="s">
        <v>659</v>
      </c>
      <c r="D75" s="1" t="s">
        <v>450</v>
      </c>
      <c r="E75" s="1" t="s">
        <v>461</v>
      </c>
      <c r="F75" s="1">
        <v>1.0</v>
      </c>
    </row>
    <row r="76">
      <c r="A76" s="1" t="s">
        <v>661</v>
      </c>
      <c r="B76" s="5">
        <v>46045.0</v>
      </c>
      <c r="C76" s="1" t="s">
        <v>659</v>
      </c>
      <c r="D76" s="1" t="s">
        <v>590</v>
      </c>
      <c r="E76" s="1" t="s">
        <v>550</v>
      </c>
      <c r="F76" s="1">
        <v>3.0</v>
      </c>
    </row>
    <row r="77">
      <c r="A77" s="1" t="s">
        <v>663</v>
      </c>
      <c r="B77" s="5">
        <v>46034.0</v>
      </c>
      <c r="C77" s="1" t="s">
        <v>659</v>
      </c>
      <c r="D77" s="1" t="s">
        <v>431</v>
      </c>
      <c r="E77" s="1" t="s">
        <v>461</v>
      </c>
      <c r="F77" s="1">
        <v>1.0</v>
      </c>
    </row>
    <row r="78">
      <c r="A78" s="1" t="s">
        <v>668</v>
      </c>
      <c r="B78" s="5">
        <v>46167.0</v>
      </c>
      <c r="C78" s="1" t="s">
        <v>669</v>
      </c>
      <c r="D78" s="1" t="s">
        <v>445</v>
      </c>
      <c r="E78" s="1" t="s">
        <v>550</v>
      </c>
      <c r="F78" s="1">
        <v>5.0</v>
      </c>
    </row>
    <row r="79">
      <c r="A79" s="1" t="s">
        <v>673</v>
      </c>
      <c r="B79" s="5">
        <v>46029.0</v>
      </c>
      <c r="C79" s="1" t="s">
        <v>669</v>
      </c>
      <c r="D79" s="1" t="s">
        <v>573</v>
      </c>
      <c r="E79" s="1" t="s">
        <v>479</v>
      </c>
      <c r="F79" s="1">
        <v>2.0</v>
      </c>
    </row>
    <row r="80">
      <c r="A80" s="1" t="s">
        <v>676</v>
      </c>
      <c r="B80" s="5">
        <v>46198.0</v>
      </c>
      <c r="C80" s="1" t="s">
        <v>669</v>
      </c>
      <c r="D80" s="1" t="s">
        <v>590</v>
      </c>
      <c r="E80" s="1" t="s">
        <v>419</v>
      </c>
      <c r="F80" s="1">
        <v>10.0</v>
      </c>
    </row>
    <row r="81">
      <c r="A81" s="1" t="s">
        <v>678</v>
      </c>
      <c r="B81" s="5">
        <v>46028.0</v>
      </c>
      <c r="C81" s="1" t="s">
        <v>669</v>
      </c>
      <c r="D81" s="1" t="s">
        <v>372</v>
      </c>
      <c r="E81" s="1" t="s">
        <v>550</v>
      </c>
      <c r="F81" s="1">
        <v>3.0</v>
      </c>
    </row>
    <row r="82">
      <c r="A82" s="1" t="s">
        <v>683</v>
      </c>
      <c r="B82" s="5">
        <v>46034.0</v>
      </c>
      <c r="C82" s="1" t="s">
        <v>669</v>
      </c>
      <c r="D82" s="1" t="s">
        <v>383</v>
      </c>
      <c r="E82" s="1" t="s">
        <v>432</v>
      </c>
      <c r="F82" s="1">
        <v>2.0</v>
      </c>
    </row>
    <row r="83">
      <c r="A83" s="1" t="s">
        <v>687</v>
      </c>
      <c r="B83" s="5">
        <v>46100.0</v>
      </c>
      <c r="C83" s="1" t="s">
        <v>669</v>
      </c>
      <c r="D83" s="1" t="s">
        <v>372</v>
      </c>
      <c r="E83" s="1" t="s">
        <v>409</v>
      </c>
      <c r="F83" s="1">
        <v>10.0</v>
      </c>
    </row>
    <row r="84">
      <c r="A84" s="1" t="s">
        <v>694</v>
      </c>
      <c r="B84" s="5">
        <v>46072.0</v>
      </c>
      <c r="C84" s="1" t="s">
        <v>669</v>
      </c>
      <c r="D84" s="1" t="s">
        <v>497</v>
      </c>
      <c r="E84" s="1" t="s">
        <v>416</v>
      </c>
      <c r="F84" s="1">
        <v>5.0</v>
      </c>
    </row>
    <row r="85">
      <c r="A85" s="1" t="s">
        <v>695</v>
      </c>
      <c r="B85" s="5">
        <v>46175.0</v>
      </c>
      <c r="C85" s="1" t="s">
        <v>696</v>
      </c>
      <c r="D85" s="1" t="s">
        <v>381</v>
      </c>
      <c r="E85" s="1" t="s">
        <v>295</v>
      </c>
      <c r="F85" s="1">
        <v>1.0</v>
      </c>
    </row>
    <row r="86">
      <c r="A86" s="1" t="s">
        <v>704</v>
      </c>
      <c r="B86" s="5">
        <v>46037.0</v>
      </c>
      <c r="C86" s="1" t="s">
        <v>696</v>
      </c>
      <c r="D86" s="1" t="s">
        <v>570</v>
      </c>
      <c r="E86" s="1" t="s">
        <v>382</v>
      </c>
      <c r="F86" s="1">
        <v>3.0</v>
      </c>
    </row>
    <row r="87">
      <c r="A87" s="1" t="s">
        <v>706</v>
      </c>
      <c r="B87" s="5">
        <v>46176.0</v>
      </c>
      <c r="C87" s="1" t="s">
        <v>696</v>
      </c>
      <c r="D87" s="1" t="s">
        <v>372</v>
      </c>
      <c r="E87" s="1" t="s">
        <v>494</v>
      </c>
      <c r="F87" s="1">
        <v>2.0</v>
      </c>
    </row>
    <row r="88">
      <c r="A88" s="1" t="s">
        <v>707</v>
      </c>
      <c r="B88" s="5">
        <v>46048.0</v>
      </c>
      <c r="C88" s="1" t="s">
        <v>709</v>
      </c>
      <c r="D88" s="1" t="s">
        <v>627</v>
      </c>
      <c r="E88" s="1" t="s">
        <v>366</v>
      </c>
      <c r="F88" s="1">
        <v>2.0</v>
      </c>
    </row>
    <row r="89">
      <c r="A89" s="1" t="s">
        <v>715</v>
      </c>
      <c r="B89" s="5">
        <v>46224.0</v>
      </c>
      <c r="C89" s="1" t="s">
        <v>709</v>
      </c>
      <c r="D89" s="1" t="s">
        <v>358</v>
      </c>
      <c r="E89" s="1" t="s">
        <v>479</v>
      </c>
      <c r="F89" s="1">
        <v>1.0</v>
      </c>
    </row>
    <row r="90">
      <c r="A90" s="1" t="s">
        <v>719</v>
      </c>
      <c r="B90" s="5">
        <v>46103.0</v>
      </c>
      <c r="C90" s="1" t="s">
        <v>709</v>
      </c>
      <c r="D90" s="1" t="s">
        <v>590</v>
      </c>
      <c r="E90" s="1" t="s">
        <v>543</v>
      </c>
      <c r="F90" s="1">
        <v>3.0</v>
      </c>
    </row>
    <row r="91">
      <c r="A91" s="1" t="s">
        <v>720</v>
      </c>
      <c r="B91" s="5">
        <v>46083.0</v>
      </c>
      <c r="C91" s="1" t="s">
        <v>709</v>
      </c>
      <c r="D91" s="1" t="s">
        <v>445</v>
      </c>
      <c r="E91" s="1" t="s">
        <v>479</v>
      </c>
      <c r="F91" s="1">
        <v>1.0</v>
      </c>
    </row>
    <row r="92">
      <c r="A92" s="1" t="s">
        <v>721</v>
      </c>
      <c r="B92" s="5">
        <v>46135.0</v>
      </c>
      <c r="C92" s="1" t="s">
        <v>722</v>
      </c>
      <c r="D92" s="1" t="s">
        <v>294</v>
      </c>
      <c r="E92" s="1" t="s">
        <v>550</v>
      </c>
      <c r="F92" s="1">
        <v>3.0</v>
      </c>
    </row>
    <row r="93">
      <c r="A93" s="1" t="s">
        <v>723</v>
      </c>
      <c r="B93" s="5">
        <v>46107.0</v>
      </c>
      <c r="C93" s="1" t="s">
        <v>722</v>
      </c>
      <c r="D93" s="1" t="s">
        <v>497</v>
      </c>
      <c r="E93" s="1" t="s">
        <v>382</v>
      </c>
      <c r="F93" s="1">
        <v>2.0</v>
      </c>
    </row>
    <row r="94">
      <c r="A94" s="1" t="s">
        <v>729</v>
      </c>
      <c r="B94" s="5">
        <v>46137.0</v>
      </c>
      <c r="C94" s="1" t="s">
        <v>722</v>
      </c>
      <c r="D94" s="1" t="s">
        <v>418</v>
      </c>
      <c r="E94" s="1" t="s">
        <v>419</v>
      </c>
      <c r="F94" s="1">
        <v>1.0</v>
      </c>
    </row>
    <row r="95">
      <c r="A95" s="1" t="s">
        <v>733</v>
      </c>
      <c r="B95" s="5">
        <v>46147.0</v>
      </c>
      <c r="C95" s="1" t="s">
        <v>722</v>
      </c>
      <c r="D95" s="1" t="s">
        <v>474</v>
      </c>
      <c r="E95" s="1" t="s">
        <v>543</v>
      </c>
      <c r="F95" s="1">
        <v>3.0</v>
      </c>
    </row>
    <row r="96">
      <c r="A96" s="1" t="s">
        <v>734</v>
      </c>
      <c r="B96" s="5">
        <v>46047.0</v>
      </c>
      <c r="C96" s="1" t="s">
        <v>735</v>
      </c>
      <c r="D96" s="1" t="s">
        <v>485</v>
      </c>
      <c r="E96" s="1" t="s">
        <v>366</v>
      </c>
      <c r="F96" s="1">
        <v>5.0</v>
      </c>
    </row>
    <row r="97">
      <c r="A97" s="1" t="s">
        <v>737</v>
      </c>
      <c r="B97" s="5">
        <v>46032.0</v>
      </c>
      <c r="C97" s="1" t="s">
        <v>735</v>
      </c>
      <c r="D97" s="1" t="s">
        <v>443</v>
      </c>
      <c r="E97" s="1" t="s">
        <v>382</v>
      </c>
      <c r="F97" s="1">
        <v>5.0</v>
      </c>
    </row>
    <row r="98">
      <c r="A98" s="1" t="s">
        <v>741</v>
      </c>
      <c r="B98" s="5">
        <v>46134.0</v>
      </c>
      <c r="C98" s="1" t="s">
        <v>735</v>
      </c>
      <c r="D98" s="1" t="s">
        <v>365</v>
      </c>
      <c r="E98" s="1" t="s">
        <v>543</v>
      </c>
      <c r="F98" s="1">
        <v>5.0</v>
      </c>
    </row>
    <row r="99">
      <c r="A99" s="1" t="s">
        <v>742</v>
      </c>
      <c r="B99" s="5">
        <v>46222.0</v>
      </c>
      <c r="C99" s="1" t="s">
        <v>735</v>
      </c>
      <c r="D99" s="1" t="s">
        <v>372</v>
      </c>
      <c r="E99" s="1" t="s">
        <v>432</v>
      </c>
      <c r="F99" s="1">
        <v>3.0</v>
      </c>
    </row>
    <row r="100">
      <c r="A100" s="1" t="s">
        <v>747</v>
      </c>
      <c r="B100" s="5">
        <v>46183.0</v>
      </c>
      <c r="C100" s="1" t="s">
        <v>748</v>
      </c>
      <c r="D100" s="1" t="s">
        <v>445</v>
      </c>
      <c r="E100" s="1" t="s">
        <v>479</v>
      </c>
      <c r="F100" s="1">
        <v>2.0</v>
      </c>
    </row>
    <row r="101">
      <c r="A101" s="1" t="s">
        <v>753</v>
      </c>
      <c r="B101" s="5">
        <v>46116.0</v>
      </c>
      <c r="C101" s="1" t="s">
        <v>748</v>
      </c>
      <c r="D101" s="1" t="s">
        <v>445</v>
      </c>
      <c r="E101" s="1" t="s">
        <v>494</v>
      </c>
      <c r="F101" s="1">
        <v>5.0</v>
      </c>
    </row>
    <row r="102">
      <c r="A102" s="1" t="s">
        <v>754</v>
      </c>
      <c r="B102" s="5">
        <v>46153.0</v>
      </c>
      <c r="C102" s="1" t="s">
        <v>748</v>
      </c>
      <c r="D102" s="1" t="s">
        <v>414</v>
      </c>
      <c r="E102" s="1" t="s">
        <v>432</v>
      </c>
      <c r="F102" s="1">
        <v>1.0</v>
      </c>
    </row>
    <row r="103">
      <c r="A103" s="1" t="s">
        <v>755</v>
      </c>
      <c r="B103" s="5">
        <v>46102.0</v>
      </c>
      <c r="C103" s="1" t="s">
        <v>756</v>
      </c>
      <c r="D103" s="1" t="s">
        <v>627</v>
      </c>
      <c r="E103" s="1" t="s">
        <v>432</v>
      </c>
      <c r="F103" s="1">
        <v>3.0</v>
      </c>
    </row>
    <row r="104">
      <c r="A104" s="1" t="s">
        <v>758</v>
      </c>
      <c r="B104" s="5">
        <v>46230.0</v>
      </c>
      <c r="C104" s="1" t="s">
        <v>756</v>
      </c>
      <c r="D104" s="1" t="s">
        <v>383</v>
      </c>
      <c r="E104" s="1" t="s">
        <v>432</v>
      </c>
      <c r="F104" s="1">
        <v>3.0</v>
      </c>
    </row>
    <row r="105">
      <c r="A105" s="1" t="s">
        <v>764</v>
      </c>
      <c r="B105" s="5">
        <v>46077.0</v>
      </c>
      <c r="C105" s="1" t="s">
        <v>756</v>
      </c>
      <c r="D105" s="1" t="s">
        <v>590</v>
      </c>
      <c r="E105" s="1" t="s">
        <v>419</v>
      </c>
      <c r="F105" s="1">
        <v>3.0</v>
      </c>
    </row>
    <row r="106">
      <c r="A106" s="1" t="s">
        <v>767</v>
      </c>
      <c r="B106" s="5">
        <v>46124.0</v>
      </c>
      <c r="C106" s="1" t="s">
        <v>756</v>
      </c>
      <c r="D106" s="1" t="s">
        <v>431</v>
      </c>
      <c r="E106" s="1" t="s">
        <v>432</v>
      </c>
      <c r="F106" s="1">
        <v>2.0</v>
      </c>
    </row>
    <row r="107">
      <c r="A107" s="1" t="s">
        <v>768</v>
      </c>
      <c r="B107" s="5">
        <v>46035.0</v>
      </c>
      <c r="C107" s="1" t="s">
        <v>756</v>
      </c>
      <c r="D107" s="1" t="s">
        <v>549</v>
      </c>
      <c r="E107" s="1" t="s">
        <v>366</v>
      </c>
      <c r="F107" s="1">
        <v>10.0</v>
      </c>
    </row>
    <row r="108">
      <c r="A108" s="1" t="s">
        <v>769</v>
      </c>
      <c r="B108" s="5">
        <v>46150.0</v>
      </c>
      <c r="C108" s="1" t="s">
        <v>770</v>
      </c>
      <c r="D108" s="1" t="s">
        <v>343</v>
      </c>
      <c r="E108" s="1" t="s">
        <v>416</v>
      </c>
      <c r="F108" s="1">
        <v>10.0</v>
      </c>
    </row>
    <row r="109">
      <c r="A109" s="1" t="s">
        <v>771</v>
      </c>
      <c r="B109" s="5">
        <v>46150.0</v>
      </c>
      <c r="C109" s="1" t="s">
        <v>770</v>
      </c>
      <c r="D109" s="1" t="s">
        <v>570</v>
      </c>
      <c r="E109" s="1" t="s">
        <v>479</v>
      </c>
      <c r="F109" s="1">
        <v>5.0</v>
      </c>
    </row>
    <row r="110">
      <c r="A110" s="1" t="s">
        <v>772</v>
      </c>
      <c r="B110" s="5">
        <v>46035.0</v>
      </c>
      <c r="C110" s="1" t="s">
        <v>773</v>
      </c>
      <c r="D110" s="1" t="s">
        <v>383</v>
      </c>
      <c r="E110" s="1" t="s">
        <v>432</v>
      </c>
      <c r="F110" s="1">
        <v>1.0</v>
      </c>
    </row>
    <row r="111">
      <c r="A111" s="1" t="s">
        <v>779</v>
      </c>
      <c r="B111" s="5">
        <v>46037.0</v>
      </c>
      <c r="C111" s="1" t="s">
        <v>773</v>
      </c>
      <c r="D111" s="1" t="s">
        <v>549</v>
      </c>
      <c r="E111" s="1" t="s">
        <v>488</v>
      </c>
      <c r="F111" s="1">
        <v>2.0</v>
      </c>
    </row>
    <row r="112">
      <c r="A112" s="1" t="s">
        <v>780</v>
      </c>
      <c r="B112" s="5">
        <v>46214.0</v>
      </c>
      <c r="C112" s="1" t="s">
        <v>773</v>
      </c>
      <c r="D112" s="1" t="s">
        <v>460</v>
      </c>
      <c r="E112" s="1" t="s">
        <v>295</v>
      </c>
      <c r="F112" s="1">
        <v>1.0</v>
      </c>
    </row>
    <row r="113">
      <c r="A113" s="1" t="s">
        <v>781</v>
      </c>
      <c r="B113" s="5">
        <v>46120.0</v>
      </c>
      <c r="C113" s="1" t="s">
        <v>782</v>
      </c>
      <c r="D113" s="1" t="s">
        <v>372</v>
      </c>
      <c r="E113" s="1" t="s">
        <v>419</v>
      </c>
      <c r="F113" s="1">
        <v>1.0</v>
      </c>
    </row>
    <row r="114">
      <c r="A114" s="1" t="s">
        <v>783</v>
      </c>
      <c r="B114" s="5">
        <v>46101.0</v>
      </c>
      <c r="C114" s="1" t="s">
        <v>782</v>
      </c>
      <c r="D114" s="1" t="s">
        <v>414</v>
      </c>
      <c r="E114" s="1" t="s">
        <v>419</v>
      </c>
      <c r="F114" s="1">
        <v>2.0</v>
      </c>
    </row>
    <row r="115">
      <c r="A115" s="1" t="s">
        <v>787</v>
      </c>
      <c r="B115" s="5">
        <v>46194.0</v>
      </c>
      <c r="C115" s="1" t="s">
        <v>789</v>
      </c>
      <c r="D115" s="1" t="s">
        <v>358</v>
      </c>
      <c r="E115" s="1" t="s">
        <v>574</v>
      </c>
      <c r="F115" s="1">
        <v>3.0</v>
      </c>
    </row>
    <row r="116">
      <c r="A116" s="1" t="s">
        <v>792</v>
      </c>
      <c r="B116" s="5">
        <v>46161.0</v>
      </c>
      <c r="C116" s="1" t="s">
        <v>789</v>
      </c>
      <c r="D116" s="1" t="s">
        <v>549</v>
      </c>
      <c r="E116" s="1" t="s">
        <v>416</v>
      </c>
      <c r="F116" s="1">
        <v>5.0</v>
      </c>
    </row>
    <row r="117">
      <c r="A117" s="1" t="s">
        <v>795</v>
      </c>
      <c r="B117" s="5">
        <v>46157.0</v>
      </c>
      <c r="C117" s="1" t="s">
        <v>789</v>
      </c>
      <c r="D117" s="1" t="s">
        <v>418</v>
      </c>
      <c r="E117" s="1" t="s">
        <v>359</v>
      </c>
      <c r="F117" s="1">
        <v>5.0</v>
      </c>
    </row>
    <row r="118">
      <c r="A118" s="1" t="s">
        <v>797</v>
      </c>
      <c r="B118" s="5">
        <v>46192.0</v>
      </c>
      <c r="C118" s="1" t="s">
        <v>789</v>
      </c>
      <c r="D118" s="1" t="s">
        <v>372</v>
      </c>
      <c r="E118" s="1" t="s">
        <v>419</v>
      </c>
      <c r="F118" s="1">
        <v>5.0</v>
      </c>
    </row>
    <row r="119">
      <c r="A119" s="1" t="s">
        <v>801</v>
      </c>
      <c r="B119" s="5">
        <v>46028.0</v>
      </c>
      <c r="C119" s="1" t="s">
        <v>789</v>
      </c>
      <c r="D119" s="1" t="s">
        <v>434</v>
      </c>
      <c r="E119" s="1" t="s">
        <v>494</v>
      </c>
      <c r="F119" s="1">
        <v>10.0</v>
      </c>
    </row>
    <row r="120">
      <c r="A120" s="1" t="s">
        <v>802</v>
      </c>
      <c r="B120" s="5">
        <v>46148.0</v>
      </c>
      <c r="C120" s="1" t="s">
        <v>789</v>
      </c>
      <c r="D120" s="1" t="s">
        <v>358</v>
      </c>
      <c r="E120" s="1" t="s">
        <v>419</v>
      </c>
      <c r="F120" s="1">
        <v>1.0</v>
      </c>
    </row>
    <row r="121">
      <c r="A121" s="1" t="s">
        <v>803</v>
      </c>
      <c r="B121" s="5">
        <v>46058.0</v>
      </c>
      <c r="C121" s="1" t="s">
        <v>805</v>
      </c>
      <c r="D121" s="1" t="s">
        <v>590</v>
      </c>
      <c r="E121" s="1" t="s">
        <v>409</v>
      </c>
      <c r="F121" s="1">
        <v>5.0</v>
      </c>
    </row>
    <row r="122">
      <c r="A122" s="1" t="s">
        <v>812</v>
      </c>
      <c r="B122" s="5">
        <v>46124.0</v>
      </c>
      <c r="C122" s="1" t="s">
        <v>805</v>
      </c>
      <c r="D122" s="1" t="s">
        <v>497</v>
      </c>
      <c r="E122" s="1" t="s">
        <v>366</v>
      </c>
      <c r="F122" s="1">
        <v>1.0</v>
      </c>
    </row>
    <row r="123">
      <c r="A123" s="1" t="s">
        <v>814</v>
      </c>
      <c r="B123" s="5">
        <v>46109.0</v>
      </c>
      <c r="C123" s="1" t="s">
        <v>805</v>
      </c>
      <c r="D123" s="1" t="s">
        <v>627</v>
      </c>
      <c r="E123" s="1" t="s">
        <v>295</v>
      </c>
      <c r="F123" s="1">
        <v>1.0</v>
      </c>
    </row>
    <row r="124">
      <c r="A124" s="1" t="s">
        <v>815</v>
      </c>
      <c r="B124" s="5">
        <v>46049.0</v>
      </c>
      <c r="C124" s="1" t="s">
        <v>805</v>
      </c>
      <c r="D124" s="1" t="s">
        <v>381</v>
      </c>
      <c r="E124" s="1" t="s">
        <v>295</v>
      </c>
      <c r="F124" s="1">
        <v>1.0</v>
      </c>
    </row>
    <row r="125">
      <c r="A125" s="1" t="s">
        <v>820</v>
      </c>
      <c r="B125" s="5">
        <v>46156.0</v>
      </c>
      <c r="C125" s="1" t="s">
        <v>821</v>
      </c>
      <c r="D125" s="1" t="s">
        <v>431</v>
      </c>
      <c r="E125" s="1" t="s">
        <v>432</v>
      </c>
      <c r="F125" s="1">
        <v>3.0</v>
      </c>
    </row>
    <row r="126">
      <c r="A126" s="1" t="s">
        <v>822</v>
      </c>
      <c r="B126" s="5">
        <v>46095.0</v>
      </c>
      <c r="C126" s="1" t="s">
        <v>821</v>
      </c>
      <c r="D126" s="1" t="s">
        <v>590</v>
      </c>
      <c r="E126" s="1" t="s">
        <v>432</v>
      </c>
      <c r="F126" s="1">
        <v>10.0</v>
      </c>
    </row>
    <row r="127">
      <c r="A127" s="1" t="s">
        <v>823</v>
      </c>
      <c r="B127" s="5">
        <v>46131.0</v>
      </c>
      <c r="C127" s="1" t="s">
        <v>821</v>
      </c>
      <c r="D127" s="1" t="s">
        <v>434</v>
      </c>
      <c r="E127" s="1" t="s">
        <v>574</v>
      </c>
      <c r="F127" s="1">
        <v>1.0</v>
      </c>
    </row>
    <row r="128">
      <c r="A128" s="1" t="s">
        <v>832</v>
      </c>
      <c r="B128" s="5">
        <v>46097.0</v>
      </c>
      <c r="C128" s="1" t="s">
        <v>833</v>
      </c>
      <c r="D128" s="1" t="s">
        <v>573</v>
      </c>
      <c r="E128" s="1" t="s">
        <v>366</v>
      </c>
      <c r="F128" s="1">
        <v>10.0</v>
      </c>
    </row>
    <row r="129">
      <c r="A129" s="1" t="s">
        <v>834</v>
      </c>
      <c r="B129" s="5">
        <v>46177.0</v>
      </c>
      <c r="C129" s="1" t="s">
        <v>835</v>
      </c>
      <c r="D129" s="1" t="s">
        <v>372</v>
      </c>
      <c r="E129" s="1" t="s">
        <v>295</v>
      </c>
      <c r="F129" s="1">
        <v>5.0</v>
      </c>
    </row>
    <row r="130">
      <c r="A130" s="1" t="s">
        <v>840</v>
      </c>
      <c r="B130" s="5">
        <v>46132.0</v>
      </c>
      <c r="C130" s="1" t="s">
        <v>835</v>
      </c>
      <c r="D130" s="1" t="s">
        <v>627</v>
      </c>
      <c r="E130" s="1" t="s">
        <v>550</v>
      </c>
      <c r="F130" s="1">
        <v>3.0</v>
      </c>
    </row>
    <row r="131">
      <c r="A131" s="1" t="s">
        <v>844</v>
      </c>
      <c r="B131" s="5">
        <v>46071.0</v>
      </c>
      <c r="C131" s="1" t="s">
        <v>846</v>
      </c>
      <c r="D131" s="1" t="s">
        <v>381</v>
      </c>
      <c r="E131" s="1" t="s">
        <v>409</v>
      </c>
      <c r="F131" s="1">
        <v>1.0</v>
      </c>
    </row>
    <row r="132">
      <c r="A132" s="1" t="s">
        <v>849</v>
      </c>
      <c r="B132" s="5">
        <v>46036.0</v>
      </c>
      <c r="C132" s="1" t="s">
        <v>846</v>
      </c>
      <c r="D132" s="1" t="s">
        <v>485</v>
      </c>
      <c r="E132" s="1" t="s">
        <v>366</v>
      </c>
      <c r="F132" s="1">
        <v>3.0</v>
      </c>
    </row>
    <row r="133">
      <c r="A133" s="1" t="s">
        <v>852</v>
      </c>
      <c r="B133" s="5">
        <v>46091.0</v>
      </c>
      <c r="C133" s="1" t="s">
        <v>846</v>
      </c>
      <c r="D133" s="1" t="s">
        <v>485</v>
      </c>
      <c r="E133" s="1" t="s">
        <v>295</v>
      </c>
      <c r="F133" s="1">
        <v>10.0</v>
      </c>
    </row>
    <row r="134">
      <c r="A134" s="1" t="s">
        <v>853</v>
      </c>
      <c r="B134" s="5">
        <v>46200.0</v>
      </c>
      <c r="C134" s="1" t="s">
        <v>854</v>
      </c>
      <c r="D134" s="1" t="s">
        <v>448</v>
      </c>
      <c r="E134" s="1" t="s">
        <v>543</v>
      </c>
      <c r="F134" s="1">
        <v>1.0</v>
      </c>
    </row>
    <row r="135">
      <c r="A135" s="1" t="s">
        <v>856</v>
      </c>
      <c r="B135" s="5">
        <v>46109.0</v>
      </c>
      <c r="C135" s="1" t="s">
        <v>854</v>
      </c>
      <c r="D135" s="1" t="s">
        <v>474</v>
      </c>
      <c r="E135" s="1" t="s">
        <v>382</v>
      </c>
      <c r="F135" s="1">
        <v>1.0</v>
      </c>
    </row>
    <row r="136">
      <c r="A136" s="1" t="s">
        <v>860</v>
      </c>
      <c r="B136" s="5">
        <v>46176.0</v>
      </c>
      <c r="C136" s="1" t="s">
        <v>854</v>
      </c>
      <c r="D136" s="1" t="s">
        <v>573</v>
      </c>
      <c r="E136" s="1" t="s">
        <v>359</v>
      </c>
      <c r="F136" s="1">
        <v>2.0</v>
      </c>
    </row>
    <row r="137">
      <c r="A137" s="1" t="s">
        <v>861</v>
      </c>
      <c r="B137" s="5">
        <v>46140.0</v>
      </c>
      <c r="C137" s="1" t="s">
        <v>854</v>
      </c>
      <c r="D137" s="1" t="s">
        <v>506</v>
      </c>
      <c r="E137" s="1" t="s">
        <v>479</v>
      </c>
      <c r="F137" s="1">
        <v>1.0</v>
      </c>
    </row>
    <row r="138">
      <c r="A138" s="1" t="s">
        <v>863</v>
      </c>
      <c r="B138" s="5">
        <v>46035.0</v>
      </c>
      <c r="C138" s="1" t="s">
        <v>854</v>
      </c>
      <c r="D138" s="1" t="s">
        <v>343</v>
      </c>
      <c r="E138" s="1" t="s">
        <v>432</v>
      </c>
      <c r="F138" s="1">
        <v>10.0</v>
      </c>
    </row>
    <row r="139">
      <c r="A139" s="1" t="s">
        <v>870</v>
      </c>
      <c r="B139" s="5">
        <v>46109.0</v>
      </c>
      <c r="C139" s="1" t="s">
        <v>854</v>
      </c>
      <c r="D139" s="1" t="s">
        <v>434</v>
      </c>
      <c r="E139" s="1" t="s">
        <v>550</v>
      </c>
      <c r="F139" s="1">
        <v>3.0</v>
      </c>
    </row>
    <row r="140">
      <c r="A140" s="1" t="s">
        <v>871</v>
      </c>
      <c r="B140" s="5">
        <v>46229.0</v>
      </c>
      <c r="C140" s="1" t="s">
        <v>872</v>
      </c>
      <c r="D140" s="1" t="s">
        <v>294</v>
      </c>
      <c r="E140" s="1" t="s">
        <v>488</v>
      </c>
      <c r="F140" s="1">
        <v>1.0</v>
      </c>
    </row>
    <row r="141">
      <c r="A141" s="1" t="s">
        <v>875</v>
      </c>
      <c r="B141" s="5">
        <v>46040.0</v>
      </c>
      <c r="C141" s="1" t="s">
        <v>872</v>
      </c>
      <c r="D141" s="1" t="s">
        <v>414</v>
      </c>
      <c r="E141" s="1" t="s">
        <v>488</v>
      </c>
      <c r="F141" s="1">
        <v>1.0</v>
      </c>
    </row>
    <row r="142">
      <c r="A142" s="1" t="s">
        <v>878</v>
      </c>
      <c r="B142" s="5">
        <v>46066.0</v>
      </c>
      <c r="C142" s="1" t="s">
        <v>872</v>
      </c>
      <c r="D142" s="1" t="s">
        <v>448</v>
      </c>
      <c r="E142" s="1" t="s">
        <v>295</v>
      </c>
      <c r="F142" s="1">
        <v>1.0</v>
      </c>
    </row>
    <row r="143">
      <c r="A143" s="1" t="s">
        <v>879</v>
      </c>
      <c r="B143" s="5">
        <v>46124.0</v>
      </c>
      <c r="C143" s="1" t="s">
        <v>872</v>
      </c>
      <c r="D143" s="1" t="s">
        <v>358</v>
      </c>
      <c r="E143" s="1" t="s">
        <v>479</v>
      </c>
      <c r="F143" s="1">
        <v>10.0</v>
      </c>
    </row>
    <row r="144">
      <c r="A144" s="1" t="s">
        <v>887</v>
      </c>
      <c r="B144" s="5">
        <v>46199.0</v>
      </c>
      <c r="C144" s="1" t="s">
        <v>888</v>
      </c>
      <c r="D144" s="1" t="s">
        <v>450</v>
      </c>
      <c r="E144" s="1" t="s">
        <v>494</v>
      </c>
      <c r="F144" s="1">
        <v>1.0</v>
      </c>
    </row>
    <row r="145">
      <c r="A145" s="1" t="s">
        <v>890</v>
      </c>
      <c r="B145" s="5">
        <v>46054.0</v>
      </c>
      <c r="C145" s="1" t="s">
        <v>888</v>
      </c>
      <c r="D145" s="1" t="s">
        <v>445</v>
      </c>
      <c r="E145" s="1" t="s">
        <v>461</v>
      </c>
      <c r="F145" s="1">
        <v>5.0</v>
      </c>
    </row>
    <row r="146">
      <c r="A146" s="1" t="s">
        <v>894</v>
      </c>
      <c r="B146" s="5">
        <v>46084.0</v>
      </c>
      <c r="C146" s="1" t="s">
        <v>888</v>
      </c>
      <c r="D146" s="1" t="s">
        <v>372</v>
      </c>
      <c r="E146" s="1" t="s">
        <v>479</v>
      </c>
      <c r="F146" s="1">
        <v>5.0</v>
      </c>
    </row>
    <row r="147">
      <c r="A147" s="1" t="s">
        <v>895</v>
      </c>
      <c r="B147" s="5">
        <v>46197.0</v>
      </c>
      <c r="C147" s="1" t="s">
        <v>888</v>
      </c>
      <c r="D147" s="1" t="s">
        <v>627</v>
      </c>
      <c r="E147" s="1" t="s">
        <v>382</v>
      </c>
      <c r="F147" s="1">
        <v>1.0</v>
      </c>
    </row>
    <row r="148">
      <c r="A148" s="1" t="s">
        <v>901</v>
      </c>
      <c r="B148" s="5">
        <v>46031.0</v>
      </c>
      <c r="C148" s="1" t="s">
        <v>888</v>
      </c>
      <c r="D148" s="1" t="s">
        <v>570</v>
      </c>
      <c r="E148" s="1" t="s">
        <v>416</v>
      </c>
      <c r="F148" s="1">
        <v>1.0</v>
      </c>
    </row>
    <row r="149">
      <c r="A149" s="1" t="s">
        <v>904</v>
      </c>
      <c r="B149" s="5">
        <v>46066.0</v>
      </c>
      <c r="C149" s="1" t="s">
        <v>888</v>
      </c>
      <c r="D149" s="1" t="s">
        <v>365</v>
      </c>
      <c r="E149" s="1" t="s">
        <v>295</v>
      </c>
      <c r="F149" s="1">
        <v>2.0</v>
      </c>
    </row>
    <row r="150">
      <c r="A150" s="1" t="s">
        <v>909</v>
      </c>
      <c r="B150" s="5">
        <v>46143.0</v>
      </c>
      <c r="C150" s="1" t="s">
        <v>910</v>
      </c>
      <c r="D150" s="1" t="s">
        <v>445</v>
      </c>
      <c r="E150" s="1" t="s">
        <v>494</v>
      </c>
      <c r="F150" s="1">
        <v>1.0</v>
      </c>
    </row>
    <row r="151">
      <c r="A151" s="1" t="s">
        <v>911</v>
      </c>
      <c r="B151" s="5">
        <v>46090.0</v>
      </c>
      <c r="C151" s="1" t="s">
        <v>910</v>
      </c>
      <c r="D151" s="1" t="s">
        <v>443</v>
      </c>
      <c r="E151" s="1" t="s">
        <v>432</v>
      </c>
      <c r="F151" s="1">
        <v>1.0</v>
      </c>
    </row>
    <row r="152">
      <c r="A152" s="1" t="s">
        <v>912</v>
      </c>
      <c r="B152" s="5">
        <v>46199.0</v>
      </c>
      <c r="C152" s="1" t="s">
        <v>910</v>
      </c>
      <c r="D152" s="1" t="s">
        <v>485</v>
      </c>
      <c r="E152" s="1" t="s">
        <v>295</v>
      </c>
      <c r="F152" s="1">
        <v>5.0</v>
      </c>
    </row>
    <row r="153">
      <c r="A153" s="1" t="s">
        <v>917</v>
      </c>
      <c r="B153" s="5">
        <v>46045.0</v>
      </c>
      <c r="C153" s="1" t="s">
        <v>910</v>
      </c>
      <c r="D153" s="1" t="s">
        <v>358</v>
      </c>
      <c r="E153" s="1" t="s">
        <v>479</v>
      </c>
      <c r="F153" s="1">
        <v>5.0</v>
      </c>
    </row>
    <row r="154">
      <c r="A154" s="1" t="s">
        <v>918</v>
      </c>
      <c r="B154" s="5">
        <v>46028.0</v>
      </c>
      <c r="C154" s="1" t="s">
        <v>919</v>
      </c>
      <c r="D154" s="1" t="s">
        <v>448</v>
      </c>
      <c r="E154" s="1" t="s">
        <v>461</v>
      </c>
      <c r="F154" s="1">
        <v>1.0</v>
      </c>
    </row>
    <row r="155">
      <c r="A155" s="1" t="s">
        <v>920</v>
      </c>
      <c r="B155" s="5">
        <v>46037.0</v>
      </c>
      <c r="C155" s="1" t="s">
        <v>919</v>
      </c>
      <c r="D155" s="1" t="s">
        <v>418</v>
      </c>
      <c r="E155" s="1" t="s">
        <v>366</v>
      </c>
      <c r="F155" s="1">
        <v>10.0</v>
      </c>
    </row>
    <row r="156">
      <c r="A156" s="1" t="s">
        <v>925</v>
      </c>
      <c r="B156" s="5">
        <v>46108.0</v>
      </c>
      <c r="C156" s="1" t="s">
        <v>919</v>
      </c>
      <c r="D156" s="1" t="s">
        <v>573</v>
      </c>
      <c r="E156" s="1" t="s">
        <v>295</v>
      </c>
      <c r="F156" s="1">
        <v>3.0</v>
      </c>
    </row>
    <row r="157">
      <c r="A157" s="1" t="s">
        <v>926</v>
      </c>
      <c r="B157" s="5">
        <v>46067.0</v>
      </c>
      <c r="C157" s="1" t="s">
        <v>928</v>
      </c>
      <c r="D157" s="1" t="s">
        <v>381</v>
      </c>
      <c r="E157" s="1" t="s">
        <v>409</v>
      </c>
      <c r="F157" s="1">
        <v>1.0</v>
      </c>
    </row>
    <row r="158">
      <c r="A158" s="1" t="s">
        <v>932</v>
      </c>
      <c r="B158" s="5">
        <v>46039.0</v>
      </c>
      <c r="C158" s="1" t="s">
        <v>934</v>
      </c>
      <c r="D158" s="1" t="s">
        <v>445</v>
      </c>
      <c r="E158" s="1" t="s">
        <v>574</v>
      </c>
      <c r="F158" s="1">
        <v>2.0</v>
      </c>
    </row>
    <row r="159">
      <c r="A159" s="1" t="s">
        <v>938</v>
      </c>
      <c r="B159" s="5">
        <v>46225.0</v>
      </c>
      <c r="C159" s="1" t="s">
        <v>934</v>
      </c>
      <c r="D159" s="1" t="s">
        <v>590</v>
      </c>
      <c r="E159" s="1" t="s">
        <v>461</v>
      </c>
      <c r="F159" s="1">
        <v>1.0</v>
      </c>
    </row>
    <row r="160">
      <c r="A160" s="1" t="s">
        <v>940</v>
      </c>
      <c r="B160" s="5">
        <v>46152.0</v>
      </c>
      <c r="C160" s="1" t="s">
        <v>934</v>
      </c>
      <c r="D160" s="1" t="s">
        <v>590</v>
      </c>
      <c r="E160" s="1" t="s">
        <v>359</v>
      </c>
      <c r="F160" s="1">
        <v>3.0</v>
      </c>
    </row>
    <row r="161">
      <c r="A161" s="1" t="s">
        <v>944</v>
      </c>
      <c r="B161" s="5">
        <v>46024.0</v>
      </c>
      <c r="C161" s="1" t="s">
        <v>934</v>
      </c>
      <c r="D161" s="1" t="s">
        <v>414</v>
      </c>
      <c r="E161" s="1" t="s">
        <v>574</v>
      </c>
      <c r="F161" s="1">
        <v>3.0</v>
      </c>
    </row>
    <row r="162">
      <c r="A162" s="1" t="s">
        <v>945</v>
      </c>
      <c r="B162" s="5">
        <v>46213.0</v>
      </c>
      <c r="C162" s="1" t="s">
        <v>934</v>
      </c>
      <c r="D162" s="1" t="s">
        <v>448</v>
      </c>
      <c r="E162" s="1" t="s">
        <v>382</v>
      </c>
      <c r="F162" s="1">
        <v>2.0</v>
      </c>
    </row>
    <row r="163">
      <c r="A163" s="1" t="s">
        <v>947</v>
      </c>
      <c r="B163" s="5">
        <v>46106.0</v>
      </c>
      <c r="C163" s="1" t="s">
        <v>934</v>
      </c>
      <c r="D163" s="1" t="s">
        <v>414</v>
      </c>
      <c r="E163" s="1" t="s">
        <v>543</v>
      </c>
      <c r="F163" s="1">
        <v>10.0</v>
      </c>
    </row>
    <row r="164">
      <c r="A164" s="1" t="s">
        <v>952</v>
      </c>
      <c r="B164" s="5">
        <v>46071.0</v>
      </c>
      <c r="C164" s="1" t="s">
        <v>955</v>
      </c>
      <c r="D164" s="1" t="s">
        <v>418</v>
      </c>
      <c r="E164" s="1" t="s">
        <v>488</v>
      </c>
      <c r="F164" s="1">
        <v>1.0</v>
      </c>
    </row>
    <row r="165">
      <c r="A165" s="1" t="s">
        <v>957</v>
      </c>
      <c r="B165" s="5">
        <v>46030.0</v>
      </c>
      <c r="C165" s="1" t="s">
        <v>955</v>
      </c>
      <c r="D165" s="1" t="s">
        <v>418</v>
      </c>
      <c r="E165" s="1" t="s">
        <v>488</v>
      </c>
      <c r="F165" s="1">
        <v>3.0</v>
      </c>
    </row>
    <row r="166">
      <c r="A166" s="1" t="s">
        <v>960</v>
      </c>
      <c r="B166" s="5">
        <v>46133.0</v>
      </c>
      <c r="C166" s="1" t="s">
        <v>955</v>
      </c>
      <c r="D166" s="1" t="s">
        <v>418</v>
      </c>
      <c r="E166" s="1" t="s">
        <v>479</v>
      </c>
      <c r="F166" s="1">
        <v>5.0</v>
      </c>
    </row>
    <row r="167">
      <c r="A167" s="1" t="s">
        <v>963</v>
      </c>
      <c r="B167" s="5">
        <v>46230.0</v>
      </c>
      <c r="C167" s="1" t="s">
        <v>964</v>
      </c>
      <c r="D167" s="1" t="s">
        <v>381</v>
      </c>
      <c r="E167" s="1" t="s">
        <v>461</v>
      </c>
      <c r="F167" s="1">
        <v>2.0</v>
      </c>
    </row>
    <row r="168">
      <c r="A168" s="1" t="s">
        <v>968</v>
      </c>
      <c r="B168" s="5">
        <v>46157.0</v>
      </c>
      <c r="C168" s="1" t="s">
        <v>970</v>
      </c>
      <c r="D168" s="1" t="s">
        <v>549</v>
      </c>
      <c r="E168" s="1" t="s">
        <v>488</v>
      </c>
      <c r="F168" s="1">
        <v>1.0</v>
      </c>
    </row>
    <row r="169">
      <c r="A169" s="1" t="s">
        <v>973</v>
      </c>
      <c r="B169" s="5">
        <v>46039.0</v>
      </c>
      <c r="C169" s="1" t="s">
        <v>970</v>
      </c>
      <c r="D169" s="1" t="s">
        <v>434</v>
      </c>
      <c r="E169" s="1" t="s">
        <v>432</v>
      </c>
      <c r="F169" s="1">
        <v>5.0</v>
      </c>
    </row>
    <row r="170">
      <c r="A170" s="1" t="s">
        <v>976</v>
      </c>
      <c r="B170" s="5">
        <v>46166.0</v>
      </c>
      <c r="C170" s="1" t="s">
        <v>970</v>
      </c>
      <c r="D170" s="1" t="s">
        <v>431</v>
      </c>
      <c r="E170" s="1" t="s">
        <v>432</v>
      </c>
      <c r="F170" s="1">
        <v>1.0</v>
      </c>
    </row>
    <row r="171">
      <c r="A171" s="1" t="s">
        <v>981</v>
      </c>
      <c r="B171" s="5">
        <v>46146.0</v>
      </c>
      <c r="C171" s="1" t="s">
        <v>982</v>
      </c>
      <c r="D171" s="1" t="s">
        <v>497</v>
      </c>
      <c r="E171" s="1" t="s">
        <v>419</v>
      </c>
      <c r="F171" s="1">
        <v>2.0</v>
      </c>
    </row>
    <row r="172">
      <c r="A172" s="1" t="s">
        <v>983</v>
      </c>
      <c r="B172" s="5">
        <v>46207.0</v>
      </c>
      <c r="C172" s="1" t="s">
        <v>984</v>
      </c>
      <c r="D172" s="1" t="s">
        <v>418</v>
      </c>
      <c r="E172" s="1" t="s">
        <v>479</v>
      </c>
      <c r="F172" s="1">
        <v>1.0</v>
      </c>
    </row>
    <row r="173">
      <c r="A173" s="1" t="s">
        <v>985</v>
      </c>
      <c r="B173" s="5">
        <v>46227.0</v>
      </c>
      <c r="C173" s="1" t="s">
        <v>984</v>
      </c>
      <c r="D173" s="1" t="s">
        <v>325</v>
      </c>
      <c r="E173" s="1" t="s">
        <v>366</v>
      </c>
      <c r="F173" s="1">
        <v>5.0</v>
      </c>
    </row>
    <row r="174">
      <c r="A174" s="1" t="s">
        <v>990</v>
      </c>
      <c r="B174" s="5">
        <v>46027.0</v>
      </c>
      <c r="C174" s="1" t="s">
        <v>992</v>
      </c>
      <c r="D174" s="1" t="s">
        <v>383</v>
      </c>
      <c r="E174" s="1" t="s">
        <v>494</v>
      </c>
      <c r="F174" s="1">
        <v>1.0</v>
      </c>
    </row>
    <row r="175">
      <c r="A175" s="1" t="s">
        <v>996</v>
      </c>
      <c r="B175" s="5">
        <v>46026.0</v>
      </c>
      <c r="C175" s="1" t="s">
        <v>992</v>
      </c>
      <c r="D175" s="1" t="s">
        <v>445</v>
      </c>
      <c r="E175" s="1" t="s">
        <v>488</v>
      </c>
      <c r="F175" s="1">
        <v>1.0</v>
      </c>
    </row>
    <row r="176">
      <c r="A176" s="1" t="s">
        <v>997</v>
      </c>
      <c r="B176" s="5">
        <v>46166.0</v>
      </c>
      <c r="C176" s="1" t="s">
        <v>992</v>
      </c>
      <c r="D176" s="1" t="s">
        <v>358</v>
      </c>
      <c r="E176" s="1" t="s">
        <v>419</v>
      </c>
      <c r="F176" s="1">
        <v>1.0</v>
      </c>
    </row>
    <row r="177">
      <c r="A177" s="1" t="s">
        <v>1002</v>
      </c>
      <c r="B177" s="5">
        <v>46096.0</v>
      </c>
      <c r="C177" s="1" t="s">
        <v>992</v>
      </c>
      <c r="D177" s="1" t="s">
        <v>570</v>
      </c>
      <c r="E177" s="1" t="s">
        <v>366</v>
      </c>
      <c r="F177" s="1">
        <v>1.0</v>
      </c>
    </row>
    <row r="178">
      <c r="A178" s="1" t="s">
        <v>1003</v>
      </c>
      <c r="B178" s="5">
        <v>46044.0</v>
      </c>
      <c r="C178" s="1" t="s">
        <v>992</v>
      </c>
      <c r="D178" s="1" t="s">
        <v>450</v>
      </c>
      <c r="E178" s="1" t="s">
        <v>366</v>
      </c>
      <c r="F178" s="1">
        <v>1.0</v>
      </c>
    </row>
    <row r="179">
      <c r="A179" s="1" t="s">
        <v>1006</v>
      </c>
      <c r="B179" s="5">
        <v>46102.0</v>
      </c>
      <c r="C179" s="1" t="s">
        <v>1009</v>
      </c>
      <c r="D179" s="1" t="s">
        <v>358</v>
      </c>
      <c r="E179" s="1" t="s">
        <v>488</v>
      </c>
      <c r="F179" s="1">
        <v>10.0</v>
      </c>
    </row>
    <row r="180">
      <c r="A180" s="1" t="s">
        <v>1011</v>
      </c>
      <c r="B180" s="5">
        <v>46135.0</v>
      </c>
      <c r="C180" s="1" t="s">
        <v>1009</v>
      </c>
      <c r="D180" s="1" t="s">
        <v>381</v>
      </c>
      <c r="E180" s="1" t="s">
        <v>574</v>
      </c>
      <c r="F180" s="1">
        <v>1.0</v>
      </c>
    </row>
    <row r="181">
      <c r="A181" s="1" t="s">
        <v>1015</v>
      </c>
      <c r="B181" s="5">
        <v>46215.0</v>
      </c>
      <c r="C181" s="1" t="s">
        <v>1009</v>
      </c>
      <c r="D181" s="1" t="s">
        <v>573</v>
      </c>
      <c r="E181" s="1" t="s">
        <v>494</v>
      </c>
      <c r="F181" s="1">
        <v>2.0</v>
      </c>
    </row>
    <row r="182">
      <c r="A182" s="1" t="s">
        <v>1020</v>
      </c>
      <c r="B182" s="5">
        <v>46147.0</v>
      </c>
      <c r="C182" s="1" t="s">
        <v>1009</v>
      </c>
      <c r="D182" s="1" t="s">
        <v>381</v>
      </c>
      <c r="E182" s="1" t="s">
        <v>550</v>
      </c>
      <c r="F182" s="1">
        <v>5.0</v>
      </c>
    </row>
    <row r="183">
      <c r="A183" s="1" t="s">
        <v>1021</v>
      </c>
      <c r="B183" s="5">
        <v>46194.0</v>
      </c>
      <c r="C183" s="1" t="s">
        <v>1009</v>
      </c>
      <c r="D183" s="1" t="s">
        <v>570</v>
      </c>
      <c r="E183" s="1" t="s">
        <v>543</v>
      </c>
      <c r="F183" s="1">
        <v>3.0</v>
      </c>
    </row>
    <row r="184">
      <c r="A184" s="1" t="s">
        <v>1022</v>
      </c>
      <c r="B184" s="5">
        <v>46036.0</v>
      </c>
      <c r="C184" s="1" t="s">
        <v>1023</v>
      </c>
      <c r="D184" s="1" t="s">
        <v>474</v>
      </c>
      <c r="E184" s="1" t="s">
        <v>409</v>
      </c>
      <c r="F184" s="1">
        <v>1.0</v>
      </c>
    </row>
    <row r="185">
      <c r="A185" s="1" t="s">
        <v>1028</v>
      </c>
      <c r="B185" s="5">
        <v>46189.0</v>
      </c>
      <c r="C185" s="1" t="s">
        <v>1023</v>
      </c>
      <c r="D185" s="1" t="s">
        <v>590</v>
      </c>
      <c r="E185" s="1" t="s">
        <v>488</v>
      </c>
      <c r="F185" s="1">
        <v>1.0</v>
      </c>
    </row>
    <row r="186">
      <c r="A186" s="1" t="s">
        <v>1031</v>
      </c>
      <c r="B186" s="5">
        <v>46119.0</v>
      </c>
      <c r="C186" s="1" t="s">
        <v>1033</v>
      </c>
      <c r="D186" s="1" t="s">
        <v>590</v>
      </c>
      <c r="E186" s="1" t="s">
        <v>359</v>
      </c>
      <c r="F186" s="1">
        <v>10.0</v>
      </c>
    </row>
    <row r="187">
      <c r="A187" s="1" t="s">
        <v>1034</v>
      </c>
      <c r="B187" s="5">
        <v>46103.0</v>
      </c>
      <c r="C187" s="1" t="s">
        <v>1035</v>
      </c>
      <c r="D187" s="1" t="s">
        <v>294</v>
      </c>
      <c r="E187" s="1" t="s">
        <v>382</v>
      </c>
      <c r="F187" s="1">
        <v>2.0</v>
      </c>
    </row>
    <row r="188">
      <c r="A188" s="1" t="s">
        <v>1037</v>
      </c>
      <c r="B188" s="5">
        <v>46199.0</v>
      </c>
      <c r="C188" s="1" t="s">
        <v>1035</v>
      </c>
      <c r="D188" s="1" t="s">
        <v>485</v>
      </c>
      <c r="E188" s="1" t="s">
        <v>295</v>
      </c>
      <c r="F188" s="1">
        <v>1.0</v>
      </c>
    </row>
    <row r="189">
      <c r="A189" s="1" t="s">
        <v>1038</v>
      </c>
      <c r="B189" s="5">
        <v>46070.0</v>
      </c>
      <c r="C189" s="1" t="s">
        <v>1035</v>
      </c>
      <c r="D189" s="1" t="s">
        <v>497</v>
      </c>
      <c r="E189" s="1" t="s">
        <v>488</v>
      </c>
      <c r="F189" s="1">
        <v>10.0</v>
      </c>
    </row>
    <row r="190">
      <c r="A190" s="1" t="s">
        <v>1039</v>
      </c>
      <c r="B190" s="5">
        <v>46059.0</v>
      </c>
      <c r="C190" s="1" t="s">
        <v>1035</v>
      </c>
      <c r="D190" s="1" t="s">
        <v>460</v>
      </c>
      <c r="E190" s="1" t="s">
        <v>366</v>
      </c>
      <c r="F190" s="1">
        <v>2.0</v>
      </c>
    </row>
    <row r="191">
      <c r="A191" s="1" t="s">
        <v>1044</v>
      </c>
      <c r="B191" s="5">
        <v>46088.0</v>
      </c>
      <c r="C191" s="1" t="s">
        <v>1046</v>
      </c>
      <c r="D191" s="1" t="s">
        <v>443</v>
      </c>
      <c r="E191" s="1" t="s">
        <v>366</v>
      </c>
      <c r="F191" s="1">
        <v>5.0</v>
      </c>
    </row>
    <row r="192">
      <c r="A192" s="1" t="s">
        <v>1047</v>
      </c>
      <c r="B192" s="5">
        <v>46165.0</v>
      </c>
      <c r="C192" s="1" t="s">
        <v>1046</v>
      </c>
      <c r="D192" s="1" t="s">
        <v>383</v>
      </c>
      <c r="E192" s="1" t="s">
        <v>295</v>
      </c>
      <c r="F192" s="1">
        <v>10.0</v>
      </c>
    </row>
    <row r="193">
      <c r="A193" s="1" t="s">
        <v>1050</v>
      </c>
      <c r="B193" s="5">
        <v>46037.0</v>
      </c>
      <c r="C193" s="1" t="s">
        <v>1046</v>
      </c>
      <c r="D193" s="1" t="s">
        <v>445</v>
      </c>
      <c r="E193" s="1" t="s">
        <v>419</v>
      </c>
      <c r="F193" s="1">
        <v>3.0</v>
      </c>
    </row>
    <row r="194">
      <c r="A194" s="1" t="s">
        <v>1051</v>
      </c>
      <c r="B194" s="5">
        <v>46091.0</v>
      </c>
      <c r="C194" s="1" t="s">
        <v>1046</v>
      </c>
      <c r="D194" s="1" t="s">
        <v>418</v>
      </c>
      <c r="E194" s="1" t="s">
        <v>574</v>
      </c>
      <c r="F194" s="1">
        <v>3.0</v>
      </c>
    </row>
    <row r="195">
      <c r="A195" s="1" t="s">
        <v>1052</v>
      </c>
      <c r="B195" s="5">
        <v>46090.0</v>
      </c>
      <c r="C195" s="1" t="s">
        <v>1046</v>
      </c>
      <c r="D195" s="1" t="s">
        <v>627</v>
      </c>
      <c r="E195" s="1" t="s">
        <v>550</v>
      </c>
      <c r="F195" s="1">
        <v>1.0</v>
      </c>
    </row>
    <row r="196">
      <c r="A196" s="1" t="s">
        <v>1053</v>
      </c>
      <c r="B196" s="5">
        <v>46170.0</v>
      </c>
      <c r="C196" s="1" t="s">
        <v>1054</v>
      </c>
      <c r="D196" s="1" t="s">
        <v>365</v>
      </c>
      <c r="E196" s="1" t="s">
        <v>432</v>
      </c>
      <c r="F196" s="1">
        <v>10.0</v>
      </c>
    </row>
    <row r="197">
      <c r="A197" s="1" t="s">
        <v>1055</v>
      </c>
      <c r="B197" s="5">
        <v>46187.0</v>
      </c>
      <c r="C197" s="1" t="s">
        <v>1054</v>
      </c>
      <c r="D197" s="1" t="s">
        <v>570</v>
      </c>
      <c r="E197" s="1" t="s">
        <v>543</v>
      </c>
      <c r="F197" s="1">
        <v>3.0</v>
      </c>
    </row>
    <row r="198">
      <c r="A198" s="1" t="s">
        <v>1057</v>
      </c>
      <c r="B198" s="5">
        <v>46058.0</v>
      </c>
      <c r="C198" s="1" t="s">
        <v>1054</v>
      </c>
      <c r="D198" s="1" t="s">
        <v>434</v>
      </c>
      <c r="E198" s="1" t="s">
        <v>359</v>
      </c>
      <c r="F198" s="1">
        <v>5.0</v>
      </c>
    </row>
    <row r="199">
      <c r="A199" s="1" t="s">
        <v>1063</v>
      </c>
      <c r="B199" s="5">
        <v>46129.0</v>
      </c>
      <c r="C199" s="1" t="s">
        <v>1066</v>
      </c>
      <c r="D199" s="1" t="s">
        <v>294</v>
      </c>
      <c r="E199" s="1" t="s">
        <v>488</v>
      </c>
      <c r="F199" s="1">
        <v>10.0</v>
      </c>
    </row>
    <row r="200">
      <c r="A200" s="1" t="s">
        <v>1067</v>
      </c>
      <c r="B200" s="5">
        <v>46072.0</v>
      </c>
      <c r="C200" s="1" t="s">
        <v>1066</v>
      </c>
      <c r="D200" s="1" t="s">
        <v>343</v>
      </c>
      <c r="E200" s="1" t="s">
        <v>461</v>
      </c>
      <c r="F200" s="1">
        <v>2.0</v>
      </c>
    </row>
    <row r="201">
      <c r="A201" s="1" t="s">
        <v>1068</v>
      </c>
      <c r="B201" s="5">
        <v>46050.0</v>
      </c>
      <c r="C201" s="1" t="s">
        <v>1069</v>
      </c>
      <c r="D201" s="1" t="s">
        <v>497</v>
      </c>
      <c r="E201" s="1" t="s">
        <v>479</v>
      </c>
      <c r="F201" s="1">
        <v>1.0</v>
      </c>
    </row>
    <row r="202">
      <c r="A202" s="1" t="s">
        <v>1073</v>
      </c>
      <c r="B202" s="5">
        <v>46217.0</v>
      </c>
      <c r="C202" s="1" t="s">
        <v>1069</v>
      </c>
      <c r="D202" s="1" t="s">
        <v>372</v>
      </c>
      <c r="E202" s="1" t="s">
        <v>488</v>
      </c>
      <c r="F202" s="1">
        <v>3.0</v>
      </c>
    </row>
    <row r="203">
      <c r="A203" s="1" t="s">
        <v>1076</v>
      </c>
      <c r="B203" s="5">
        <v>46157.0</v>
      </c>
      <c r="C203" s="1" t="s">
        <v>1069</v>
      </c>
      <c r="D203" s="1" t="s">
        <v>414</v>
      </c>
      <c r="E203" s="1" t="s">
        <v>416</v>
      </c>
      <c r="F203" s="1">
        <v>1.0</v>
      </c>
    </row>
    <row r="204">
      <c r="A204" s="1" t="s">
        <v>1079</v>
      </c>
      <c r="B204" s="5">
        <v>46140.0</v>
      </c>
      <c r="C204" s="1" t="s">
        <v>1069</v>
      </c>
      <c r="D204" s="1" t="s">
        <v>443</v>
      </c>
      <c r="E204" s="1" t="s">
        <v>382</v>
      </c>
      <c r="F204" s="1">
        <v>1.0</v>
      </c>
    </row>
    <row r="205">
      <c r="A205" s="1" t="s">
        <v>1084</v>
      </c>
      <c r="B205" s="5">
        <v>46073.0</v>
      </c>
      <c r="C205" s="1" t="s">
        <v>1085</v>
      </c>
      <c r="D205" s="1" t="s">
        <v>460</v>
      </c>
      <c r="E205" s="1" t="s">
        <v>366</v>
      </c>
      <c r="F205" s="1">
        <v>5.0</v>
      </c>
    </row>
    <row r="206">
      <c r="A206" s="1" t="s">
        <v>1086</v>
      </c>
      <c r="B206" s="5">
        <v>46100.0</v>
      </c>
      <c r="C206" s="1" t="s">
        <v>1087</v>
      </c>
      <c r="D206" s="1" t="s">
        <v>414</v>
      </c>
      <c r="E206" s="1" t="s">
        <v>488</v>
      </c>
      <c r="F206" s="1">
        <v>1.0</v>
      </c>
    </row>
    <row r="207">
      <c r="A207" s="1" t="s">
        <v>1088</v>
      </c>
      <c r="B207" s="5">
        <v>46210.0</v>
      </c>
      <c r="C207" s="1" t="s">
        <v>1087</v>
      </c>
      <c r="D207" s="1" t="s">
        <v>549</v>
      </c>
      <c r="E207" s="1" t="s">
        <v>409</v>
      </c>
      <c r="F207" s="1">
        <v>10.0</v>
      </c>
    </row>
    <row r="208">
      <c r="A208" s="1" t="s">
        <v>1094</v>
      </c>
      <c r="B208" s="5">
        <v>46107.0</v>
      </c>
      <c r="C208" s="1" t="s">
        <v>1087</v>
      </c>
      <c r="D208" s="1" t="s">
        <v>445</v>
      </c>
      <c r="E208" s="1" t="s">
        <v>416</v>
      </c>
      <c r="F208" s="1">
        <v>1.0</v>
      </c>
    </row>
    <row r="209">
      <c r="A209" s="1" t="s">
        <v>1095</v>
      </c>
      <c r="B209" s="5">
        <v>46035.0</v>
      </c>
      <c r="C209" s="1" t="s">
        <v>1096</v>
      </c>
      <c r="D209" s="1" t="s">
        <v>573</v>
      </c>
      <c r="E209" s="1" t="s">
        <v>295</v>
      </c>
      <c r="F209" s="1">
        <v>5.0</v>
      </c>
    </row>
    <row r="210">
      <c r="A210" s="1" t="s">
        <v>1097</v>
      </c>
      <c r="B210" s="5">
        <v>46087.0</v>
      </c>
      <c r="C210" s="1" t="s">
        <v>1096</v>
      </c>
      <c r="D210" s="1" t="s">
        <v>365</v>
      </c>
      <c r="E210" s="1" t="s">
        <v>382</v>
      </c>
      <c r="F210" s="1">
        <v>1.0</v>
      </c>
    </row>
    <row r="211">
      <c r="A211" s="1" t="s">
        <v>1102</v>
      </c>
      <c r="B211" s="5">
        <v>46218.0</v>
      </c>
      <c r="C211" s="1" t="s">
        <v>1096</v>
      </c>
      <c r="D211" s="1" t="s">
        <v>506</v>
      </c>
      <c r="E211" s="1" t="s">
        <v>479</v>
      </c>
      <c r="F211" s="1">
        <v>5.0</v>
      </c>
    </row>
    <row r="212">
      <c r="A212" s="1" t="s">
        <v>1107</v>
      </c>
      <c r="B212" s="5">
        <v>46192.0</v>
      </c>
      <c r="C212" s="1" t="s">
        <v>1108</v>
      </c>
      <c r="D212" s="1" t="s">
        <v>497</v>
      </c>
      <c r="E212" s="1" t="s">
        <v>409</v>
      </c>
      <c r="F212" s="1">
        <v>2.0</v>
      </c>
    </row>
    <row r="213">
      <c r="A213" s="1" t="s">
        <v>1112</v>
      </c>
      <c r="B213" s="5">
        <v>46216.0</v>
      </c>
      <c r="C213" s="1" t="s">
        <v>1108</v>
      </c>
      <c r="D213" s="1" t="s">
        <v>497</v>
      </c>
      <c r="E213" s="1" t="s">
        <v>574</v>
      </c>
      <c r="F213" s="1">
        <v>1.0</v>
      </c>
    </row>
    <row r="214">
      <c r="A214" s="1" t="s">
        <v>1114</v>
      </c>
      <c r="B214" s="5">
        <v>46027.0</v>
      </c>
      <c r="C214" s="1" t="s">
        <v>1108</v>
      </c>
      <c r="D214" s="1" t="s">
        <v>573</v>
      </c>
      <c r="E214" s="1" t="s">
        <v>366</v>
      </c>
      <c r="F214" s="1">
        <v>1.0</v>
      </c>
    </row>
    <row r="215">
      <c r="A215" s="1" t="s">
        <v>1115</v>
      </c>
      <c r="B215" s="5">
        <v>46137.0</v>
      </c>
      <c r="C215" s="1" t="s">
        <v>1117</v>
      </c>
      <c r="D215" s="1" t="s">
        <v>365</v>
      </c>
      <c r="E215" s="1" t="s">
        <v>359</v>
      </c>
      <c r="F215" s="1">
        <v>5.0</v>
      </c>
    </row>
    <row r="216">
      <c r="A216" s="1" t="s">
        <v>1122</v>
      </c>
      <c r="B216" s="5">
        <v>46120.0</v>
      </c>
      <c r="C216" s="1" t="s">
        <v>1117</v>
      </c>
      <c r="D216" s="1" t="s">
        <v>343</v>
      </c>
      <c r="E216" s="1" t="s">
        <v>409</v>
      </c>
      <c r="F216" s="1">
        <v>1.0</v>
      </c>
    </row>
    <row r="217">
      <c r="A217" s="1" t="s">
        <v>1126</v>
      </c>
      <c r="B217" s="5">
        <v>46050.0</v>
      </c>
      <c r="C217" s="1" t="s">
        <v>1117</v>
      </c>
      <c r="D217" s="1" t="s">
        <v>573</v>
      </c>
      <c r="E217" s="1" t="s">
        <v>479</v>
      </c>
      <c r="F217" s="1">
        <v>10.0</v>
      </c>
    </row>
    <row r="218">
      <c r="A218" s="1" t="s">
        <v>1127</v>
      </c>
      <c r="B218" s="5">
        <v>46164.0</v>
      </c>
      <c r="C218" s="1" t="s">
        <v>1117</v>
      </c>
      <c r="D218" s="1" t="s">
        <v>343</v>
      </c>
      <c r="E218" s="1" t="s">
        <v>432</v>
      </c>
      <c r="F218" s="1">
        <v>3.0</v>
      </c>
    </row>
    <row r="219">
      <c r="A219" s="1" t="s">
        <v>1131</v>
      </c>
      <c r="B219" s="5">
        <v>46209.0</v>
      </c>
      <c r="C219" s="1" t="s">
        <v>1117</v>
      </c>
      <c r="D219" s="1" t="s">
        <v>450</v>
      </c>
      <c r="E219" s="1" t="s">
        <v>550</v>
      </c>
      <c r="F219" s="1">
        <v>1.0</v>
      </c>
    </row>
    <row r="220">
      <c r="A220" s="1" t="s">
        <v>1134</v>
      </c>
      <c r="B220" s="5">
        <v>46077.0</v>
      </c>
      <c r="C220" s="1" t="s">
        <v>1137</v>
      </c>
      <c r="D220" s="1" t="s">
        <v>414</v>
      </c>
      <c r="E220" s="1" t="s">
        <v>416</v>
      </c>
      <c r="F220" s="1">
        <v>10.0</v>
      </c>
    </row>
    <row r="221">
      <c r="A221" s="1" t="s">
        <v>1139</v>
      </c>
      <c r="B221" s="5">
        <v>46158.0</v>
      </c>
      <c r="C221" s="1" t="s">
        <v>1137</v>
      </c>
      <c r="D221" s="1" t="s">
        <v>549</v>
      </c>
      <c r="E221" s="1" t="s">
        <v>550</v>
      </c>
      <c r="F221" s="1">
        <v>1.0</v>
      </c>
    </row>
    <row r="222">
      <c r="A222" s="1" t="s">
        <v>1140</v>
      </c>
      <c r="B222" s="5">
        <v>46083.0</v>
      </c>
      <c r="C222" s="1" t="s">
        <v>1141</v>
      </c>
      <c r="D222" s="1" t="s">
        <v>372</v>
      </c>
      <c r="E222" s="1" t="s">
        <v>382</v>
      </c>
      <c r="F222" s="1">
        <v>3.0</v>
      </c>
    </row>
    <row r="223">
      <c r="A223" s="1" t="s">
        <v>1143</v>
      </c>
      <c r="B223" s="5">
        <v>46121.0</v>
      </c>
      <c r="C223" s="1" t="s">
        <v>1141</v>
      </c>
      <c r="D223" s="1" t="s">
        <v>358</v>
      </c>
      <c r="E223" s="1" t="s">
        <v>419</v>
      </c>
      <c r="F223" s="1">
        <v>5.0</v>
      </c>
    </row>
    <row r="224">
      <c r="A224" s="1" t="s">
        <v>1151</v>
      </c>
      <c r="B224" s="5">
        <v>46216.0</v>
      </c>
      <c r="C224" s="1" t="s">
        <v>1141</v>
      </c>
      <c r="D224" s="1" t="s">
        <v>418</v>
      </c>
      <c r="E224" s="1" t="s">
        <v>543</v>
      </c>
      <c r="F224" s="1">
        <v>1.0</v>
      </c>
    </row>
    <row r="225">
      <c r="A225" s="1" t="s">
        <v>1152</v>
      </c>
      <c r="B225" s="5">
        <v>46057.0</v>
      </c>
      <c r="C225" s="1" t="s">
        <v>1153</v>
      </c>
      <c r="D225" s="1" t="s">
        <v>343</v>
      </c>
      <c r="E225" s="1" t="s">
        <v>359</v>
      </c>
      <c r="F225" s="1">
        <v>1.0</v>
      </c>
    </row>
    <row r="226">
      <c r="A226" s="1" t="s">
        <v>1158</v>
      </c>
      <c r="B226" s="5">
        <v>46154.0</v>
      </c>
      <c r="C226" s="1" t="s">
        <v>1153</v>
      </c>
      <c r="D226" s="1" t="s">
        <v>497</v>
      </c>
      <c r="E226" s="1" t="s">
        <v>461</v>
      </c>
      <c r="F226" s="1">
        <v>2.0</v>
      </c>
    </row>
    <row r="227">
      <c r="A227" s="1" t="s">
        <v>1160</v>
      </c>
      <c r="B227" s="5">
        <v>46135.0</v>
      </c>
      <c r="C227" s="1" t="s">
        <v>1153</v>
      </c>
      <c r="D227" s="1" t="s">
        <v>497</v>
      </c>
      <c r="E227" s="1" t="s">
        <v>461</v>
      </c>
      <c r="F227" s="1">
        <v>3.0</v>
      </c>
    </row>
    <row r="228">
      <c r="A228" s="1" t="s">
        <v>1168</v>
      </c>
      <c r="B228" s="5">
        <v>46204.0</v>
      </c>
      <c r="C228" s="1" t="s">
        <v>1169</v>
      </c>
      <c r="D228" s="1" t="s">
        <v>358</v>
      </c>
      <c r="E228" s="1" t="s">
        <v>359</v>
      </c>
      <c r="F228" s="1">
        <v>1.0</v>
      </c>
    </row>
    <row r="229">
      <c r="A229" s="1" t="s">
        <v>1170</v>
      </c>
      <c r="B229" s="5">
        <v>46116.0</v>
      </c>
      <c r="C229" s="1" t="s">
        <v>1169</v>
      </c>
      <c r="D229" s="1" t="s">
        <v>372</v>
      </c>
      <c r="E229" s="1" t="s">
        <v>461</v>
      </c>
      <c r="F229" s="1">
        <v>1.0</v>
      </c>
    </row>
    <row r="230">
      <c r="A230" s="1" t="s">
        <v>1172</v>
      </c>
      <c r="B230" s="5">
        <v>46114.0</v>
      </c>
      <c r="C230" s="1" t="s">
        <v>1169</v>
      </c>
      <c r="D230" s="1" t="s">
        <v>383</v>
      </c>
      <c r="E230" s="1" t="s">
        <v>432</v>
      </c>
      <c r="F230" s="1">
        <v>2.0</v>
      </c>
    </row>
    <row r="231">
      <c r="A231" s="1" t="s">
        <v>1176</v>
      </c>
      <c r="B231" s="5">
        <v>46156.0</v>
      </c>
      <c r="C231" s="1" t="s">
        <v>1169</v>
      </c>
      <c r="D231" s="1" t="s">
        <v>431</v>
      </c>
      <c r="E231" s="1" t="s">
        <v>295</v>
      </c>
      <c r="F231" s="1">
        <v>1.0</v>
      </c>
    </row>
    <row r="232">
      <c r="A232" s="1" t="s">
        <v>1180</v>
      </c>
      <c r="B232" s="5">
        <v>46200.0</v>
      </c>
      <c r="C232" s="1" t="s">
        <v>1181</v>
      </c>
      <c r="D232" s="1" t="s">
        <v>443</v>
      </c>
      <c r="E232" s="1" t="s">
        <v>359</v>
      </c>
      <c r="F232" s="1">
        <v>1.0</v>
      </c>
    </row>
    <row r="233">
      <c r="A233" s="1" t="s">
        <v>1182</v>
      </c>
      <c r="B233" s="5">
        <v>46078.0</v>
      </c>
      <c r="C233" s="1" t="s">
        <v>1183</v>
      </c>
      <c r="D233" s="1" t="s">
        <v>365</v>
      </c>
      <c r="E233" s="1" t="s">
        <v>366</v>
      </c>
      <c r="F233" s="1">
        <v>1.0</v>
      </c>
    </row>
    <row r="234">
      <c r="A234" s="1" t="s">
        <v>1184</v>
      </c>
      <c r="B234" s="5">
        <v>46081.0</v>
      </c>
      <c r="C234" s="1" t="s">
        <v>1183</v>
      </c>
      <c r="D234" s="1" t="s">
        <v>358</v>
      </c>
      <c r="E234" s="1" t="s">
        <v>295</v>
      </c>
      <c r="F234" s="1">
        <v>5.0</v>
      </c>
    </row>
    <row r="235">
      <c r="A235" s="1" t="s">
        <v>1185</v>
      </c>
      <c r="B235" s="5">
        <v>46176.0</v>
      </c>
      <c r="C235" s="1" t="s">
        <v>1186</v>
      </c>
      <c r="D235" s="1" t="s">
        <v>460</v>
      </c>
      <c r="E235" s="1" t="s">
        <v>382</v>
      </c>
      <c r="F235" s="1">
        <v>1.0</v>
      </c>
    </row>
    <row r="236">
      <c r="A236" s="1" t="s">
        <v>1195</v>
      </c>
      <c r="B236" s="5">
        <v>46176.0</v>
      </c>
      <c r="C236" s="1" t="s">
        <v>1186</v>
      </c>
      <c r="D236" s="1" t="s">
        <v>443</v>
      </c>
      <c r="E236" s="1" t="s">
        <v>409</v>
      </c>
      <c r="F236" s="1">
        <v>3.0</v>
      </c>
    </row>
    <row r="237">
      <c r="A237" s="1" t="s">
        <v>1196</v>
      </c>
      <c r="B237" s="5">
        <v>46025.0</v>
      </c>
      <c r="C237" s="1" t="s">
        <v>1186</v>
      </c>
      <c r="D237" s="1" t="s">
        <v>383</v>
      </c>
      <c r="E237" s="1" t="s">
        <v>494</v>
      </c>
      <c r="F237" s="1">
        <v>1.0</v>
      </c>
    </row>
    <row r="238">
      <c r="A238" s="1" t="s">
        <v>1202</v>
      </c>
      <c r="B238" s="5">
        <v>46101.0</v>
      </c>
      <c r="C238" s="1" t="s">
        <v>1203</v>
      </c>
      <c r="D238" s="1" t="s">
        <v>381</v>
      </c>
      <c r="E238" s="1" t="s">
        <v>382</v>
      </c>
      <c r="F238" s="1">
        <v>1.0</v>
      </c>
    </row>
    <row r="239">
      <c r="A239" s="1" t="s">
        <v>1208</v>
      </c>
      <c r="B239" s="5">
        <v>46214.0</v>
      </c>
      <c r="C239" s="1" t="s">
        <v>1203</v>
      </c>
      <c r="D239" s="1" t="s">
        <v>460</v>
      </c>
      <c r="E239" s="1" t="s">
        <v>419</v>
      </c>
      <c r="F239" s="1">
        <v>2.0</v>
      </c>
    </row>
    <row r="240">
      <c r="A240" s="1" t="s">
        <v>1214</v>
      </c>
      <c r="B240" s="5">
        <v>46070.0</v>
      </c>
      <c r="C240" s="1" t="s">
        <v>1203</v>
      </c>
      <c r="D240" s="1" t="s">
        <v>294</v>
      </c>
      <c r="E240" s="1" t="s">
        <v>543</v>
      </c>
      <c r="F240" s="1">
        <v>1.0</v>
      </c>
    </row>
    <row r="241">
      <c r="A241" s="1" t="s">
        <v>1215</v>
      </c>
      <c r="B241" s="5">
        <v>46027.0</v>
      </c>
      <c r="C241" s="1" t="s">
        <v>1203</v>
      </c>
      <c r="D241" s="1" t="s">
        <v>372</v>
      </c>
      <c r="E241" s="1" t="s">
        <v>494</v>
      </c>
      <c r="F241" s="1">
        <v>10.0</v>
      </c>
    </row>
    <row r="242">
      <c r="A242" s="1" t="s">
        <v>1216</v>
      </c>
      <c r="B242" s="5">
        <v>46129.0</v>
      </c>
      <c r="C242" s="1" t="s">
        <v>1203</v>
      </c>
      <c r="D242" s="1" t="s">
        <v>570</v>
      </c>
      <c r="E242" s="1" t="s">
        <v>366</v>
      </c>
      <c r="F242" s="1">
        <v>5.0</v>
      </c>
    </row>
    <row r="243">
      <c r="A243" s="1" t="s">
        <v>1221</v>
      </c>
      <c r="B243" s="5">
        <v>46134.0</v>
      </c>
      <c r="C243" s="1" t="s">
        <v>1203</v>
      </c>
      <c r="D243" s="1" t="s">
        <v>497</v>
      </c>
      <c r="E243" s="1" t="s">
        <v>359</v>
      </c>
      <c r="F243" s="1">
        <v>1.0</v>
      </c>
    </row>
    <row r="244">
      <c r="A244" s="1" t="s">
        <v>1226</v>
      </c>
      <c r="B244" s="5">
        <v>46046.0</v>
      </c>
      <c r="C244" s="1" t="s">
        <v>1203</v>
      </c>
      <c r="D244" s="1" t="s">
        <v>431</v>
      </c>
      <c r="E244" s="1" t="s">
        <v>488</v>
      </c>
      <c r="F244" s="1">
        <v>5.0</v>
      </c>
    </row>
    <row r="245">
      <c r="A245" s="1" t="s">
        <v>1228</v>
      </c>
      <c r="B245" s="5">
        <v>46049.0</v>
      </c>
      <c r="C245" s="1" t="s">
        <v>1203</v>
      </c>
      <c r="D245" s="1" t="s">
        <v>573</v>
      </c>
      <c r="E245" s="1" t="s">
        <v>574</v>
      </c>
      <c r="F245" s="1">
        <v>3.0</v>
      </c>
    </row>
    <row r="246">
      <c r="A246" s="1" t="s">
        <v>1232</v>
      </c>
      <c r="B246" s="5">
        <v>46079.0</v>
      </c>
      <c r="C246" s="1" t="s">
        <v>1234</v>
      </c>
      <c r="D246" s="1" t="s">
        <v>445</v>
      </c>
      <c r="E246" s="1" t="s">
        <v>543</v>
      </c>
      <c r="F246" s="1">
        <v>1.0</v>
      </c>
    </row>
    <row r="247">
      <c r="A247" s="1" t="s">
        <v>1235</v>
      </c>
      <c r="B247" s="5">
        <v>46104.0</v>
      </c>
      <c r="C247" s="1" t="s">
        <v>1234</v>
      </c>
      <c r="D247" s="1" t="s">
        <v>372</v>
      </c>
      <c r="E247" s="1" t="s">
        <v>419</v>
      </c>
      <c r="F247" s="1">
        <v>5.0</v>
      </c>
    </row>
    <row r="248">
      <c r="A248" s="1" t="s">
        <v>1241</v>
      </c>
      <c r="B248" s="5">
        <v>46197.0</v>
      </c>
      <c r="C248" s="1" t="s">
        <v>1234</v>
      </c>
      <c r="D248" s="1" t="s">
        <v>431</v>
      </c>
      <c r="E248" s="1" t="s">
        <v>409</v>
      </c>
      <c r="F248" s="1">
        <v>1.0</v>
      </c>
    </row>
    <row r="249">
      <c r="A249" s="1" t="s">
        <v>1242</v>
      </c>
      <c r="B249" s="5">
        <v>46126.0</v>
      </c>
      <c r="C249" s="1" t="s">
        <v>1234</v>
      </c>
      <c r="D249" s="1" t="s">
        <v>358</v>
      </c>
      <c r="E249" s="1" t="s">
        <v>359</v>
      </c>
      <c r="F249" s="1">
        <v>3.0</v>
      </c>
    </row>
    <row r="250">
      <c r="A250" s="1" t="s">
        <v>1243</v>
      </c>
      <c r="B250" s="5">
        <v>46223.0</v>
      </c>
      <c r="C250" s="1" t="s">
        <v>1234</v>
      </c>
      <c r="D250" s="1" t="s">
        <v>431</v>
      </c>
      <c r="E250" s="1" t="s">
        <v>479</v>
      </c>
      <c r="F250" s="1">
        <v>3.0</v>
      </c>
    </row>
    <row r="251">
      <c r="A251" s="1" t="s">
        <v>1244</v>
      </c>
      <c r="B251" s="5">
        <v>46071.0</v>
      </c>
      <c r="C251" s="1" t="s">
        <v>1234</v>
      </c>
      <c r="D251" s="1" t="s">
        <v>573</v>
      </c>
      <c r="E251" s="1" t="s">
        <v>550</v>
      </c>
      <c r="F251" s="1">
        <v>2.0</v>
      </c>
    </row>
    <row r="252">
      <c r="A252" s="1" t="s">
        <v>1249</v>
      </c>
      <c r="B252" s="5">
        <v>46179.0</v>
      </c>
      <c r="C252" s="1" t="s">
        <v>1250</v>
      </c>
      <c r="D252" s="1" t="s">
        <v>445</v>
      </c>
      <c r="E252" s="1" t="s">
        <v>543</v>
      </c>
      <c r="F252" s="1">
        <v>2.0</v>
      </c>
    </row>
    <row r="253">
      <c r="A253" s="1" t="s">
        <v>1251</v>
      </c>
      <c r="B253" s="5">
        <v>46125.0</v>
      </c>
      <c r="C253" s="1" t="s">
        <v>1252</v>
      </c>
      <c r="D253" s="1" t="s">
        <v>573</v>
      </c>
      <c r="E253" s="1" t="s">
        <v>543</v>
      </c>
      <c r="F253" s="1">
        <v>1.0</v>
      </c>
    </row>
    <row r="254">
      <c r="A254" s="1" t="s">
        <v>1254</v>
      </c>
      <c r="B254" s="5">
        <v>46228.0</v>
      </c>
      <c r="C254" s="1" t="s">
        <v>1252</v>
      </c>
      <c r="D254" s="1" t="s">
        <v>497</v>
      </c>
      <c r="E254" s="1" t="s">
        <v>479</v>
      </c>
      <c r="F254" s="1">
        <v>1.0</v>
      </c>
    </row>
    <row r="255">
      <c r="A255" s="1" t="s">
        <v>1255</v>
      </c>
      <c r="B255" s="5">
        <v>46145.0</v>
      </c>
      <c r="C255" s="1" t="s">
        <v>1252</v>
      </c>
      <c r="D255" s="1" t="s">
        <v>358</v>
      </c>
      <c r="E255" s="1" t="s">
        <v>295</v>
      </c>
      <c r="F255" s="1">
        <v>5.0</v>
      </c>
    </row>
    <row r="256">
      <c r="A256" s="1" t="s">
        <v>1264</v>
      </c>
      <c r="B256" s="5">
        <v>46109.0</v>
      </c>
      <c r="C256" s="1" t="s">
        <v>1252</v>
      </c>
      <c r="D256" s="1" t="s">
        <v>485</v>
      </c>
      <c r="E256" s="1" t="s">
        <v>295</v>
      </c>
      <c r="F256" s="1">
        <v>10.0</v>
      </c>
    </row>
    <row r="257">
      <c r="A257" s="1" t="s">
        <v>1265</v>
      </c>
      <c r="B257" s="5">
        <v>46064.0</v>
      </c>
      <c r="C257" s="1" t="s">
        <v>1266</v>
      </c>
      <c r="D257" s="1" t="s">
        <v>460</v>
      </c>
      <c r="E257" s="1" t="s">
        <v>419</v>
      </c>
      <c r="F257" s="1">
        <v>1.0</v>
      </c>
    </row>
    <row r="258">
      <c r="A258" s="1" t="s">
        <v>1267</v>
      </c>
      <c r="B258" s="5">
        <v>46182.0</v>
      </c>
      <c r="C258" s="1" t="s">
        <v>1266</v>
      </c>
      <c r="D258" s="1" t="s">
        <v>372</v>
      </c>
      <c r="E258" s="1" t="s">
        <v>419</v>
      </c>
      <c r="F258" s="1">
        <v>3.0</v>
      </c>
    </row>
    <row r="259">
      <c r="A259" s="1" t="s">
        <v>1273</v>
      </c>
      <c r="B259" s="5">
        <v>46045.0</v>
      </c>
      <c r="C259" s="1" t="s">
        <v>1274</v>
      </c>
      <c r="D259" s="1" t="s">
        <v>448</v>
      </c>
      <c r="E259" s="1" t="s">
        <v>416</v>
      </c>
      <c r="F259" s="1">
        <v>1.0</v>
      </c>
    </row>
    <row r="260">
      <c r="A260" s="1" t="s">
        <v>1276</v>
      </c>
      <c r="B260" s="5">
        <v>46076.0</v>
      </c>
      <c r="C260" s="1" t="s">
        <v>1278</v>
      </c>
      <c r="D260" s="1" t="s">
        <v>358</v>
      </c>
      <c r="E260" s="1" t="s">
        <v>432</v>
      </c>
      <c r="F260" s="1">
        <v>5.0</v>
      </c>
    </row>
    <row r="261">
      <c r="A261" s="1" t="s">
        <v>1281</v>
      </c>
      <c r="B261" s="5">
        <v>46133.0</v>
      </c>
      <c r="C261" s="1" t="s">
        <v>1282</v>
      </c>
      <c r="D261" s="1" t="s">
        <v>474</v>
      </c>
      <c r="E261" s="1" t="s">
        <v>550</v>
      </c>
      <c r="F261" s="1">
        <v>2.0</v>
      </c>
    </row>
    <row r="262">
      <c r="A262" s="1" t="s">
        <v>1284</v>
      </c>
      <c r="B262" s="5">
        <v>46029.0</v>
      </c>
      <c r="C262" s="1" t="s">
        <v>1282</v>
      </c>
      <c r="D262" s="1" t="s">
        <v>443</v>
      </c>
      <c r="E262" s="1" t="s">
        <v>488</v>
      </c>
      <c r="F262" s="1">
        <v>2.0</v>
      </c>
    </row>
    <row r="263">
      <c r="A263" s="1" t="s">
        <v>1285</v>
      </c>
      <c r="B263" s="5">
        <v>46206.0</v>
      </c>
      <c r="C263" s="1" t="s">
        <v>1286</v>
      </c>
      <c r="D263" s="1" t="s">
        <v>570</v>
      </c>
      <c r="E263" s="1" t="s">
        <v>419</v>
      </c>
      <c r="F263" s="1">
        <v>2.0</v>
      </c>
    </row>
    <row r="264">
      <c r="A264" s="1" t="s">
        <v>1289</v>
      </c>
      <c r="B264" s="5">
        <v>46211.0</v>
      </c>
      <c r="C264" s="1" t="s">
        <v>1292</v>
      </c>
      <c r="D264" s="1" t="s">
        <v>460</v>
      </c>
      <c r="E264" s="1" t="s">
        <v>409</v>
      </c>
      <c r="F264" s="1">
        <v>10.0</v>
      </c>
    </row>
    <row r="265">
      <c r="A265" s="1" t="s">
        <v>1295</v>
      </c>
      <c r="B265" s="5">
        <v>46129.0</v>
      </c>
      <c r="C265" s="1" t="s">
        <v>1292</v>
      </c>
      <c r="D265" s="1" t="s">
        <v>383</v>
      </c>
      <c r="E265" s="1" t="s">
        <v>295</v>
      </c>
      <c r="F265" s="1">
        <v>10.0</v>
      </c>
    </row>
    <row r="266">
      <c r="A266" s="1" t="s">
        <v>1298</v>
      </c>
      <c r="B266" s="5">
        <v>46225.0</v>
      </c>
      <c r="C266" s="1" t="s">
        <v>1299</v>
      </c>
      <c r="D266" s="1" t="s">
        <v>460</v>
      </c>
      <c r="E266" s="1" t="s">
        <v>382</v>
      </c>
      <c r="F266" s="1">
        <v>10.0</v>
      </c>
    </row>
    <row r="267">
      <c r="A267" s="1" t="s">
        <v>1304</v>
      </c>
      <c r="B267" s="5">
        <v>46219.0</v>
      </c>
      <c r="C267" s="1" t="s">
        <v>1299</v>
      </c>
      <c r="D267" s="1" t="s">
        <v>549</v>
      </c>
      <c r="E267" s="1" t="s">
        <v>461</v>
      </c>
      <c r="F267" s="1">
        <v>1.0</v>
      </c>
    </row>
    <row r="268">
      <c r="A268" s="1" t="s">
        <v>1306</v>
      </c>
      <c r="B268" s="5">
        <v>46169.0</v>
      </c>
      <c r="C268" s="1" t="s">
        <v>1299</v>
      </c>
      <c r="D268" s="1" t="s">
        <v>450</v>
      </c>
      <c r="E268" s="1" t="s">
        <v>432</v>
      </c>
      <c r="F268" s="1">
        <v>3.0</v>
      </c>
    </row>
    <row r="269">
      <c r="A269" s="1" t="s">
        <v>1308</v>
      </c>
      <c r="B269" s="5">
        <v>46214.0</v>
      </c>
      <c r="C269" s="1" t="s">
        <v>1309</v>
      </c>
      <c r="D269" s="1" t="s">
        <v>418</v>
      </c>
      <c r="E269" s="1" t="s">
        <v>382</v>
      </c>
      <c r="F269" s="1">
        <v>1.0</v>
      </c>
    </row>
    <row r="270">
      <c r="A270" s="1" t="s">
        <v>1314</v>
      </c>
      <c r="B270" s="5">
        <v>46124.0</v>
      </c>
      <c r="C270" s="1" t="s">
        <v>1309</v>
      </c>
      <c r="D270" s="1" t="s">
        <v>590</v>
      </c>
      <c r="E270" s="1" t="s">
        <v>550</v>
      </c>
      <c r="F270" s="1">
        <v>1.0</v>
      </c>
    </row>
    <row r="271">
      <c r="A271" s="1" t="s">
        <v>1316</v>
      </c>
      <c r="B271" s="5">
        <v>46058.0</v>
      </c>
      <c r="C271" s="1" t="s">
        <v>1309</v>
      </c>
      <c r="D271" s="1" t="s">
        <v>443</v>
      </c>
      <c r="E271" s="1" t="s">
        <v>382</v>
      </c>
      <c r="F271" s="1">
        <v>1.0</v>
      </c>
    </row>
    <row r="272">
      <c r="A272" s="1" t="s">
        <v>1318</v>
      </c>
      <c r="B272" s="5">
        <v>46044.0</v>
      </c>
      <c r="C272" s="1" t="s">
        <v>1309</v>
      </c>
      <c r="D272" s="1" t="s">
        <v>418</v>
      </c>
      <c r="E272" s="1" t="s">
        <v>295</v>
      </c>
      <c r="F272" s="1">
        <v>10.0</v>
      </c>
    </row>
    <row r="273">
      <c r="A273" s="1" t="s">
        <v>1322</v>
      </c>
      <c r="B273" s="5">
        <v>46168.0</v>
      </c>
      <c r="C273" s="1" t="s">
        <v>1309</v>
      </c>
      <c r="D273" s="1" t="s">
        <v>570</v>
      </c>
      <c r="E273" s="1" t="s">
        <v>432</v>
      </c>
      <c r="F273" s="1">
        <v>10.0</v>
      </c>
    </row>
    <row r="274">
      <c r="A274" s="1" t="s">
        <v>1325</v>
      </c>
      <c r="B274" s="5">
        <v>46129.0</v>
      </c>
      <c r="C274" s="1" t="s">
        <v>1328</v>
      </c>
      <c r="D274" s="1" t="s">
        <v>445</v>
      </c>
      <c r="E274" s="1" t="s">
        <v>550</v>
      </c>
      <c r="F274" s="1">
        <v>10.0</v>
      </c>
    </row>
    <row r="275">
      <c r="A275" s="1" t="s">
        <v>1331</v>
      </c>
      <c r="B275" s="5">
        <v>46066.0</v>
      </c>
      <c r="C275" s="1" t="s">
        <v>1328</v>
      </c>
      <c r="D275" s="1" t="s">
        <v>434</v>
      </c>
      <c r="E275" s="1" t="s">
        <v>432</v>
      </c>
      <c r="F275" s="1">
        <v>1.0</v>
      </c>
    </row>
    <row r="276">
      <c r="A276" s="1" t="s">
        <v>1334</v>
      </c>
      <c r="B276" s="5">
        <v>46073.0</v>
      </c>
      <c r="C276" s="1" t="s">
        <v>1335</v>
      </c>
      <c r="D276" s="1" t="s">
        <v>590</v>
      </c>
      <c r="E276" s="1" t="s">
        <v>409</v>
      </c>
      <c r="F276" s="1">
        <v>1.0</v>
      </c>
    </row>
    <row r="277">
      <c r="A277" s="1" t="s">
        <v>1336</v>
      </c>
      <c r="B277" s="5">
        <v>46148.0</v>
      </c>
      <c r="C277" s="1" t="s">
        <v>1335</v>
      </c>
      <c r="D277" s="1" t="s">
        <v>474</v>
      </c>
      <c r="E277" s="1" t="s">
        <v>295</v>
      </c>
      <c r="F277" s="1">
        <v>10.0</v>
      </c>
    </row>
    <row r="278">
      <c r="A278" s="1" t="s">
        <v>1340</v>
      </c>
      <c r="B278" s="5">
        <v>46035.0</v>
      </c>
      <c r="C278" s="1" t="s">
        <v>1335</v>
      </c>
      <c r="D278" s="1" t="s">
        <v>573</v>
      </c>
      <c r="E278" s="1" t="s">
        <v>488</v>
      </c>
      <c r="F278" s="1">
        <v>1.0</v>
      </c>
    </row>
    <row r="279">
      <c r="A279" s="1" t="s">
        <v>1344</v>
      </c>
      <c r="B279" s="5">
        <v>46120.0</v>
      </c>
      <c r="C279" s="1" t="s">
        <v>1335</v>
      </c>
      <c r="D279" s="1" t="s">
        <v>570</v>
      </c>
      <c r="E279" s="1" t="s">
        <v>382</v>
      </c>
      <c r="F279" s="1">
        <v>5.0</v>
      </c>
    </row>
    <row r="280">
      <c r="A280" s="1" t="s">
        <v>1346</v>
      </c>
      <c r="B280" s="5">
        <v>46194.0</v>
      </c>
      <c r="C280" s="1" t="s">
        <v>1347</v>
      </c>
      <c r="D280" s="1" t="s">
        <v>372</v>
      </c>
      <c r="E280" s="1" t="s">
        <v>416</v>
      </c>
      <c r="F280" s="1">
        <v>1.0</v>
      </c>
    </row>
    <row r="281">
      <c r="A281" s="1" t="s">
        <v>1352</v>
      </c>
      <c r="B281" s="5">
        <v>46064.0</v>
      </c>
      <c r="C281" s="1" t="s">
        <v>1347</v>
      </c>
      <c r="D281" s="1" t="s">
        <v>381</v>
      </c>
      <c r="E281" s="1" t="s">
        <v>461</v>
      </c>
      <c r="F281" s="1">
        <v>5.0</v>
      </c>
    </row>
    <row r="282">
      <c r="A282" s="1" t="s">
        <v>1357</v>
      </c>
      <c r="B282" s="5">
        <v>46082.0</v>
      </c>
      <c r="C282" s="1" t="s">
        <v>1347</v>
      </c>
      <c r="D282" s="1" t="s">
        <v>627</v>
      </c>
      <c r="E282" s="1" t="s">
        <v>359</v>
      </c>
      <c r="F282" s="1">
        <v>1.0</v>
      </c>
    </row>
    <row r="283">
      <c r="A283" s="1" t="s">
        <v>1359</v>
      </c>
      <c r="B283" s="5">
        <v>46193.0</v>
      </c>
      <c r="C283" s="1" t="s">
        <v>1347</v>
      </c>
      <c r="D283" s="1" t="s">
        <v>418</v>
      </c>
      <c r="E283" s="1" t="s">
        <v>419</v>
      </c>
      <c r="F283" s="1">
        <v>5.0</v>
      </c>
    </row>
    <row r="284">
      <c r="A284" s="1" t="s">
        <v>1364</v>
      </c>
      <c r="B284" s="5">
        <v>46048.0</v>
      </c>
      <c r="C284" s="1" t="s">
        <v>1347</v>
      </c>
      <c r="D284" s="1" t="s">
        <v>431</v>
      </c>
      <c r="E284" s="1" t="s">
        <v>461</v>
      </c>
      <c r="F284" s="1">
        <v>1.0</v>
      </c>
    </row>
    <row r="285">
      <c r="A285" s="1" t="s">
        <v>1365</v>
      </c>
      <c r="B285" s="5">
        <v>46077.0</v>
      </c>
      <c r="C285" s="1" t="s">
        <v>1366</v>
      </c>
      <c r="D285" s="1" t="s">
        <v>343</v>
      </c>
      <c r="E285" s="1" t="s">
        <v>488</v>
      </c>
      <c r="F285" s="1">
        <v>5.0</v>
      </c>
    </row>
    <row r="286">
      <c r="A286" s="1" t="s">
        <v>1371</v>
      </c>
      <c r="B286" s="5">
        <v>46185.0</v>
      </c>
      <c r="C286" s="1" t="s">
        <v>1366</v>
      </c>
      <c r="D286" s="1" t="s">
        <v>474</v>
      </c>
      <c r="E286" s="1" t="s">
        <v>295</v>
      </c>
      <c r="F286" s="1">
        <v>1.0</v>
      </c>
    </row>
    <row r="287">
      <c r="A287" s="1" t="s">
        <v>1374</v>
      </c>
      <c r="B287" s="5">
        <v>46179.0</v>
      </c>
      <c r="C287" s="1" t="s">
        <v>1375</v>
      </c>
      <c r="D287" s="1" t="s">
        <v>434</v>
      </c>
      <c r="E287" s="1" t="s">
        <v>543</v>
      </c>
      <c r="F287" s="1">
        <v>2.0</v>
      </c>
    </row>
    <row r="288">
      <c r="A288" s="1" t="s">
        <v>1376</v>
      </c>
      <c r="B288" s="5">
        <v>46044.0</v>
      </c>
      <c r="C288" s="1" t="s">
        <v>1375</v>
      </c>
      <c r="D288" s="1" t="s">
        <v>497</v>
      </c>
      <c r="E288" s="1" t="s">
        <v>295</v>
      </c>
      <c r="F288" s="1">
        <v>5.0</v>
      </c>
    </row>
    <row r="289">
      <c r="A289" s="1" t="s">
        <v>1378</v>
      </c>
      <c r="B289" s="5">
        <v>46124.0</v>
      </c>
      <c r="C289" s="1" t="s">
        <v>1381</v>
      </c>
      <c r="D289" s="1" t="s">
        <v>431</v>
      </c>
      <c r="E289" s="1" t="s">
        <v>359</v>
      </c>
      <c r="F289" s="1">
        <v>5.0</v>
      </c>
    </row>
    <row r="290">
      <c r="A290" s="1" t="s">
        <v>1385</v>
      </c>
      <c r="B290" s="5">
        <v>46046.0</v>
      </c>
      <c r="C290" s="1" t="s">
        <v>1381</v>
      </c>
      <c r="D290" s="1" t="s">
        <v>448</v>
      </c>
      <c r="E290" s="1" t="s">
        <v>295</v>
      </c>
      <c r="F290" s="1">
        <v>3.0</v>
      </c>
    </row>
    <row r="291">
      <c r="A291" s="1" t="s">
        <v>1389</v>
      </c>
      <c r="B291" s="5">
        <v>46115.0</v>
      </c>
      <c r="C291" s="1" t="s">
        <v>1390</v>
      </c>
      <c r="D291" s="1" t="s">
        <v>381</v>
      </c>
      <c r="E291" s="1" t="s">
        <v>488</v>
      </c>
      <c r="F291" s="1">
        <v>1.0</v>
      </c>
    </row>
    <row r="292">
      <c r="A292" s="1" t="s">
        <v>1395</v>
      </c>
      <c r="B292" s="5">
        <v>46023.0</v>
      </c>
      <c r="C292" s="1" t="s">
        <v>1390</v>
      </c>
      <c r="D292" s="1" t="s">
        <v>418</v>
      </c>
      <c r="E292" s="1" t="s">
        <v>543</v>
      </c>
      <c r="F292" s="1">
        <v>5.0</v>
      </c>
    </row>
    <row r="293">
      <c r="A293" s="1" t="s">
        <v>1396</v>
      </c>
      <c r="B293" s="5">
        <v>46183.0</v>
      </c>
      <c r="C293" s="1" t="s">
        <v>1397</v>
      </c>
      <c r="D293" s="1" t="s">
        <v>294</v>
      </c>
      <c r="E293" s="1" t="s">
        <v>359</v>
      </c>
      <c r="F293" s="1">
        <v>3.0</v>
      </c>
    </row>
    <row r="294">
      <c r="A294" s="1" t="s">
        <v>1400</v>
      </c>
      <c r="B294" s="5">
        <v>46186.0</v>
      </c>
      <c r="C294" s="1" t="s">
        <v>1397</v>
      </c>
      <c r="D294" s="1" t="s">
        <v>343</v>
      </c>
      <c r="E294" s="1" t="s">
        <v>359</v>
      </c>
      <c r="F294" s="1">
        <v>2.0</v>
      </c>
    </row>
    <row r="295">
      <c r="A295" s="1" t="s">
        <v>1408</v>
      </c>
      <c r="B295" s="5">
        <v>46072.0</v>
      </c>
      <c r="C295" s="1" t="s">
        <v>1409</v>
      </c>
      <c r="D295" s="1" t="s">
        <v>474</v>
      </c>
      <c r="E295" s="1" t="s">
        <v>432</v>
      </c>
      <c r="F295" s="1">
        <v>1.0</v>
      </c>
    </row>
    <row r="296">
      <c r="A296" s="1" t="s">
        <v>1410</v>
      </c>
      <c r="B296" s="5">
        <v>46102.0</v>
      </c>
      <c r="C296" s="1" t="s">
        <v>1409</v>
      </c>
      <c r="D296" s="1" t="s">
        <v>418</v>
      </c>
      <c r="E296" s="1" t="s">
        <v>416</v>
      </c>
      <c r="F296" s="1">
        <v>3.0</v>
      </c>
    </row>
    <row r="297">
      <c r="A297" s="1" t="s">
        <v>1412</v>
      </c>
      <c r="B297" s="5">
        <v>46175.0</v>
      </c>
      <c r="C297" s="1" t="s">
        <v>1415</v>
      </c>
      <c r="D297" s="1" t="s">
        <v>549</v>
      </c>
      <c r="E297" s="1" t="s">
        <v>409</v>
      </c>
      <c r="F297" s="1">
        <v>1.0</v>
      </c>
    </row>
    <row r="298">
      <c r="A298" s="1" t="s">
        <v>1418</v>
      </c>
      <c r="B298" s="5">
        <v>46074.0</v>
      </c>
      <c r="C298" s="1" t="s">
        <v>1415</v>
      </c>
      <c r="D298" s="1" t="s">
        <v>485</v>
      </c>
      <c r="E298" s="1" t="s">
        <v>382</v>
      </c>
      <c r="F298" s="1">
        <v>5.0</v>
      </c>
    </row>
    <row r="299">
      <c r="A299" s="1" t="s">
        <v>1420</v>
      </c>
      <c r="B299" s="5">
        <v>46129.0</v>
      </c>
      <c r="C299" s="1" t="s">
        <v>1415</v>
      </c>
      <c r="D299" s="1" t="s">
        <v>431</v>
      </c>
      <c r="E299" s="1" t="s">
        <v>359</v>
      </c>
      <c r="F299" s="1">
        <v>1.0</v>
      </c>
    </row>
    <row r="300">
      <c r="A300" s="1" t="s">
        <v>1422</v>
      </c>
      <c r="B300" s="5">
        <v>46205.0</v>
      </c>
      <c r="C300" s="1" t="s">
        <v>1425</v>
      </c>
      <c r="D300" s="1" t="s">
        <v>445</v>
      </c>
      <c r="E300" s="1" t="s">
        <v>366</v>
      </c>
      <c r="F300" s="1">
        <v>3.0</v>
      </c>
    </row>
    <row r="301">
      <c r="A301" s="1" t="s">
        <v>1428</v>
      </c>
      <c r="B301" s="5">
        <v>46102.0</v>
      </c>
      <c r="C301" s="1" t="s">
        <v>1425</v>
      </c>
      <c r="D301" s="1" t="s">
        <v>434</v>
      </c>
      <c r="E301" s="1" t="s">
        <v>416</v>
      </c>
      <c r="F301" s="1">
        <v>3.0</v>
      </c>
    </row>
  </sheetData>
  <autoFilter ref="$A$1:$F$301">
    <filterColumn colId="3">
      <filters>
        <filter val="PROD-104"/>
        <filter val="PROD-103"/>
        <filter val="PROD-125"/>
        <filter val="PROD-124"/>
        <filter val="PROD-102"/>
        <filter val="PROD-123"/>
        <filter val="PROD-101"/>
        <filter val="PROD-122"/>
        <filter val="PROD-121"/>
        <filter val="PROD-120"/>
        <filter val="PROD-999"/>
        <filter val="PROD-119"/>
        <filter val="PROD-118"/>
        <filter val="PROD-117"/>
        <filter val="PROD-116"/>
        <filter val="PROD-115"/>
        <filter val="PROD-114"/>
        <filter val="PROD-113"/>
        <filter val="PROD-112"/>
        <filter val="PROD-111"/>
        <filter val="PROD-110"/>
        <filter val="PROD-109"/>
        <filter val="PROD-108"/>
        <filter val="PROD-107"/>
        <filter val="PROD-106"/>
        <filter val="PROD-105"/>
      </filters>
    </filterColumn>
    <filterColumn colId="2">
      <filters>
        <filter val="CLI-019"/>
        <filter val="CLI-018"/>
        <filter val="CLI-017"/>
        <filter val="CLI-016"/>
        <filter val="CLI-011"/>
        <filter val="CLI-099"/>
        <filter val="CLI-010"/>
        <filter val="CLI-098"/>
        <filter val="CLI-097"/>
        <filter val="CLI-096"/>
        <filter val="CLI-015"/>
        <filter val="CLI-013"/>
        <filter val="CLI-012"/>
        <filter val="CLI-029"/>
        <filter val="CLI-028"/>
        <filter val="CLI-027"/>
        <filter val="CLI-022"/>
        <filter val="CLI-021"/>
        <filter val="CLI-020"/>
        <filter val="CLI-026"/>
        <filter val="CLI-025"/>
        <filter val="CLI-024"/>
        <filter val="CLI-023"/>
        <filter val="CLI-039"/>
        <filter val="CLI-038"/>
        <filter val="CLI-033"/>
        <filter val="CLI-032"/>
        <filter val="CLI-030"/>
        <filter val="CLI-037"/>
        <filter val="CLI-036"/>
        <filter val="CLI-035"/>
        <filter val="CLI-034"/>
        <filter val="CLI-040"/>
        <filter val="CLI-049"/>
        <filter val="CLI-044"/>
        <filter val="CLI-043"/>
        <filter val="CLI-042"/>
        <filter val="CLI-041"/>
        <filter val="CLI-048"/>
        <filter val="CLI-047"/>
        <filter val="CLI-046"/>
        <filter val="CLI-045"/>
        <filter val="CLI-051"/>
        <filter val="CLI-050"/>
        <filter val="CLI-055"/>
        <filter val="CLI-054"/>
        <filter val="CLI-053"/>
        <filter val="CLI-052"/>
        <filter val="CLI-059"/>
        <filter val="CLI-058"/>
        <filter val="CLI-057"/>
        <filter val="CLI-056"/>
        <filter val="CLI-062"/>
        <filter val="CLI-061"/>
        <filter val="CLI-060"/>
        <filter val="CLI-066"/>
        <filter val="CLI-065"/>
        <filter val="CLI-064"/>
        <filter val="CLI-063"/>
        <filter val="CLI-069"/>
        <filter val="CLI-068"/>
        <filter val="CLI-067"/>
        <filter val="CLI-100"/>
        <filter val="CLI-073"/>
        <filter val="CLI-072"/>
        <filter val="CLI-071"/>
        <filter val="CLI-070"/>
        <filter val="CLI-999"/>
        <filter val="CLI-077"/>
        <filter val="CLI-076"/>
        <filter val="CLI-074"/>
        <filter val="CLI-079"/>
        <filter val="CLI-078"/>
        <filter val="CLI-080"/>
        <filter val="CLI-084"/>
        <filter val="CLI-083"/>
        <filter val="CLI-082"/>
        <filter val="CLI-081"/>
        <filter val="CLI-008"/>
        <filter val="CLI-007"/>
        <filter val="CLI-006"/>
        <filter val="CLI-005"/>
        <filter val="CLI-009"/>
        <filter val="CLI-088"/>
        <filter val="CLI-087"/>
        <filter val="CLI-086"/>
        <filter val="CLI-085"/>
        <filter val="CLI-004"/>
        <filter val="CLI-003"/>
        <filter val="CLI-002"/>
        <filter val="CLI-001"/>
        <filter val="CLI-089"/>
        <filter val="CLI-091"/>
        <filter val="CLI-090"/>
        <filter val="CLI-094"/>
        <filter val="CLI-093"/>
        <filter val="CLI-092"/>
      </filters>
    </filterColumn>
    <filterColumn colId="5">
      <filters>
        <filter val="1"/>
        <filter val="2"/>
        <filter val="3"/>
        <filter val="5"/>
        <filter val="10"/>
      </filters>
    </filterColumn>
    <sortState ref="A1:F301">
      <sortCondition ref="C1:C301"/>
    </sortState>
  </autoFilter>
  <mergeCells count="1">
    <mergeCell ref="J2:J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7" max="7" width="18.38"/>
  </cols>
  <sheetData>
    <row r="1">
      <c r="A1" s="1" t="s">
        <v>0</v>
      </c>
      <c r="B1" s="1" t="s">
        <v>1</v>
      </c>
      <c r="C1" s="1" t="s">
        <v>1945</v>
      </c>
      <c r="D1" s="1" t="s">
        <v>1946</v>
      </c>
      <c r="E1" s="1" t="s">
        <v>4</v>
      </c>
      <c r="F1" s="1" t="s">
        <v>5</v>
      </c>
      <c r="G1" s="1" t="s">
        <v>6</v>
      </c>
    </row>
    <row r="2">
      <c r="A2" s="1" t="s">
        <v>293</v>
      </c>
      <c r="B2" s="1" t="s">
        <v>1947</v>
      </c>
      <c r="C2" s="1" t="s">
        <v>1948</v>
      </c>
      <c r="D2" s="1" t="s">
        <v>1949</v>
      </c>
      <c r="E2" s="1" t="s">
        <v>33</v>
      </c>
      <c r="F2" s="1" t="s">
        <v>33</v>
      </c>
      <c r="G2" s="1" t="s">
        <v>34</v>
      </c>
    </row>
    <row r="3">
      <c r="A3" s="1" t="s">
        <v>326</v>
      </c>
      <c r="B3" s="1" t="s">
        <v>1959</v>
      </c>
      <c r="C3" s="1" t="s">
        <v>1960</v>
      </c>
      <c r="D3" s="1" t="s">
        <v>1949</v>
      </c>
      <c r="E3" s="1" t="s">
        <v>26</v>
      </c>
      <c r="F3" s="1" t="s">
        <v>26</v>
      </c>
      <c r="G3" s="1" t="s">
        <v>27</v>
      </c>
    </row>
    <row r="4">
      <c r="A4" s="1" t="s">
        <v>345</v>
      </c>
      <c r="B4" s="1" t="s">
        <v>1961</v>
      </c>
      <c r="C4" s="1" t="s">
        <v>1962</v>
      </c>
      <c r="D4" s="1" t="s">
        <v>1963</v>
      </c>
      <c r="E4" s="1" t="s">
        <v>39</v>
      </c>
      <c r="F4" s="1" t="s">
        <v>39</v>
      </c>
      <c r="G4" s="1" t="s">
        <v>40</v>
      </c>
    </row>
    <row r="5">
      <c r="A5" s="1" t="s">
        <v>427</v>
      </c>
      <c r="B5" s="1" t="s">
        <v>1968</v>
      </c>
      <c r="C5" s="1" t="s">
        <v>1969</v>
      </c>
      <c r="D5" s="1" t="s">
        <v>1949</v>
      </c>
      <c r="E5" s="1" t="s">
        <v>33</v>
      </c>
      <c r="F5" s="1" t="s">
        <v>33</v>
      </c>
      <c r="G5" s="1" t="s">
        <v>34</v>
      </c>
    </row>
    <row r="6">
      <c r="A6" s="1" t="s">
        <v>447</v>
      </c>
      <c r="B6" s="1" t="s">
        <v>1974</v>
      </c>
      <c r="C6" s="1" t="s">
        <v>1976</v>
      </c>
      <c r="D6" s="1" t="s">
        <v>1977</v>
      </c>
      <c r="E6" s="1" t="s">
        <v>26</v>
      </c>
      <c r="F6" s="1" t="s">
        <v>26</v>
      </c>
      <c r="G6" s="1" t="s">
        <v>27</v>
      </c>
    </row>
    <row r="7">
      <c r="A7" s="1" t="s">
        <v>463</v>
      </c>
      <c r="B7" s="1" t="s">
        <v>1978</v>
      </c>
      <c r="C7" s="1" t="s">
        <v>1979</v>
      </c>
      <c r="D7" s="1" t="s">
        <v>1949</v>
      </c>
      <c r="E7" s="1" t="s">
        <v>56</v>
      </c>
      <c r="F7" s="1" t="s">
        <v>39</v>
      </c>
      <c r="G7" s="1" t="s">
        <v>40</v>
      </c>
    </row>
    <row r="8">
      <c r="A8" s="1" t="s">
        <v>472</v>
      </c>
      <c r="B8" s="1" t="s">
        <v>1981</v>
      </c>
      <c r="C8" s="1" t="s">
        <v>1982</v>
      </c>
      <c r="D8" s="1" t="s">
        <v>1977</v>
      </c>
      <c r="E8" s="1" t="s">
        <v>26</v>
      </c>
      <c r="F8" s="1" t="s">
        <v>26</v>
      </c>
      <c r="G8" s="1" t="s">
        <v>27</v>
      </c>
    </row>
    <row r="9">
      <c r="A9" s="1" t="s">
        <v>478</v>
      </c>
      <c r="B9" s="1" t="s">
        <v>1985</v>
      </c>
      <c r="C9" s="1" t="s">
        <v>1987</v>
      </c>
      <c r="D9" s="1" t="s">
        <v>1989</v>
      </c>
      <c r="E9" s="1" t="s">
        <v>39</v>
      </c>
      <c r="F9" s="1" t="s">
        <v>39</v>
      </c>
      <c r="G9" s="1" t="s">
        <v>40</v>
      </c>
    </row>
    <row r="10">
      <c r="A10" s="1" t="s">
        <v>483</v>
      </c>
      <c r="B10" s="1" t="s">
        <v>1993</v>
      </c>
      <c r="C10" s="1" t="s">
        <v>1994</v>
      </c>
      <c r="D10" s="1" t="s">
        <v>1989</v>
      </c>
      <c r="E10" s="1" t="s">
        <v>25</v>
      </c>
      <c r="F10" s="1" t="s">
        <v>26</v>
      </c>
      <c r="G10" s="1" t="s">
        <v>27</v>
      </c>
    </row>
    <row r="11">
      <c r="A11" s="1" t="s">
        <v>492</v>
      </c>
      <c r="B11" s="1" t="s">
        <v>1995</v>
      </c>
      <c r="C11" s="1" t="s">
        <v>1997</v>
      </c>
      <c r="D11" s="1" t="s">
        <v>1963</v>
      </c>
      <c r="E11" s="1" t="s">
        <v>158</v>
      </c>
      <c r="F11" s="1" t="s">
        <v>158</v>
      </c>
      <c r="G11" s="1" t="s">
        <v>159</v>
      </c>
    </row>
    <row r="12">
      <c r="A12" s="1" t="s">
        <v>504</v>
      </c>
      <c r="B12" s="1" t="s">
        <v>2001</v>
      </c>
      <c r="C12" s="1" t="s">
        <v>2003</v>
      </c>
      <c r="D12" s="1" t="s">
        <v>1963</v>
      </c>
      <c r="E12" s="1" t="s">
        <v>26</v>
      </c>
      <c r="F12" s="1" t="s">
        <v>26</v>
      </c>
      <c r="G12" s="1" t="s">
        <v>27</v>
      </c>
    </row>
    <row r="13">
      <c r="A13" s="1" t="s">
        <v>524</v>
      </c>
      <c r="B13" s="1" t="s">
        <v>2005</v>
      </c>
      <c r="C13" s="1" t="s">
        <v>2006</v>
      </c>
      <c r="D13" s="1" t="s">
        <v>1989</v>
      </c>
      <c r="E13" s="1" t="s">
        <v>194</v>
      </c>
      <c r="F13" s="1" t="s">
        <v>62</v>
      </c>
      <c r="G13" s="1" t="s">
        <v>63</v>
      </c>
    </row>
    <row r="14">
      <c r="A14" s="1" t="s">
        <v>526</v>
      </c>
      <c r="B14" s="1" t="s">
        <v>2008</v>
      </c>
      <c r="C14" s="1" t="s">
        <v>2010</v>
      </c>
      <c r="D14" s="1" t="s">
        <v>1963</v>
      </c>
      <c r="E14" s="1" t="s">
        <v>194</v>
      </c>
      <c r="F14" s="1" t="s">
        <v>62</v>
      </c>
      <c r="G14" s="1" t="s">
        <v>63</v>
      </c>
    </row>
    <row r="15">
      <c r="A15" s="1" t="s">
        <v>2014</v>
      </c>
      <c r="B15" s="1" t="s">
        <v>2015</v>
      </c>
      <c r="C15" s="1" t="s">
        <v>2017</v>
      </c>
      <c r="D15" s="1" t="s">
        <v>1963</v>
      </c>
      <c r="E15" s="1" t="s">
        <v>56</v>
      </c>
      <c r="F15" s="1" t="s">
        <v>39</v>
      </c>
      <c r="G15" s="1" t="s">
        <v>40</v>
      </c>
    </row>
    <row r="16">
      <c r="A16" s="1" t="s">
        <v>537</v>
      </c>
      <c r="B16" s="1" t="s">
        <v>2022</v>
      </c>
      <c r="C16" s="1" t="s">
        <v>2023</v>
      </c>
      <c r="D16" s="1" t="s">
        <v>1977</v>
      </c>
      <c r="E16" s="1" t="s">
        <v>158</v>
      </c>
      <c r="F16" s="1" t="s">
        <v>158</v>
      </c>
      <c r="G16" s="1" t="s">
        <v>159</v>
      </c>
    </row>
    <row r="17">
      <c r="A17" s="1" t="s">
        <v>548</v>
      </c>
      <c r="B17" s="1" t="s">
        <v>2027</v>
      </c>
      <c r="C17" s="1" t="s">
        <v>2029</v>
      </c>
      <c r="D17" s="1" t="s">
        <v>1989</v>
      </c>
      <c r="E17" s="1" t="s">
        <v>158</v>
      </c>
      <c r="F17" s="1" t="s">
        <v>158</v>
      </c>
      <c r="G17" s="1" t="s">
        <v>159</v>
      </c>
    </row>
    <row r="18">
      <c r="A18" s="1" t="s">
        <v>562</v>
      </c>
      <c r="B18" s="1" t="s">
        <v>2030</v>
      </c>
      <c r="C18" s="1" t="s">
        <v>2031</v>
      </c>
      <c r="D18" s="1" t="s">
        <v>1963</v>
      </c>
      <c r="E18" s="1" t="s">
        <v>25</v>
      </c>
      <c r="F18" s="1" t="s">
        <v>26</v>
      </c>
      <c r="G18" s="1" t="s">
        <v>27</v>
      </c>
    </row>
    <row r="19">
      <c r="A19" s="1" t="s">
        <v>572</v>
      </c>
      <c r="B19" s="1" t="s">
        <v>2041</v>
      </c>
      <c r="C19" s="1" t="s">
        <v>2042</v>
      </c>
      <c r="D19" s="1" t="s">
        <v>1989</v>
      </c>
      <c r="E19" s="1" t="s">
        <v>39</v>
      </c>
      <c r="F19" s="1" t="s">
        <v>39</v>
      </c>
      <c r="G19" s="1" t="s">
        <v>40</v>
      </c>
    </row>
    <row r="20">
      <c r="A20" s="1" t="s">
        <v>582</v>
      </c>
      <c r="B20" s="1" t="s">
        <v>2043</v>
      </c>
      <c r="C20" s="1" t="s">
        <v>2044</v>
      </c>
      <c r="D20" s="1" t="s">
        <v>1989</v>
      </c>
      <c r="E20" s="1" t="s">
        <v>109</v>
      </c>
      <c r="F20" s="1" t="s">
        <v>62</v>
      </c>
      <c r="G20" s="1" t="s">
        <v>63</v>
      </c>
    </row>
    <row r="21">
      <c r="A21" s="1" t="s">
        <v>586</v>
      </c>
      <c r="B21" s="1" t="s">
        <v>2049</v>
      </c>
      <c r="C21" s="1" t="s">
        <v>2051</v>
      </c>
      <c r="D21" s="1" t="s">
        <v>1989</v>
      </c>
      <c r="E21" s="1" t="s">
        <v>33</v>
      </c>
      <c r="F21" s="1" t="s">
        <v>33</v>
      </c>
      <c r="G21" s="1" t="s">
        <v>34</v>
      </c>
    </row>
    <row r="22">
      <c r="A22" s="1" t="s">
        <v>610</v>
      </c>
      <c r="B22" s="1" t="s">
        <v>2053</v>
      </c>
      <c r="C22" s="1" t="s">
        <v>2054</v>
      </c>
      <c r="D22" s="1" t="s">
        <v>1963</v>
      </c>
      <c r="E22" s="1" t="s">
        <v>158</v>
      </c>
      <c r="F22" s="1" t="s">
        <v>158</v>
      </c>
      <c r="G22" s="1" t="s">
        <v>159</v>
      </c>
    </row>
    <row r="23">
      <c r="A23" s="1" t="s">
        <v>626</v>
      </c>
      <c r="B23" s="1" t="s">
        <v>2055</v>
      </c>
      <c r="C23" s="1" t="s">
        <v>2057</v>
      </c>
      <c r="D23" s="1" t="s">
        <v>1949</v>
      </c>
      <c r="E23" s="1" t="s">
        <v>18</v>
      </c>
      <c r="F23" s="1" t="s">
        <v>18</v>
      </c>
      <c r="G23" s="1" t="s">
        <v>19</v>
      </c>
    </row>
    <row r="24">
      <c r="A24" s="1" t="s">
        <v>637</v>
      </c>
      <c r="B24" s="1" t="s">
        <v>2061</v>
      </c>
      <c r="C24" s="1" t="s">
        <v>2063</v>
      </c>
      <c r="D24" s="1" t="s">
        <v>1977</v>
      </c>
      <c r="E24" s="1" t="s">
        <v>61</v>
      </c>
      <c r="F24" s="1" t="s">
        <v>62</v>
      </c>
      <c r="G24" s="1" t="s">
        <v>63</v>
      </c>
    </row>
    <row r="25">
      <c r="A25" s="1" t="s">
        <v>646</v>
      </c>
      <c r="B25" s="1" t="s">
        <v>2068</v>
      </c>
      <c r="C25" s="1" t="s">
        <v>2070</v>
      </c>
      <c r="D25" s="1" t="s">
        <v>1977</v>
      </c>
      <c r="E25" s="1" t="s">
        <v>18</v>
      </c>
      <c r="F25" s="1" t="s">
        <v>18</v>
      </c>
      <c r="G25" s="1" t="s">
        <v>19</v>
      </c>
    </row>
    <row r="26">
      <c r="A26" s="1" t="s">
        <v>648</v>
      </c>
      <c r="B26" s="1" t="s">
        <v>2074</v>
      </c>
      <c r="C26" s="1" t="s">
        <v>2075</v>
      </c>
      <c r="D26" s="1" t="s">
        <v>1989</v>
      </c>
      <c r="E26" s="1" t="s">
        <v>194</v>
      </c>
      <c r="F26" s="1" t="s">
        <v>62</v>
      </c>
      <c r="G26" s="1" t="s">
        <v>63</v>
      </c>
    </row>
    <row r="27">
      <c r="A27" s="1" t="s">
        <v>659</v>
      </c>
      <c r="B27" s="1" t="s">
        <v>2076</v>
      </c>
      <c r="C27" s="1" t="s">
        <v>2077</v>
      </c>
      <c r="D27" s="1" t="s">
        <v>1949</v>
      </c>
      <c r="E27" s="1" t="s">
        <v>109</v>
      </c>
      <c r="F27" s="1" t="s">
        <v>62</v>
      </c>
      <c r="G27" s="1" t="s">
        <v>63</v>
      </c>
    </row>
    <row r="28">
      <c r="A28" s="1" t="s">
        <v>669</v>
      </c>
      <c r="B28" s="1" t="s">
        <v>2083</v>
      </c>
      <c r="C28" s="1" t="s">
        <v>2084</v>
      </c>
      <c r="D28" s="1" t="s">
        <v>1949</v>
      </c>
      <c r="E28" s="1" t="s">
        <v>18</v>
      </c>
      <c r="F28" s="1" t="s">
        <v>18</v>
      </c>
      <c r="G28" s="1" t="s">
        <v>19</v>
      </c>
    </row>
    <row r="29">
      <c r="A29" s="1" t="s">
        <v>696</v>
      </c>
      <c r="B29" s="1" t="s">
        <v>2085</v>
      </c>
      <c r="C29" s="1" t="s">
        <v>2086</v>
      </c>
      <c r="D29" s="1" t="s">
        <v>1949</v>
      </c>
      <c r="E29" s="1" t="s">
        <v>118</v>
      </c>
      <c r="F29" s="1" t="s">
        <v>62</v>
      </c>
      <c r="G29" s="1" t="s">
        <v>63</v>
      </c>
    </row>
    <row r="30">
      <c r="A30" s="1" t="s">
        <v>709</v>
      </c>
      <c r="B30" s="1" t="s">
        <v>2091</v>
      </c>
      <c r="C30" s="1" t="s">
        <v>2092</v>
      </c>
      <c r="D30" s="1" t="s">
        <v>1963</v>
      </c>
      <c r="E30" s="1" t="s">
        <v>158</v>
      </c>
      <c r="F30" s="1" t="s">
        <v>158</v>
      </c>
      <c r="G30" s="1" t="s">
        <v>159</v>
      </c>
    </row>
    <row r="31">
      <c r="A31" s="1" t="s">
        <v>722</v>
      </c>
      <c r="B31" s="1" t="s">
        <v>2097</v>
      </c>
      <c r="C31" s="1" t="s">
        <v>2098</v>
      </c>
      <c r="D31" s="1" t="s">
        <v>1949</v>
      </c>
      <c r="E31" s="1" t="s">
        <v>118</v>
      </c>
      <c r="F31" s="1" t="s">
        <v>62</v>
      </c>
      <c r="G31" s="1" t="s">
        <v>63</v>
      </c>
    </row>
    <row r="32">
      <c r="A32" s="1" t="s">
        <v>2100</v>
      </c>
      <c r="B32" s="1" t="s">
        <v>2102</v>
      </c>
      <c r="C32" s="1" t="s">
        <v>2104</v>
      </c>
      <c r="D32" s="1" t="s">
        <v>1989</v>
      </c>
      <c r="E32" s="1" t="s">
        <v>39</v>
      </c>
      <c r="F32" s="1" t="s">
        <v>39</v>
      </c>
      <c r="G32" s="1" t="s">
        <v>40</v>
      </c>
    </row>
    <row r="33">
      <c r="A33" s="1" t="s">
        <v>735</v>
      </c>
      <c r="B33" s="1" t="s">
        <v>2106</v>
      </c>
      <c r="C33" s="1" t="s">
        <v>2107</v>
      </c>
      <c r="D33" s="1" t="s">
        <v>1963</v>
      </c>
      <c r="E33" s="1" t="s">
        <v>26</v>
      </c>
      <c r="F33" s="1" t="s">
        <v>26</v>
      </c>
      <c r="G33" s="1" t="s">
        <v>27</v>
      </c>
    </row>
    <row r="34">
      <c r="A34" s="1" t="s">
        <v>748</v>
      </c>
      <c r="B34" s="1" t="s">
        <v>2110</v>
      </c>
      <c r="C34" s="1" t="s">
        <v>2112</v>
      </c>
      <c r="D34" s="1" t="s">
        <v>1949</v>
      </c>
      <c r="E34" s="1" t="s">
        <v>45</v>
      </c>
      <c r="F34" s="1" t="s">
        <v>45</v>
      </c>
      <c r="G34" s="1" t="s">
        <v>46</v>
      </c>
    </row>
    <row r="35">
      <c r="A35" s="1" t="s">
        <v>756</v>
      </c>
      <c r="B35" s="1" t="s">
        <v>2117</v>
      </c>
      <c r="C35" s="1" t="s">
        <v>2118</v>
      </c>
      <c r="D35" s="1" t="s">
        <v>1989</v>
      </c>
      <c r="E35" s="1" t="s">
        <v>194</v>
      </c>
      <c r="F35" s="1" t="s">
        <v>62</v>
      </c>
      <c r="G35" s="1" t="s">
        <v>63</v>
      </c>
    </row>
    <row r="36">
      <c r="A36" s="1" t="s">
        <v>770</v>
      </c>
      <c r="B36" s="1" t="s">
        <v>2119</v>
      </c>
      <c r="C36" s="1" t="s">
        <v>2120</v>
      </c>
      <c r="D36" s="1" t="s">
        <v>1977</v>
      </c>
      <c r="E36" s="1" t="s">
        <v>56</v>
      </c>
      <c r="F36" s="1" t="s">
        <v>39</v>
      </c>
      <c r="G36" s="1" t="s">
        <v>40</v>
      </c>
    </row>
    <row r="37">
      <c r="A37" s="1" t="s">
        <v>773</v>
      </c>
      <c r="B37" s="1" t="s">
        <v>2121</v>
      </c>
      <c r="C37" s="1" t="s">
        <v>2122</v>
      </c>
      <c r="D37" s="1" t="s">
        <v>1963</v>
      </c>
      <c r="E37" s="1" t="s">
        <v>109</v>
      </c>
      <c r="F37" s="1" t="s">
        <v>62</v>
      </c>
      <c r="G37" s="1" t="s">
        <v>63</v>
      </c>
    </row>
    <row r="38">
      <c r="A38" s="1" t="s">
        <v>782</v>
      </c>
      <c r="B38" s="1" t="s">
        <v>2127</v>
      </c>
      <c r="C38" s="1" t="s">
        <v>2128</v>
      </c>
      <c r="D38" s="1" t="s">
        <v>1963</v>
      </c>
      <c r="E38" s="1" t="s">
        <v>61</v>
      </c>
      <c r="F38" s="1" t="s">
        <v>62</v>
      </c>
      <c r="G38" s="1" t="s">
        <v>63</v>
      </c>
    </row>
    <row r="39">
      <c r="A39" s="1" t="s">
        <v>789</v>
      </c>
      <c r="B39" s="1" t="s">
        <v>2129</v>
      </c>
      <c r="C39" s="1" t="s">
        <v>2130</v>
      </c>
      <c r="D39" s="1" t="s">
        <v>1963</v>
      </c>
      <c r="E39" s="1" t="s">
        <v>18</v>
      </c>
      <c r="F39" s="1" t="s">
        <v>18</v>
      </c>
      <c r="G39" s="1" t="s">
        <v>19</v>
      </c>
    </row>
    <row r="40">
      <c r="A40" s="1" t="s">
        <v>805</v>
      </c>
      <c r="B40" s="1" t="s">
        <v>2131</v>
      </c>
      <c r="C40" s="1" t="s">
        <v>2132</v>
      </c>
      <c r="D40" s="1" t="s">
        <v>1963</v>
      </c>
      <c r="E40" s="1" t="s">
        <v>45</v>
      </c>
      <c r="F40" s="1" t="s">
        <v>45</v>
      </c>
      <c r="G40" s="1" t="s">
        <v>46</v>
      </c>
    </row>
    <row r="41">
      <c r="A41" s="1" t="s">
        <v>821</v>
      </c>
      <c r="B41" s="1" t="s">
        <v>2135</v>
      </c>
      <c r="C41" s="1" t="s">
        <v>2137</v>
      </c>
      <c r="D41" s="1" t="s">
        <v>1989</v>
      </c>
      <c r="E41" s="1" t="s">
        <v>56</v>
      </c>
      <c r="F41" s="1" t="s">
        <v>39</v>
      </c>
      <c r="G41" s="1" t="s">
        <v>40</v>
      </c>
    </row>
    <row r="42">
      <c r="A42" s="1" t="s">
        <v>833</v>
      </c>
      <c r="B42" s="1" t="s">
        <v>2143</v>
      </c>
      <c r="C42" s="1" t="s">
        <v>2144</v>
      </c>
      <c r="D42" s="1" t="s">
        <v>1977</v>
      </c>
      <c r="E42" s="1" t="s">
        <v>158</v>
      </c>
      <c r="F42" s="1" t="s">
        <v>158</v>
      </c>
      <c r="G42" s="1" t="s">
        <v>159</v>
      </c>
    </row>
    <row r="43">
      <c r="A43" s="1" t="s">
        <v>835</v>
      </c>
      <c r="B43" s="1" t="s">
        <v>2145</v>
      </c>
      <c r="C43" s="1" t="s">
        <v>2146</v>
      </c>
      <c r="D43" s="1" t="s">
        <v>1963</v>
      </c>
      <c r="E43" s="1" t="s">
        <v>158</v>
      </c>
      <c r="F43" s="1" t="s">
        <v>158</v>
      </c>
      <c r="G43" s="1" t="s">
        <v>159</v>
      </c>
    </row>
    <row r="44">
      <c r="A44" s="1" t="s">
        <v>846</v>
      </c>
      <c r="B44" s="1" t="s">
        <v>2149</v>
      </c>
      <c r="C44" s="1" t="s">
        <v>2151</v>
      </c>
      <c r="D44" s="1" t="s">
        <v>1989</v>
      </c>
      <c r="E44" s="1" t="s">
        <v>18</v>
      </c>
      <c r="F44" s="1" t="s">
        <v>18</v>
      </c>
      <c r="G44" s="1" t="s">
        <v>19</v>
      </c>
    </row>
    <row r="45">
      <c r="A45" s="1" t="s">
        <v>854</v>
      </c>
      <c r="B45" s="1" t="s">
        <v>2154</v>
      </c>
      <c r="C45" s="1" t="s">
        <v>2155</v>
      </c>
      <c r="D45" s="1" t="s">
        <v>1977</v>
      </c>
      <c r="E45" s="1" t="s">
        <v>45</v>
      </c>
      <c r="F45" s="1" t="s">
        <v>45</v>
      </c>
      <c r="G45" s="1" t="s">
        <v>46</v>
      </c>
    </row>
    <row r="46">
      <c r="A46" s="1" t="s">
        <v>872</v>
      </c>
      <c r="B46" s="1" t="s">
        <v>2156</v>
      </c>
      <c r="C46" s="1" t="s">
        <v>2157</v>
      </c>
      <c r="D46" s="1" t="s">
        <v>1989</v>
      </c>
      <c r="E46" s="1" t="s">
        <v>158</v>
      </c>
      <c r="F46" s="1" t="s">
        <v>158</v>
      </c>
      <c r="G46" s="1" t="s">
        <v>159</v>
      </c>
    </row>
    <row r="47">
      <c r="A47" s="1" t="s">
        <v>888</v>
      </c>
      <c r="B47" s="1" t="s">
        <v>2159</v>
      </c>
      <c r="C47" s="1" t="s">
        <v>2160</v>
      </c>
      <c r="D47" s="1" t="s">
        <v>1977</v>
      </c>
      <c r="E47" s="1" t="s">
        <v>72</v>
      </c>
      <c r="F47" s="1" t="s">
        <v>62</v>
      </c>
      <c r="G47" s="1" t="s">
        <v>63</v>
      </c>
    </row>
    <row r="48">
      <c r="A48" s="1" t="s">
        <v>910</v>
      </c>
      <c r="B48" s="1" t="s">
        <v>2161</v>
      </c>
      <c r="C48" s="1" t="s">
        <v>2162</v>
      </c>
      <c r="D48" s="1" t="s">
        <v>1963</v>
      </c>
      <c r="E48" s="1" t="s">
        <v>61</v>
      </c>
      <c r="F48" s="1" t="s">
        <v>62</v>
      </c>
      <c r="G48" s="1" t="s">
        <v>63</v>
      </c>
    </row>
    <row r="49">
      <c r="A49" s="1" t="s">
        <v>919</v>
      </c>
      <c r="B49" s="1" t="s">
        <v>2166</v>
      </c>
      <c r="C49" s="1" t="s">
        <v>2169</v>
      </c>
      <c r="D49" s="1" t="s">
        <v>1963</v>
      </c>
      <c r="E49" s="1" t="s">
        <v>18</v>
      </c>
      <c r="F49" s="1" t="s">
        <v>18</v>
      </c>
      <c r="G49" s="1" t="s">
        <v>19</v>
      </c>
    </row>
    <row r="50">
      <c r="A50" s="1" t="s">
        <v>928</v>
      </c>
      <c r="B50" s="1" t="s">
        <v>2173</v>
      </c>
      <c r="C50" s="1" t="s">
        <v>2174</v>
      </c>
      <c r="D50" s="1" t="s">
        <v>1977</v>
      </c>
      <c r="E50" s="1" t="s">
        <v>72</v>
      </c>
      <c r="F50" s="1" t="s">
        <v>62</v>
      </c>
      <c r="G50" s="1" t="s">
        <v>63</v>
      </c>
    </row>
    <row r="51">
      <c r="A51" s="1" t="s">
        <v>934</v>
      </c>
      <c r="B51" s="1" t="s">
        <v>2175</v>
      </c>
      <c r="C51" s="1" t="s">
        <v>2176</v>
      </c>
      <c r="D51" s="1" t="s">
        <v>1949</v>
      </c>
      <c r="E51" s="1" t="s">
        <v>45</v>
      </c>
      <c r="F51" s="1" t="s">
        <v>45</v>
      </c>
      <c r="G51" s="1" t="s">
        <v>46</v>
      </c>
    </row>
    <row r="52">
      <c r="A52" s="1" t="s">
        <v>955</v>
      </c>
      <c r="B52" s="1" t="s">
        <v>2181</v>
      </c>
      <c r="C52" s="1" t="s">
        <v>2182</v>
      </c>
      <c r="D52" s="1" t="s">
        <v>1977</v>
      </c>
      <c r="E52" s="1" t="s">
        <v>39</v>
      </c>
      <c r="F52" s="1" t="s">
        <v>39</v>
      </c>
      <c r="G52" s="1" t="s">
        <v>40</v>
      </c>
    </row>
    <row r="53">
      <c r="A53" s="1" t="s">
        <v>964</v>
      </c>
      <c r="B53" s="1" t="s">
        <v>2190</v>
      </c>
      <c r="C53" s="1" t="s">
        <v>2192</v>
      </c>
      <c r="D53" s="1" t="s">
        <v>1989</v>
      </c>
      <c r="E53" s="1" t="s">
        <v>39</v>
      </c>
      <c r="F53" s="1" t="s">
        <v>39</v>
      </c>
      <c r="G53" s="1" t="s">
        <v>40</v>
      </c>
    </row>
    <row r="54">
      <c r="A54" s="1" t="s">
        <v>970</v>
      </c>
      <c r="B54" s="1" t="s">
        <v>2193</v>
      </c>
      <c r="C54" s="1" t="s">
        <v>2194</v>
      </c>
      <c r="D54" s="1" t="s">
        <v>1989</v>
      </c>
      <c r="E54" s="1" t="s">
        <v>39</v>
      </c>
      <c r="F54" s="1" t="s">
        <v>39</v>
      </c>
      <c r="G54" s="1" t="s">
        <v>40</v>
      </c>
    </row>
    <row r="55">
      <c r="A55" s="1" t="s">
        <v>982</v>
      </c>
      <c r="B55" s="1" t="s">
        <v>2199</v>
      </c>
      <c r="C55" s="1" t="s">
        <v>2200</v>
      </c>
      <c r="D55" s="1" t="s">
        <v>1949</v>
      </c>
      <c r="E55" s="1" t="s">
        <v>194</v>
      </c>
      <c r="F55" s="1" t="s">
        <v>62</v>
      </c>
      <c r="G55" s="1" t="s">
        <v>63</v>
      </c>
    </row>
    <row r="56">
      <c r="A56" s="1" t="s">
        <v>984</v>
      </c>
      <c r="B56" s="1" t="s">
        <v>2204</v>
      </c>
      <c r="C56" s="1" t="s">
        <v>2206</v>
      </c>
      <c r="D56" s="1" t="s">
        <v>1989</v>
      </c>
      <c r="E56" s="1" t="s">
        <v>39</v>
      </c>
      <c r="F56" s="1" t="s">
        <v>39</v>
      </c>
      <c r="G56" s="1" t="s">
        <v>40</v>
      </c>
    </row>
    <row r="57">
      <c r="A57" s="1" t="s">
        <v>992</v>
      </c>
      <c r="B57" s="1" t="s">
        <v>2215</v>
      </c>
      <c r="C57" s="1" t="s">
        <v>2216</v>
      </c>
      <c r="D57" s="1" t="s">
        <v>1989</v>
      </c>
      <c r="E57" s="1" t="s">
        <v>45</v>
      </c>
      <c r="F57" s="1" t="s">
        <v>45</v>
      </c>
      <c r="G57" s="1" t="s">
        <v>46</v>
      </c>
    </row>
    <row r="58">
      <c r="A58" s="1" t="s">
        <v>1009</v>
      </c>
      <c r="B58" s="1" t="s">
        <v>2217</v>
      </c>
      <c r="C58" s="1" t="s">
        <v>2218</v>
      </c>
      <c r="D58" s="1" t="s">
        <v>1949</v>
      </c>
      <c r="E58" s="1" t="s">
        <v>61</v>
      </c>
      <c r="F58" s="1" t="s">
        <v>62</v>
      </c>
      <c r="G58" s="1" t="s">
        <v>63</v>
      </c>
    </row>
    <row r="59">
      <c r="A59" s="1" t="s">
        <v>1023</v>
      </c>
      <c r="B59" s="1" t="s">
        <v>2223</v>
      </c>
      <c r="C59" s="1" t="s">
        <v>2224</v>
      </c>
      <c r="D59" s="1" t="s">
        <v>1989</v>
      </c>
      <c r="E59" s="1" t="s">
        <v>72</v>
      </c>
      <c r="F59" s="1" t="s">
        <v>62</v>
      </c>
      <c r="G59" s="1" t="s">
        <v>63</v>
      </c>
    </row>
    <row r="60">
      <c r="A60" s="1" t="s">
        <v>1033</v>
      </c>
      <c r="B60" s="1" t="s">
        <v>2225</v>
      </c>
      <c r="C60" s="1" t="s">
        <v>2226</v>
      </c>
      <c r="D60" s="1" t="s">
        <v>1963</v>
      </c>
      <c r="E60" s="1" t="s">
        <v>18</v>
      </c>
      <c r="F60" s="1" t="s">
        <v>18</v>
      </c>
      <c r="G60" s="1" t="s">
        <v>19</v>
      </c>
    </row>
    <row r="61">
      <c r="A61" s="1" t="s">
        <v>1035</v>
      </c>
      <c r="B61" s="1" t="s">
        <v>2231</v>
      </c>
      <c r="C61" s="1" t="s">
        <v>2232</v>
      </c>
      <c r="D61" s="1" t="s">
        <v>1963</v>
      </c>
      <c r="E61" s="1" t="s">
        <v>45</v>
      </c>
      <c r="F61" s="1" t="s">
        <v>45</v>
      </c>
      <c r="G61" s="1" t="s">
        <v>46</v>
      </c>
    </row>
    <row r="62">
      <c r="A62" s="1" t="s">
        <v>1046</v>
      </c>
      <c r="B62" s="1" t="s">
        <v>2235</v>
      </c>
      <c r="C62" s="1" t="s">
        <v>2237</v>
      </c>
      <c r="D62" s="1" t="s">
        <v>1963</v>
      </c>
      <c r="E62" s="1" t="s">
        <v>26</v>
      </c>
      <c r="F62" s="1" t="s">
        <v>26</v>
      </c>
      <c r="G62" s="1" t="s">
        <v>27</v>
      </c>
    </row>
    <row r="63">
      <c r="A63" s="1" t="s">
        <v>1054</v>
      </c>
      <c r="B63" s="1" t="s">
        <v>2239</v>
      </c>
      <c r="C63" s="1" t="s">
        <v>2241</v>
      </c>
      <c r="D63" s="1" t="s">
        <v>1949</v>
      </c>
      <c r="E63" s="1" t="s">
        <v>18</v>
      </c>
      <c r="F63" s="1" t="s">
        <v>18</v>
      </c>
      <c r="G63" s="1" t="s">
        <v>19</v>
      </c>
    </row>
    <row r="64">
      <c r="A64" s="1" t="s">
        <v>1066</v>
      </c>
      <c r="B64" s="1" t="s">
        <v>2245</v>
      </c>
      <c r="C64" s="1" t="s">
        <v>2246</v>
      </c>
      <c r="D64" s="1" t="s">
        <v>1963</v>
      </c>
      <c r="E64" s="1" t="s">
        <v>109</v>
      </c>
      <c r="F64" s="1" t="s">
        <v>62</v>
      </c>
      <c r="G64" s="1" t="s">
        <v>63</v>
      </c>
    </row>
    <row r="65">
      <c r="A65" s="1" t="s">
        <v>1069</v>
      </c>
      <c r="B65" s="1" t="s">
        <v>2247</v>
      </c>
      <c r="C65" s="1" t="s">
        <v>2248</v>
      </c>
      <c r="D65" s="1" t="s">
        <v>1977</v>
      </c>
      <c r="E65" s="1" t="s">
        <v>18</v>
      </c>
      <c r="F65" s="1" t="s">
        <v>18</v>
      </c>
      <c r="G65" s="1" t="s">
        <v>19</v>
      </c>
    </row>
    <row r="66">
      <c r="A66" s="1" t="s">
        <v>1085</v>
      </c>
      <c r="B66" s="1" t="s">
        <v>2250</v>
      </c>
      <c r="C66" s="1" t="s">
        <v>2252</v>
      </c>
      <c r="D66" s="1" t="s">
        <v>1963</v>
      </c>
      <c r="E66" s="1" t="s">
        <v>18</v>
      </c>
      <c r="F66" s="1" t="s">
        <v>18</v>
      </c>
      <c r="G66" s="1" t="s">
        <v>19</v>
      </c>
    </row>
    <row r="67">
      <c r="A67" s="1" t="s">
        <v>1087</v>
      </c>
      <c r="B67" s="1" t="s">
        <v>2256</v>
      </c>
      <c r="C67" s="1" t="s">
        <v>2257</v>
      </c>
      <c r="D67" s="1" t="s">
        <v>1963</v>
      </c>
      <c r="E67" s="1" t="s">
        <v>45</v>
      </c>
      <c r="F67" s="1" t="s">
        <v>45</v>
      </c>
      <c r="G67" s="1" t="s">
        <v>46</v>
      </c>
    </row>
    <row r="68">
      <c r="A68" s="1" t="s">
        <v>1096</v>
      </c>
      <c r="B68" s="1" t="s">
        <v>2258</v>
      </c>
      <c r="C68" s="1" t="s">
        <v>2259</v>
      </c>
      <c r="D68" s="1" t="s">
        <v>1989</v>
      </c>
      <c r="E68" s="1" t="s">
        <v>61</v>
      </c>
      <c r="F68" s="1" t="s">
        <v>62</v>
      </c>
      <c r="G68" s="1" t="s">
        <v>63</v>
      </c>
    </row>
    <row r="69">
      <c r="A69" s="1" t="s">
        <v>1108</v>
      </c>
      <c r="B69" s="1" t="s">
        <v>2263</v>
      </c>
      <c r="C69" s="1" t="s">
        <v>2200</v>
      </c>
      <c r="D69" s="1" t="s">
        <v>1977</v>
      </c>
      <c r="E69" s="1" t="s">
        <v>56</v>
      </c>
      <c r="F69" s="1" t="s">
        <v>39</v>
      </c>
      <c r="G69" s="1" t="s">
        <v>40</v>
      </c>
    </row>
    <row r="70">
      <c r="A70" s="1" t="s">
        <v>1117</v>
      </c>
      <c r="B70" s="1" t="s">
        <v>2268</v>
      </c>
      <c r="C70" s="1" t="s">
        <v>2269</v>
      </c>
      <c r="D70" s="1" t="s">
        <v>1989</v>
      </c>
      <c r="E70" s="1" t="s">
        <v>39</v>
      </c>
      <c r="F70" s="1" t="s">
        <v>39</v>
      </c>
      <c r="G70" s="1" t="s">
        <v>40</v>
      </c>
    </row>
    <row r="71">
      <c r="A71" s="1" t="s">
        <v>1137</v>
      </c>
      <c r="B71" s="1" t="s">
        <v>2270</v>
      </c>
      <c r="C71" s="1" t="s">
        <v>2271</v>
      </c>
      <c r="D71" s="1" t="s">
        <v>1949</v>
      </c>
      <c r="E71" s="1" t="s">
        <v>45</v>
      </c>
      <c r="F71" s="1" t="s">
        <v>45</v>
      </c>
      <c r="G71" s="1" t="s">
        <v>46</v>
      </c>
    </row>
    <row r="72">
      <c r="A72" s="1" t="s">
        <v>1141</v>
      </c>
      <c r="B72" s="1" t="s">
        <v>2272</v>
      </c>
      <c r="C72" s="1" t="s">
        <v>2084</v>
      </c>
      <c r="D72" s="1" t="s">
        <v>1989</v>
      </c>
      <c r="E72" s="1" t="s">
        <v>33</v>
      </c>
      <c r="F72" s="1" t="s">
        <v>33</v>
      </c>
      <c r="G72" s="1" t="s">
        <v>34</v>
      </c>
    </row>
    <row r="73">
      <c r="A73" s="1" t="s">
        <v>1153</v>
      </c>
      <c r="B73" s="1" t="s">
        <v>2280</v>
      </c>
      <c r="C73" s="1" t="s">
        <v>163</v>
      </c>
      <c r="D73" s="1" t="s">
        <v>1977</v>
      </c>
      <c r="E73" s="1" t="s">
        <v>25</v>
      </c>
      <c r="F73" s="1" t="s">
        <v>26</v>
      </c>
      <c r="G73" s="1" t="s">
        <v>27</v>
      </c>
    </row>
    <row r="74">
      <c r="A74" s="1" t="s">
        <v>1169</v>
      </c>
      <c r="B74" s="1" t="s">
        <v>2282</v>
      </c>
      <c r="C74" s="1" t="s">
        <v>2283</v>
      </c>
      <c r="D74" s="1" t="s">
        <v>1989</v>
      </c>
      <c r="E74" s="1" t="s">
        <v>158</v>
      </c>
      <c r="F74" s="1" t="s">
        <v>158</v>
      </c>
      <c r="G74" s="1" t="s">
        <v>159</v>
      </c>
    </row>
    <row r="75">
      <c r="A75" s="1" t="s">
        <v>1181</v>
      </c>
      <c r="B75" s="1" t="s">
        <v>2284</v>
      </c>
      <c r="C75" s="1" t="s">
        <v>2285</v>
      </c>
      <c r="D75" s="1" t="s">
        <v>1989</v>
      </c>
      <c r="E75" s="1" t="s">
        <v>45</v>
      </c>
      <c r="F75" s="1" t="s">
        <v>45</v>
      </c>
      <c r="G75" s="1" t="s">
        <v>46</v>
      </c>
    </row>
    <row r="76">
      <c r="A76" s="1" t="s">
        <v>2286</v>
      </c>
      <c r="B76" s="1" t="s">
        <v>2287</v>
      </c>
      <c r="C76" s="1" t="s">
        <v>2288</v>
      </c>
      <c r="D76" s="1" t="s">
        <v>1949</v>
      </c>
      <c r="E76" s="1" t="s">
        <v>61</v>
      </c>
      <c r="F76" s="1" t="s">
        <v>62</v>
      </c>
      <c r="G76" s="1" t="s">
        <v>63</v>
      </c>
    </row>
    <row r="77">
      <c r="A77" s="1" t="s">
        <v>1183</v>
      </c>
      <c r="B77" s="1" t="s">
        <v>2290</v>
      </c>
      <c r="C77" s="1" t="s">
        <v>2291</v>
      </c>
      <c r="D77" s="1" t="s">
        <v>1977</v>
      </c>
      <c r="E77" s="1" t="s">
        <v>45</v>
      </c>
      <c r="F77" s="1" t="s">
        <v>45</v>
      </c>
      <c r="G77" s="1" t="s">
        <v>46</v>
      </c>
    </row>
    <row r="78">
      <c r="A78" s="1" t="s">
        <v>1186</v>
      </c>
      <c r="B78" s="1" t="s">
        <v>2296</v>
      </c>
      <c r="C78" s="1" t="s">
        <v>2297</v>
      </c>
      <c r="D78" s="1" t="s">
        <v>1963</v>
      </c>
      <c r="E78" s="1" t="s">
        <v>109</v>
      </c>
      <c r="F78" s="1" t="s">
        <v>62</v>
      </c>
      <c r="G78" s="1" t="s">
        <v>63</v>
      </c>
    </row>
    <row r="79">
      <c r="A79" s="1" t="s">
        <v>1203</v>
      </c>
      <c r="B79" s="1" t="s">
        <v>2302</v>
      </c>
      <c r="C79" s="1" t="s">
        <v>2303</v>
      </c>
      <c r="D79" s="1" t="s">
        <v>1963</v>
      </c>
      <c r="E79" s="1" t="s">
        <v>158</v>
      </c>
      <c r="F79" s="1" t="s">
        <v>158</v>
      </c>
      <c r="G79" s="1" t="s">
        <v>159</v>
      </c>
    </row>
    <row r="80">
      <c r="A80" s="1" t="s">
        <v>1234</v>
      </c>
      <c r="B80" s="1" t="s">
        <v>2304</v>
      </c>
      <c r="C80" s="1" t="s">
        <v>2305</v>
      </c>
      <c r="D80" s="1" t="s">
        <v>1963</v>
      </c>
      <c r="E80" s="1" t="s">
        <v>72</v>
      </c>
      <c r="F80" s="1" t="s">
        <v>62</v>
      </c>
      <c r="G80" s="1" t="s">
        <v>63</v>
      </c>
    </row>
    <row r="81">
      <c r="A81" s="1" t="s">
        <v>1250</v>
      </c>
      <c r="B81" s="1" t="s">
        <v>2312</v>
      </c>
      <c r="C81" s="1" t="s">
        <v>2315</v>
      </c>
      <c r="D81" s="1" t="s">
        <v>1977</v>
      </c>
      <c r="E81" s="1" t="s">
        <v>25</v>
      </c>
      <c r="F81" s="1" t="s">
        <v>26</v>
      </c>
      <c r="G81" s="1" t="s">
        <v>27</v>
      </c>
    </row>
    <row r="82">
      <c r="A82" s="1" t="s">
        <v>1252</v>
      </c>
      <c r="B82" s="1" t="s">
        <v>2316</v>
      </c>
      <c r="C82" s="1" t="s">
        <v>2317</v>
      </c>
      <c r="D82" s="1" t="s">
        <v>1949</v>
      </c>
      <c r="E82" s="1" t="s">
        <v>109</v>
      </c>
      <c r="F82" s="1" t="s">
        <v>62</v>
      </c>
      <c r="G82" s="1" t="s">
        <v>63</v>
      </c>
    </row>
    <row r="83">
      <c r="A83" s="1" t="s">
        <v>1266</v>
      </c>
      <c r="B83" s="1" t="s">
        <v>2321</v>
      </c>
      <c r="C83" s="1" t="s">
        <v>2324</v>
      </c>
      <c r="D83" s="1" t="s">
        <v>1949</v>
      </c>
      <c r="E83" s="1" t="s">
        <v>118</v>
      </c>
      <c r="F83" s="1" t="s">
        <v>62</v>
      </c>
      <c r="G83" s="1" t="s">
        <v>63</v>
      </c>
    </row>
    <row r="84">
      <c r="A84" s="1" t="s">
        <v>1274</v>
      </c>
      <c r="B84" s="1" t="s">
        <v>2328</v>
      </c>
      <c r="C84" s="1" t="s">
        <v>2329</v>
      </c>
      <c r="D84" s="1" t="s">
        <v>1977</v>
      </c>
      <c r="E84" s="1" t="s">
        <v>109</v>
      </c>
      <c r="F84" s="1" t="s">
        <v>62</v>
      </c>
      <c r="G84" s="1" t="s">
        <v>63</v>
      </c>
    </row>
    <row r="85">
      <c r="A85" s="1" t="s">
        <v>1278</v>
      </c>
      <c r="B85" s="1" t="s">
        <v>2330</v>
      </c>
      <c r="C85" s="1" t="s">
        <v>2331</v>
      </c>
      <c r="D85" s="1" t="s">
        <v>1963</v>
      </c>
      <c r="E85" s="1" t="s">
        <v>72</v>
      </c>
      <c r="F85" s="1" t="s">
        <v>62</v>
      </c>
      <c r="G85" s="1" t="s">
        <v>63</v>
      </c>
    </row>
    <row r="86">
      <c r="A86" s="1" t="s">
        <v>1282</v>
      </c>
      <c r="B86" s="1" t="s">
        <v>2333</v>
      </c>
      <c r="C86" s="1" t="s">
        <v>2334</v>
      </c>
      <c r="D86" s="1" t="s">
        <v>1949</v>
      </c>
      <c r="E86" s="1" t="s">
        <v>45</v>
      </c>
      <c r="F86" s="1" t="s">
        <v>45</v>
      </c>
      <c r="G86" s="1" t="s">
        <v>46</v>
      </c>
    </row>
    <row r="87">
      <c r="A87" s="1" t="s">
        <v>1286</v>
      </c>
      <c r="B87" s="1" t="s">
        <v>2335</v>
      </c>
      <c r="C87" s="1" t="s">
        <v>2336</v>
      </c>
      <c r="D87" s="1" t="s">
        <v>1989</v>
      </c>
      <c r="E87" s="1" t="s">
        <v>33</v>
      </c>
      <c r="F87" s="1" t="s">
        <v>33</v>
      </c>
      <c r="G87" s="1" t="s">
        <v>34</v>
      </c>
    </row>
    <row r="88">
      <c r="A88" s="1" t="s">
        <v>1292</v>
      </c>
      <c r="B88" s="1" t="s">
        <v>2338</v>
      </c>
      <c r="C88" s="1" t="s">
        <v>1496</v>
      </c>
      <c r="D88" s="1" t="s">
        <v>1977</v>
      </c>
      <c r="E88" s="1" t="s">
        <v>109</v>
      </c>
      <c r="F88" s="1" t="s">
        <v>62</v>
      </c>
      <c r="G88" s="1" t="s">
        <v>63</v>
      </c>
    </row>
    <row r="89">
      <c r="A89" s="1" t="s">
        <v>1299</v>
      </c>
      <c r="B89" s="1" t="s">
        <v>2342</v>
      </c>
      <c r="C89" s="1" t="s">
        <v>2343</v>
      </c>
      <c r="D89" s="1" t="s">
        <v>1949</v>
      </c>
      <c r="E89" s="1" t="s">
        <v>109</v>
      </c>
      <c r="F89" s="1" t="s">
        <v>62</v>
      </c>
      <c r="G89" s="1" t="s">
        <v>63</v>
      </c>
    </row>
    <row r="90">
      <c r="A90" s="1" t="s">
        <v>1309</v>
      </c>
      <c r="B90" s="1" t="s">
        <v>2346</v>
      </c>
      <c r="C90" s="1" t="s">
        <v>2347</v>
      </c>
      <c r="D90" s="1" t="s">
        <v>1977</v>
      </c>
      <c r="E90" s="1" t="s">
        <v>26</v>
      </c>
      <c r="F90" s="1" t="s">
        <v>26</v>
      </c>
      <c r="G90" s="1" t="s">
        <v>27</v>
      </c>
    </row>
    <row r="91">
      <c r="A91" s="1" t="s">
        <v>1328</v>
      </c>
      <c r="B91" s="1" t="s">
        <v>2352</v>
      </c>
      <c r="C91" s="1" t="s">
        <v>2354</v>
      </c>
      <c r="D91" s="1" t="s">
        <v>1949</v>
      </c>
      <c r="E91" s="1" t="s">
        <v>72</v>
      </c>
      <c r="F91" s="1" t="s">
        <v>62</v>
      </c>
      <c r="G91" s="1" t="s">
        <v>63</v>
      </c>
    </row>
    <row r="92">
      <c r="A92" s="1" t="s">
        <v>1335</v>
      </c>
      <c r="B92" s="1" t="s">
        <v>2355</v>
      </c>
      <c r="C92" s="1" t="s">
        <v>2357</v>
      </c>
      <c r="D92" s="1" t="s">
        <v>1963</v>
      </c>
      <c r="E92" s="1" t="s">
        <v>61</v>
      </c>
      <c r="F92" s="1" t="s">
        <v>62</v>
      </c>
      <c r="G92" s="1" t="s">
        <v>63</v>
      </c>
    </row>
    <row r="93">
      <c r="A93" s="1" t="s">
        <v>1347</v>
      </c>
      <c r="B93" s="1" t="s">
        <v>2361</v>
      </c>
      <c r="C93" s="1" t="s">
        <v>2362</v>
      </c>
      <c r="D93" s="1" t="s">
        <v>1949</v>
      </c>
      <c r="E93" s="1" t="s">
        <v>33</v>
      </c>
      <c r="F93" s="1" t="s">
        <v>33</v>
      </c>
      <c r="G93" s="1" t="s">
        <v>34</v>
      </c>
    </row>
    <row r="94">
      <c r="A94" s="1" t="s">
        <v>1366</v>
      </c>
      <c r="B94" s="1" t="s">
        <v>2363</v>
      </c>
      <c r="C94" s="1" t="s">
        <v>2364</v>
      </c>
      <c r="D94" s="1" t="s">
        <v>1949</v>
      </c>
      <c r="E94" s="1" t="s">
        <v>61</v>
      </c>
      <c r="F94" s="1" t="s">
        <v>62</v>
      </c>
      <c r="G94" s="1" t="s">
        <v>63</v>
      </c>
    </row>
    <row r="95">
      <c r="A95" s="1" t="s">
        <v>1375</v>
      </c>
      <c r="B95" s="1" t="s">
        <v>2369</v>
      </c>
      <c r="C95" s="1" t="s">
        <v>2370</v>
      </c>
      <c r="D95" s="1" t="s">
        <v>1989</v>
      </c>
      <c r="E95" s="1" t="s">
        <v>158</v>
      </c>
      <c r="F95" s="1" t="s">
        <v>158</v>
      </c>
      <c r="G95" s="1" t="s">
        <v>159</v>
      </c>
    </row>
    <row r="96">
      <c r="A96" s="1" t="s">
        <v>2371</v>
      </c>
      <c r="B96" s="1" t="s">
        <v>2372</v>
      </c>
      <c r="C96" s="1" t="s">
        <v>2373</v>
      </c>
      <c r="D96" s="1" t="s">
        <v>1963</v>
      </c>
      <c r="E96" s="1" t="s">
        <v>39</v>
      </c>
      <c r="F96" s="1" t="s">
        <v>39</v>
      </c>
      <c r="G96" s="1" t="s">
        <v>40</v>
      </c>
    </row>
    <row r="97">
      <c r="A97" s="1" t="s">
        <v>1381</v>
      </c>
      <c r="B97" s="1" t="s">
        <v>2374</v>
      </c>
      <c r="C97" s="1" t="s">
        <v>2376</v>
      </c>
      <c r="D97" s="1" t="s">
        <v>1963</v>
      </c>
      <c r="E97" s="1" t="s">
        <v>33</v>
      </c>
      <c r="F97" s="1" t="s">
        <v>33</v>
      </c>
      <c r="G97" s="1" t="s">
        <v>34</v>
      </c>
    </row>
    <row r="98">
      <c r="A98" s="1" t="s">
        <v>1390</v>
      </c>
      <c r="B98" s="1" t="s">
        <v>2381</v>
      </c>
      <c r="C98" s="1" t="s">
        <v>2383</v>
      </c>
      <c r="D98" s="1" t="s">
        <v>1977</v>
      </c>
      <c r="E98" s="1" t="s">
        <v>194</v>
      </c>
      <c r="F98" s="1" t="s">
        <v>62</v>
      </c>
      <c r="G98" s="1" t="s">
        <v>63</v>
      </c>
    </row>
    <row r="99">
      <c r="A99" s="1" t="s">
        <v>1397</v>
      </c>
      <c r="B99" s="1" t="s">
        <v>2386</v>
      </c>
      <c r="C99" s="1" t="s">
        <v>2387</v>
      </c>
      <c r="D99" s="1" t="s">
        <v>1963</v>
      </c>
      <c r="E99" s="1" t="s">
        <v>39</v>
      </c>
      <c r="F99" s="1" t="s">
        <v>39</v>
      </c>
      <c r="G99" s="1" t="s">
        <v>40</v>
      </c>
    </row>
    <row r="100">
      <c r="A100" s="1" t="s">
        <v>1409</v>
      </c>
      <c r="B100" s="1" t="s">
        <v>2392</v>
      </c>
      <c r="C100" s="1" t="s">
        <v>2393</v>
      </c>
      <c r="D100" s="1" t="s">
        <v>1989</v>
      </c>
      <c r="E100" s="1" t="s">
        <v>56</v>
      </c>
      <c r="F100" s="1" t="s">
        <v>39</v>
      </c>
      <c r="G100" s="1" t="s">
        <v>40</v>
      </c>
    </row>
    <row r="101">
      <c r="A101" s="1" t="s">
        <v>1415</v>
      </c>
      <c r="B101" s="1" t="s">
        <v>2394</v>
      </c>
      <c r="C101" s="1" t="s">
        <v>2395</v>
      </c>
      <c r="D101" s="1" t="s">
        <v>1963</v>
      </c>
      <c r="E101" s="1" t="s">
        <v>18</v>
      </c>
      <c r="F101" s="1" t="s">
        <v>18</v>
      </c>
      <c r="G101" s="1" t="s">
        <v>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4" max="4" width="16.5"/>
  </cols>
  <sheetData>
    <row r="1">
      <c r="A1" s="1" t="s">
        <v>281</v>
      </c>
      <c r="B1" s="1" t="s">
        <v>2559</v>
      </c>
      <c r="C1" s="1" t="s">
        <v>2560</v>
      </c>
      <c r="D1" s="1" t="s">
        <v>2561</v>
      </c>
    </row>
    <row r="2">
      <c r="A2" s="1" t="s">
        <v>485</v>
      </c>
      <c r="B2" s="1" t="s">
        <v>2562</v>
      </c>
      <c r="C2" s="1" t="s">
        <v>2563</v>
      </c>
      <c r="D2" s="1">
        <v>950000.0</v>
      </c>
    </row>
    <row r="3">
      <c r="A3" s="1" t="s">
        <v>450</v>
      </c>
      <c r="B3" s="1" t="s">
        <v>2565</v>
      </c>
      <c r="C3" s="1" t="s">
        <v>2563</v>
      </c>
      <c r="D3" s="1">
        <v>1350000.0</v>
      </c>
    </row>
    <row r="4">
      <c r="A4" s="1" t="s">
        <v>445</v>
      </c>
      <c r="B4" s="1" t="s">
        <v>2572</v>
      </c>
      <c r="C4" s="1" t="s">
        <v>2573</v>
      </c>
      <c r="D4" s="1">
        <v>1450000.0</v>
      </c>
    </row>
    <row r="5">
      <c r="A5" s="1" t="s">
        <v>343</v>
      </c>
      <c r="B5" s="1" t="s">
        <v>2574</v>
      </c>
      <c r="C5" s="1" t="s">
        <v>2575</v>
      </c>
      <c r="D5" s="1">
        <v>2800000.0</v>
      </c>
    </row>
    <row r="6">
      <c r="A6" s="1" t="s">
        <v>365</v>
      </c>
      <c r="B6" s="1" t="s">
        <v>2576</v>
      </c>
      <c r="C6" s="1" t="s">
        <v>2577</v>
      </c>
      <c r="D6" s="1">
        <v>1100000.0</v>
      </c>
    </row>
    <row r="7">
      <c r="A7" s="1" t="s">
        <v>570</v>
      </c>
      <c r="B7" s="1" t="s">
        <v>2581</v>
      </c>
      <c r="C7" s="1" t="s">
        <v>2583</v>
      </c>
      <c r="D7" s="1">
        <v>1450000.0</v>
      </c>
    </row>
    <row r="8">
      <c r="A8" s="1" t="s">
        <v>573</v>
      </c>
      <c r="B8" s="1" t="s">
        <v>2584</v>
      </c>
      <c r="C8" s="1" t="s">
        <v>2583</v>
      </c>
      <c r="D8" s="1">
        <v>490000.0</v>
      </c>
    </row>
    <row r="9">
      <c r="A9" s="1" t="s">
        <v>474</v>
      </c>
      <c r="B9" s="1" t="s">
        <v>2588</v>
      </c>
      <c r="C9" s="1" t="s">
        <v>2563</v>
      </c>
      <c r="D9" s="1">
        <v>980000.0</v>
      </c>
    </row>
    <row r="10">
      <c r="A10" s="1" t="s">
        <v>590</v>
      </c>
      <c r="B10" s="1" t="s">
        <v>2589</v>
      </c>
      <c r="C10" s="1" t="s">
        <v>2575</v>
      </c>
      <c r="D10" s="1">
        <v>620000.0</v>
      </c>
    </row>
    <row r="11">
      <c r="A11" s="1" t="s">
        <v>414</v>
      </c>
      <c r="B11" s="1" t="s">
        <v>2594</v>
      </c>
      <c r="C11" s="1" t="s">
        <v>2575</v>
      </c>
      <c r="D11" s="1">
        <v>4200000.0</v>
      </c>
    </row>
    <row r="12">
      <c r="A12" s="1" t="s">
        <v>497</v>
      </c>
      <c r="B12" s="1" t="s">
        <v>2595</v>
      </c>
      <c r="C12" s="1" t="s">
        <v>2577</v>
      </c>
      <c r="D12" s="1">
        <v>5900000.0</v>
      </c>
    </row>
    <row r="13">
      <c r="A13" s="1" t="s">
        <v>506</v>
      </c>
      <c r="B13" s="1" t="s">
        <v>2596</v>
      </c>
      <c r="C13" s="1" t="s">
        <v>2583</v>
      </c>
      <c r="D13" s="1">
        <v>85000.0</v>
      </c>
    </row>
    <row r="14">
      <c r="A14" s="1" t="s">
        <v>549</v>
      </c>
      <c r="B14" s="1" t="s">
        <v>2597</v>
      </c>
      <c r="C14" s="1" t="s">
        <v>2563</v>
      </c>
      <c r="D14" s="1">
        <v>1200000.0</v>
      </c>
    </row>
    <row r="15">
      <c r="A15" s="1" t="s">
        <v>443</v>
      </c>
      <c r="B15" s="1" t="s">
        <v>2605</v>
      </c>
      <c r="C15" s="1" t="s">
        <v>2573</v>
      </c>
      <c r="D15" s="1">
        <v>1650000.0</v>
      </c>
    </row>
    <row r="16">
      <c r="A16" s="1" t="s">
        <v>294</v>
      </c>
      <c r="B16" s="1" t="s">
        <v>2607</v>
      </c>
      <c r="C16" s="1" t="s">
        <v>2583</v>
      </c>
      <c r="D16" s="1">
        <v>2100000.0</v>
      </c>
    </row>
    <row r="17">
      <c r="A17" s="1" t="s">
        <v>627</v>
      </c>
      <c r="B17" s="1" t="s">
        <v>2608</v>
      </c>
      <c r="C17" s="1" t="s">
        <v>2577</v>
      </c>
      <c r="D17" s="1">
        <v>1450000.0</v>
      </c>
    </row>
    <row r="18">
      <c r="A18" s="1" t="s">
        <v>448</v>
      </c>
      <c r="B18" s="1" t="s">
        <v>2612</v>
      </c>
      <c r="C18" s="1" t="s">
        <v>2583</v>
      </c>
      <c r="D18" s="1">
        <v>185000.0</v>
      </c>
    </row>
    <row r="19">
      <c r="A19" s="1" t="s">
        <v>434</v>
      </c>
      <c r="B19" s="1" t="s">
        <v>2617</v>
      </c>
      <c r="C19" s="1" t="s">
        <v>2575</v>
      </c>
      <c r="D19" s="1">
        <v>1150000.0</v>
      </c>
    </row>
    <row r="20">
      <c r="A20" s="1" t="s">
        <v>372</v>
      </c>
      <c r="B20" s="1" t="s">
        <v>2618</v>
      </c>
      <c r="C20" s="1" t="s">
        <v>2573</v>
      </c>
      <c r="D20" s="1">
        <v>2200000.0</v>
      </c>
    </row>
    <row r="21">
      <c r="A21" s="1" t="s">
        <v>460</v>
      </c>
      <c r="B21" s="1" t="s">
        <v>2622</v>
      </c>
      <c r="C21" s="1" t="s">
        <v>2577</v>
      </c>
      <c r="D21" s="1">
        <v>890000.0</v>
      </c>
    </row>
    <row r="22">
      <c r="A22" s="1" t="s">
        <v>358</v>
      </c>
      <c r="B22" s="1" t="s">
        <v>2624</v>
      </c>
      <c r="C22" s="1" t="s">
        <v>2583</v>
      </c>
      <c r="D22" s="1">
        <v>540000.0</v>
      </c>
    </row>
    <row r="23">
      <c r="A23" s="1" t="s">
        <v>381</v>
      </c>
      <c r="B23" s="1" t="s">
        <v>2626</v>
      </c>
      <c r="C23" s="1" t="s">
        <v>2563</v>
      </c>
      <c r="D23" s="1">
        <v>350000.0</v>
      </c>
    </row>
    <row r="24">
      <c r="A24" s="1" t="s">
        <v>418</v>
      </c>
      <c r="B24" s="1" t="s">
        <v>2631</v>
      </c>
      <c r="C24" s="1" t="s">
        <v>2575</v>
      </c>
      <c r="D24" s="1">
        <v>3100000.0</v>
      </c>
    </row>
    <row r="25">
      <c r="A25" s="1" t="s">
        <v>431</v>
      </c>
      <c r="B25" s="1" t="s">
        <v>2632</v>
      </c>
      <c r="C25" s="1" t="s">
        <v>2583</v>
      </c>
      <c r="D25" s="1">
        <v>320000.0</v>
      </c>
    </row>
    <row r="26">
      <c r="A26" s="1" t="s">
        <v>383</v>
      </c>
      <c r="B26" s="1" t="s">
        <v>2633</v>
      </c>
      <c r="C26" s="1" t="s">
        <v>2573</v>
      </c>
      <c r="D26" s="1">
        <v>1250000.0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5" max="5" width="16.0"/>
  </cols>
  <sheetData>
    <row r="1">
      <c r="A1" s="1" t="s">
        <v>283</v>
      </c>
      <c r="B1" s="1" t="s">
        <v>2658</v>
      </c>
      <c r="C1" s="1" t="s">
        <v>4</v>
      </c>
      <c r="D1" s="1" t="s">
        <v>5</v>
      </c>
      <c r="E1" s="1" t="s">
        <v>2663</v>
      </c>
    </row>
    <row r="2">
      <c r="A2" s="1" t="s">
        <v>479</v>
      </c>
      <c r="B2" s="1" t="s">
        <v>2667</v>
      </c>
      <c r="C2" s="1" t="s">
        <v>194</v>
      </c>
      <c r="D2" s="1" t="s">
        <v>62</v>
      </c>
      <c r="E2" s="1" t="s">
        <v>2669</v>
      </c>
    </row>
    <row r="3">
      <c r="A3" s="1" t="s">
        <v>550</v>
      </c>
      <c r="B3" s="1" t="s">
        <v>2670</v>
      </c>
      <c r="C3" s="1" t="s">
        <v>72</v>
      </c>
      <c r="D3" s="1" t="s">
        <v>62</v>
      </c>
      <c r="E3" s="1" t="s">
        <v>2669</v>
      </c>
    </row>
    <row r="4">
      <c r="A4" s="1" t="s">
        <v>494</v>
      </c>
      <c r="B4" s="1" t="s">
        <v>2671</v>
      </c>
      <c r="C4" s="1" t="s">
        <v>61</v>
      </c>
      <c r="D4" s="1" t="s">
        <v>62</v>
      </c>
      <c r="E4" s="1" t="s">
        <v>2672</v>
      </c>
    </row>
    <row r="5">
      <c r="A5" s="1" t="s">
        <v>359</v>
      </c>
      <c r="B5" s="1" t="s">
        <v>2677</v>
      </c>
      <c r="C5" s="1" t="s">
        <v>25</v>
      </c>
      <c r="D5" s="1" t="s">
        <v>26</v>
      </c>
      <c r="E5" s="1" t="s">
        <v>2682</v>
      </c>
    </row>
    <row r="6">
      <c r="A6" s="1" t="s">
        <v>574</v>
      </c>
      <c r="B6" s="1" t="s">
        <v>2683</v>
      </c>
      <c r="C6" s="1" t="s">
        <v>39</v>
      </c>
      <c r="D6" s="1" t="s">
        <v>39</v>
      </c>
      <c r="E6" s="1" t="s">
        <v>2684</v>
      </c>
    </row>
    <row r="7">
      <c r="A7" s="1" t="s">
        <v>366</v>
      </c>
      <c r="B7" s="1" t="s">
        <v>2685</v>
      </c>
      <c r="C7" s="1" t="s">
        <v>158</v>
      </c>
      <c r="D7" s="1" t="s">
        <v>158</v>
      </c>
      <c r="E7" s="1" t="s">
        <v>2687</v>
      </c>
    </row>
    <row r="8">
      <c r="A8" s="1" t="s">
        <v>461</v>
      </c>
      <c r="B8" s="1" t="s">
        <v>2692</v>
      </c>
      <c r="C8" s="1" t="s">
        <v>45</v>
      </c>
      <c r="D8" s="1" t="s">
        <v>45</v>
      </c>
      <c r="E8" s="1" t="s">
        <v>2684</v>
      </c>
    </row>
    <row r="9">
      <c r="A9" s="1" t="s">
        <v>432</v>
      </c>
      <c r="B9" s="1" t="s">
        <v>2696</v>
      </c>
      <c r="C9" s="1" t="s">
        <v>33</v>
      </c>
      <c r="D9" s="1" t="s">
        <v>33</v>
      </c>
      <c r="E9" s="1" t="s">
        <v>2697</v>
      </c>
    </row>
    <row r="10">
      <c r="A10" s="1" t="s">
        <v>488</v>
      </c>
      <c r="B10" s="1" t="s">
        <v>2702</v>
      </c>
      <c r="C10" s="1" t="s">
        <v>18</v>
      </c>
      <c r="D10" s="1" t="s">
        <v>18</v>
      </c>
      <c r="E10" s="1" t="s">
        <v>2687</v>
      </c>
    </row>
    <row r="11">
      <c r="A11" s="1" t="s">
        <v>295</v>
      </c>
      <c r="B11" s="1" t="s">
        <v>2705</v>
      </c>
      <c r="C11" s="1" t="s">
        <v>109</v>
      </c>
      <c r="D11" s="1" t="s">
        <v>62</v>
      </c>
      <c r="E11" s="1" t="s">
        <v>2669</v>
      </c>
    </row>
    <row r="12">
      <c r="A12" s="1" t="s">
        <v>416</v>
      </c>
      <c r="B12" s="1" t="s">
        <v>2708</v>
      </c>
      <c r="C12" s="1" t="s">
        <v>118</v>
      </c>
      <c r="D12" s="1" t="s">
        <v>62</v>
      </c>
      <c r="E12" s="1" t="s">
        <v>2709</v>
      </c>
    </row>
    <row r="13">
      <c r="A13" s="1" t="s">
        <v>419</v>
      </c>
      <c r="B13" s="1" t="s">
        <v>2710</v>
      </c>
      <c r="C13" s="1" t="s">
        <v>56</v>
      </c>
      <c r="D13" s="1" t="s">
        <v>39</v>
      </c>
      <c r="E13" s="1" t="s">
        <v>2684</v>
      </c>
    </row>
    <row r="14">
      <c r="A14" s="1" t="s">
        <v>543</v>
      </c>
      <c r="B14" s="1" t="s">
        <v>2711</v>
      </c>
      <c r="C14" s="1" t="s">
        <v>26</v>
      </c>
      <c r="D14" s="1" t="s">
        <v>26</v>
      </c>
      <c r="E14" s="1" t="s">
        <v>2682</v>
      </c>
    </row>
    <row r="15">
      <c r="A15" s="1" t="s">
        <v>382</v>
      </c>
      <c r="B15" s="1" t="s">
        <v>2716</v>
      </c>
      <c r="C15" s="1" t="s">
        <v>2719</v>
      </c>
      <c r="D15" s="1" t="s">
        <v>2719</v>
      </c>
      <c r="E15" s="1" t="s">
        <v>2722</v>
      </c>
    </row>
    <row r="16">
      <c r="A16" s="1" t="s">
        <v>409</v>
      </c>
      <c r="B16" s="1" t="s">
        <v>2723</v>
      </c>
      <c r="C16" s="1" t="s">
        <v>2724</v>
      </c>
      <c r="D16" s="1" t="s">
        <v>2724</v>
      </c>
      <c r="E16" s="1" t="s">
        <v>2725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38"/>
    <col customWidth="1" min="4" max="4" width="23.25"/>
    <col customWidth="1" min="7" max="7" width="16.88"/>
    <col customWidth="1" min="8" max="8" width="18.25"/>
    <col customWidth="1" min="10" max="10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J1" s="1" t="s">
        <v>2788</v>
      </c>
    </row>
    <row r="2">
      <c r="A2" s="9" t="str">
        <f>IFERROR(__xludf.DUMMYFUNCTION("SORT(FILTER(Dataset_limpio_A2!A2:H1001, Dataset_limpio_A2!G2:G1001=""Región Metropolitana"", Dataset_limpio_A2!H2:H1001&gt;1000000), 8, FALSE)"),"CLI-0930")</f>
        <v>CLI-0930</v>
      </c>
      <c r="B2" s="9" t="str">
        <f>IFERROR(__xludf.DUMMYFUNCTION("""COMPUTED_VALUE"""),"14.652.289-K")</f>
        <v>14.652.289-K</v>
      </c>
      <c r="C2" s="9" t="str">
        <f>IFERROR(__xludf.DUMMYFUNCTION("""COMPUTED_VALUE"""),"Matías Rojas Espinoza")</f>
        <v>Matías Rojas Espinoza</v>
      </c>
      <c r="D2" s="9" t="str">
        <f>IFERROR(__xludf.DUMMYFUNCTION("""COMPUTED_VALUE"""),"mat.rojas@servicios.cl")</f>
        <v>mat.rojas@servicios.cl</v>
      </c>
      <c r="E2" s="9" t="str">
        <f>IFERROR(__xludf.DUMMYFUNCTION("""COMPUTED_VALUE"""),"Las Condes")</f>
        <v>Las Condes</v>
      </c>
      <c r="F2" s="9" t="str">
        <f>IFERROR(__xludf.DUMMYFUNCTION("""COMPUTED_VALUE"""),"Santiago")</f>
        <v>Santiago</v>
      </c>
      <c r="G2" s="9" t="str">
        <f>IFERROR(__xludf.DUMMYFUNCTION("""COMPUTED_VALUE"""),"Región Metropolitana")</f>
        <v>Región Metropolitana</v>
      </c>
      <c r="H2" s="10">
        <f>IFERROR(__xludf.DUMMYFUNCTION("""COMPUTED_VALUE"""),2.2E7)</f>
        <v>22000000</v>
      </c>
      <c r="J2" s="9" t="str">
        <f t="array" ref="J2:J15">UNIQUE(Dataset_limpio_A2!E$2:E$1000)</f>
        <v>Talcahuano</v>
      </c>
    </row>
    <row r="3">
      <c r="A3" s="9" t="str">
        <f>IFERROR(__xludf.DUMMYFUNCTION("""COMPUTED_VALUE"""),"CLI-0526")</f>
        <v>CLI-0526</v>
      </c>
      <c r="B3" s="9" t="str">
        <f>IFERROR(__xludf.DUMMYFUNCTION("""COMPUTED_VALUE"""),"15.570.317-9")</f>
        <v>15.570.317-9</v>
      </c>
      <c r="C3" s="9" t="str">
        <f>IFERROR(__xludf.DUMMYFUNCTION("""COMPUTED_VALUE"""),"Diego Araya Morales")</f>
        <v>Diego Araya Morales</v>
      </c>
      <c r="D3" s="9" t="str">
        <f>IFERROR(__xludf.DUMMYFUNCTION("""COMPUTED_VALUE"""),"die.araya@gmail.com")</f>
        <v>die.araya@gmail.com</v>
      </c>
      <c r="E3" s="9" t="str">
        <f>IFERROR(__xludf.DUMMYFUNCTION("""COMPUTED_VALUE"""),"Las Condes")</f>
        <v>Las Condes</v>
      </c>
      <c r="F3" s="9" t="str">
        <f>IFERROR(__xludf.DUMMYFUNCTION("""COMPUTED_VALUE"""),"Santiago")</f>
        <v>Santiago</v>
      </c>
      <c r="G3" s="9" t="str">
        <f>IFERROR(__xludf.DUMMYFUNCTION("""COMPUTED_VALUE"""),"Región Metropolitana")</f>
        <v>Región Metropolitana</v>
      </c>
      <c r="H3" s="10">
        <f>IFERROR(__xludf.DUMMYFUNCTION("""COMPUTED_VALUE"""),2.193E7)</f>
        <v>21930000</v>
      </c>
      <c r="J3" s="9" t="s">
        <v>158</v>
      </c>
    </row>
    <row r="4">
      <c r="A4" s="9" t="str">
        <f>IFERROR(__xludf.DUMMYFUNCTION("""COMPUTED_VALUE"""),"CLI-0658")</f>
        <v>CLI-0658</v>
      </c>
      <c r="B4" s="9" t="str">
        <f>IFERROR(__xludf.DUMMYFUNCTION("""COMPUTED_VALUE"""),"19.527.046-6")</f>
        <v>19.527.046-6</v>
      </c>
      <c r="C4" s="9" t="str">
        <f>IFERROR(__xludf.DUMMYFUNCTION("""COMPUTED_VALUE"""),"Matías Muñoz Fuentes")</f>
        <v>Matías Muñoz Fuentes</v>
      </c>
      <c r="D4" s="9" t="str">
        <f>IFERROR(__xludf.DUMMYFUNCTION("""COMPUTED_VALUE"""),"mat.muñoz@gmail.com")</f>
        <v>mat.muñoz@gmail.com</v>
      </c>
      <c r="E4" s="9" t="str">
        <f>IFERROR(__xludf.DUMMYFUNCTION("""COMPUTED_VALUE"""),"Santiago Centro")</f>
        <v>Santiago Centro</v>
      </c>
      <c r="F4" s="9" t="str">
        <f>IFERROR(__xludf.DUMMYFUNCTION("""COMPUTED_VALUE"""),"Santiago")</f>
        <v>Santiago</v>
      </c>
      <c r="G4" s="9" t="str">
        <f>IFERROR(__xludf.DUMMYFUNCTION("""COMPUTED_VALUE"""),"Región Metropolitana")</f>
        <v>Región Metropolitana</v>
      </c>
      <c r="H4" s="10">
        <f>IFERROR(__xludf.DUMMYFUNCTION("""COMPUTED_VALUE"""),2.192E7)</f>
        <v>21920000</v>
      </c>
      <c r="J4" s="9" t="s">
        <v>33</v>
      </c>
    </row>
    <row r="5">
      <c r="A5" s="9" t="str">
        <f>IFERROR(__xludf.DUMMYFUNCTION("""COMPUTED_VALUE"""),"CLI-0040")</f>
        <v>CLI-0040</v>
      </c>
      <c r="B5" s="9" t="str">
        <f>IFERROR(__xludf.DUMMYFUNCTION("""COMPUTED_VALUE"""),"19.552.605-0")</f>
        <v>19.552.605-0</v>
      </c>
      <c r="C5" s="9" t="str">
        <f>IFERROR(__xludf.DUMMYFUNCTION("""COMPUTED_VALUE"""),"Sebastián Díaz Araya")</f>
        <v>Sebastián Díaz Araya</v>
      </c>
      <c r="D5" s="9" t="str">
        <f>IFERROR(__xludf.DUMMYFUNCTION("""COMPUTED_VALUE"""),"seb.díaz@outlook.cl")</f>
        <v>seb.díaz@outlook.cl</v>
      </c>
      <c r="E5" s="9" t="str">
        <f>IFERROR(__xludf.DUMMYFUNCTION("""COMPUTED_VALUE"""),"Ñuñoa")</f>
        <v>Ñuñoa</v>
      </c>
      <c r="F5" s="9" t="str">
        <f>IFERROR(__xludf.DUMMYFUNCTION("""COMPUTED_VALUE"""),"Santiago")</f>
        <v>Santiago</v>
      </c>
      <c r="G5" s="9" t="str">
        <f>IFERROR(__xludf.DUMMYFUNCTION("""COMPUTED_VALUE"""),"Región Metropolitana")</f>
        <v>Región Metropolitana</v>
      </c>
      <c r="H5" s="10">
        <f>IFERROR(__xludf.DUMMYFUNCTION("""COMPUTED_VALUE"""),2.178E7)</f>
        <v>21780000</v>
      </c>
      <c r="J5" s="9" t="s">
        <v>194</v>
      </c>
    </row>
    <row r="6">
      <c r="A6" s="9" t="str">
        <f>IFERROR(__xludf.DUMMYFUNCTION("""COMPUTED_VALUE"""),"CLI-0282")</f>
        <v>CLI-0282</v>
      </c>
      <c r="B6" s="9" t="str">
        <f>IFERROR(__xludf.DUMMYFUNCTION("""COMPUTED_VALUE"""),"17.108.951-7")</f>
        <v>17.108.951-7</v>
      </c>
      <c r="C6" s="9" t="str">
        <f>IFERROR(__xludf.DUMMYFUNCTION("""COMPUTED_VALUE"""),"Rodrigo López Soto")</f>
        <v>Rodrigo López Soto</v>
      </c>
      <c r="D6" s="9" t="str">
        <f>IFERROR(__xludf.DUMMYFUNCTION("""COMPUTED_VALUE"""),"rod.lópez@empresa.cl")</f>
        <v>rod.lópez@empresa.cl</v>
      </c>
      <c r="E6" s="9" t="str">
        <f>IFERROR(__xludf.DUMMYFUNCTION("""COMPUTED_VALUE"""),"Ñuñoa")</f>
        <v>Ñuñoa</v>
      </c>
      <c r="F6" s="9" t="str">
        <f>IFERROR(__xludf.DUMMYFUNCTION("""COMPUTED_VALUE"""),"Santiago")</f>
        <v>Santiago</v>
      </c>
      <c r="G6" s="9" t="str">
        <f>IFERROR(__xludf.DUMMYFUNCTION("""COMPUTED_VALUE"""),"Región Metropolitana")</f>
        <v>Región Metropolitana</v>
      </c>
      <c r="H6" s="10">
        <f>IFERROR(__xludf.DUMMYFUNCTION("""COMPUTED_VALUE"""),2.174E7)</f>
        <v>21740000</v>
      </c>
      <c r="J6" s="9" t="s">
        <v>18</v>
      </c>
    </row>
    <row r="7">
      <c r="A7" s="9" t="str">
        <f>IFERROR(__xludf.DUMMYFUNCTION("""COMPUTED_VALUE"""),"CLI-0455")</f>
        <v>CLI-0455</v>
      </c>
      <c r="B7" s="9" t="str">
        <f>IFERROR(__xludf.DUMMYFUNCTION("""COMPUTED_VALUE"""),"12.842.943-K")</f>
        <v>12.842.943-K</v>
      </c>
      <c r="C7" s="9" t="str">
        <f>IFERROR(__xludf.DUMMYFUNCTION("""COMPUTED_VALUE"""),"Constanza Muñoz López")</f>
        <v>Constanza Muñoz López</v>
      </c>
      <c r="D7" s="9" t="str">
        <f>IFERROR(__xludf.DUMMYFUNCTION("""COMPUTED_VALUE"""),"con.muñoz@sura.cl")</f>
        <v>con.muñoz@sura.cl</v>
      </c>
      <c r="E7" s="9" t="str">
        <f>IFERROR(__xludf.DUMMYFUNCTION("""COMPUTED_VALUE"""),"Maipú")</f>
        <v>Maipú</v>
      </c>
      <c r="F7" s="9" t="str">
        <f>IFERROR(__xludf.DUMMYFUNCTION("""COMPUTED_VALUE"""),"Santiago")</f>
        <v>Santiago</v>
      </c>
      <c r="G7" s="9" t="str">
        <f>IFERROR(__xludf.DUMMYFUNCTION("""COMPUTED_VALUE"""),"Región Metropolitana")</f>
        <v>Región Metropolitana</v>
      </c>
      <c r="H7" s="10">
        <f>IFERROR(__xludf.DUMMYFUNCTION("""COMPUTED_VALUE"""),2.173E7)</f>
        <v>21730000</v>
      </c>
      <c r="J7" s="9" t="s">
        <v>26</v>
      </c>
    </row>
    <row r="8">
      <c r="A8" s="9" t="str">
        <f>IFERROR(__xludf.DUMMYFUNCTION("""COMPUTED_VALUE"""),"CLI-0427")</f>
        <v>CLI-0427</v>
      </c>
      <c r="B8" s="9" t="str">
        <f>IFERROR(__xludf.DUMMYFUNCTION("""COMPUTED_VALUE"""),"19.079.232-2")</f>
        <v>19.079.232-2</v>
      </c>
      <c r="C8" s="9" t="str">
        <f>IFERROR(__xludf.DUMMYFUNCTION("""COMPUTED_VALUE"""),"Beatriz Araya Valenzuela")</f>
        <v>Beatriz Araya Valenzuela</v>
      </c>
      <c r="D8" s="9" t="str">
        <f>IFERROR(__xludf.DUMMYFUNCTION("""COMPUTED_VALUE"""),"bea.araya@consultora.cl")</f>
        <v>bea.araya@consultora.cl</v>
      </c>
      <c r="E8" s="9" t="str">
        <f>IFERROR(__xludf.DUMMYFUNCTION("""COMPUTED_VALUE"""),"Maipú")</f>
        <v>Maipú</v>
      </c>
      <c r="F8" s="9" t="str">
        <f>IFERROR(__xludf.DUMMYFUNCTION("""COMPUTED_VALUE"""),"Santiago")</f>
        <v>Santiago</v>
      </c>
      <c r="G8" s="9" t="str">
        <f>IFERROR(__xludf.DUMMYFUNCTION("""COMPUTED_VALUE"""),"Región Metropolitana")</f>
        <v>Región Metropolitana</v>
      </c>
      <c r="H8" s="10">
        <f>IFERROR(__xludf.DUMMYFUNCTION("""COMPUTED_VALUE"""),2.154E7)</f>
        <v>21540000</v>
      </c>
      <c r="J8" s="9" t="s">
        <v>61</v>
      </c>
    </row>
    <row r="9">
      <c r="A9" s="9" t="str">
        <f>IFERROR(__xludf.DUMMYFUNCTION("""COMPUTED_VALUE"""),"CLI-0214")</f>
        <v>CLI-0214</v>
      </c>
      <c r="B9" s="9" t="str">
        <f>IFERROR(__xludf.DUMMYFUNCTION("""COMPUTED_VALUE"""),"13.544.045-8")</f>
        <v>13.544.045-8</v>
      </c>
      <c r="C9" s="9" t="str">
        <f>IFERROR(__xludf.DUMMYFUNCTION("""COMPUTED_VALUE"""),"Tomas González Silva")</f>
        <v>Tomas González Silva</v>
      </c>
      <c r="D9" s="9" t="str">
        <f>IFERROR(__xludf.DUMMYFUNCTION("""COMPUTED_VALUE"""),"tom.gonzález@outlook.cl")</f>
        <v>tom.gonzález@outlook.cl</v>
      </c>
      <c r="E9" s="9" t="str">
        <f>IFERROR(__xludf.DUMMYFUNCTION("""COMPUTED_VALUE"""),"Santiago Centro")</f>
        <v>Santiago Centro</v>
      </c>
      <c r="F9" s="9" t="str">
        <f>IFERROR(__xludf.DUMMYFUNCTION("""COMPUTED_VALUE"""),"Santiago")</f>
        <v>Santiago</v>
      </c>
      <c r="G9" s="9" t="str">
        <f>IFERROR(__xludf.DUMMYFUNCTION("""COMPUTED_VALUE"""),"Región Metropolitana")</f>
        <v>Región Metropolitana</v>
      </c>
      <c r="H9" s="10">
        <f>IFERROR(__xludf.DUMMYFUNCTION("""COMPUTED_VALUE"""),2.154E7)</f>
        <v>21540000</v>
      </c>
      <c r="J9" s="9" t="s">
        <v>118</v>
      </c>
    </row>
    <row r="10">
      <c r="A10" s="9" t="str">
        <f>IFERROR(__xludf.DUMMYFUNCTION("""COMPUTED_VALUE"""),"CLI-0022")</f>
        <v>CLI-0022</v>
      </c>
      <c r="B10" s="9" t="str">
        <f>IFERROR(__xludf.DUMMYFUNCTION("""COMPUTED_VALUE"""),"12.322.581-5")</f>
        <v>12.322.581-5</v>
      </c>
      <c r="C10" s="9" t="str">
        <f>IFERROR(__xludf.DUMMYFUNCTION("""COMPUTED_VALUE"""),"Rodrigo Valenzuela Espinoza")</f>
        <v>Rodrigo Valenzuela Espinoza</v>
      </c>
      <c r="D10" s="9" t="str">
        <f>IFERROR(__xludf.DUMMYFUNCTION("""COMPUTED_VALUE"""),"rod.valenzuela@gmail.com")</f>
        <v>rod.valenzuela@gmail.com</v>
      </c>
      <c r="E10" s="9" t="str">
        <f>IFERROR(__xludf.DUMMYFUNCTION("""COMPUTED_VALUE"""),"Maipú")</f>
        <v>Maipú</v>
      </c>
      <c r="F10" s="9" t="str">
        <f>IFERROR(__xludf.DUMMYFUNCTION("""COMPUTED_VALUE"""),"Santiago")</f>
        <v>Santiago</v>
      </c>
      <c r="G10" s="9" t="str">
        <f>IFERROR(__xludf.DUMMYFUNCTION("""COMPUTED_VALUE"""),"Región Metropolitana")</f>
        <v>Región Metropolitana</v>
      </c>
      <c r="H10" s="10">
        <f>IFERROR(__xludf.DUMMYFUNCTION("""COMPUTED_VALUE"""),2.145E7)</f>
        <v>21450000</v>
      </c>
      <c r="J10" s="9" t="s">
        <v>39</v>
      </c>
    </row>
    <row r="11">
      <c r="A11" s="9" t="str">
        <f>IFERROR(__xludf.DUMMYFUNCTION("""COMPUTED_VALUE"""),"CLI-0907")</f>
        <v>CLI-0907</v>
      </c>
      <c r="B11" s="9" t="str">
        <f>IFERROR(__xludf.DUMMYFUNCTION("""COMPUTED_VALUE"""),"18595218-3")</f>
        <v>18595218-3</v>
      </c>
      <c r="C11" s="9" t="str">
        <f>IFERROR(__xludf.DUMMYFUNCTION("""COMPUTED_VALUE"""),"Catalina Morales Rojas")</f>
        <v>Catalina Morales Rojas</v>
      </c>
      <c r="D11" s="9" t="str">
        <f>IFERROR(__xludf.DUMMYFUNCTION("""COMPUTED_VALUE"""),"cat.morales@servicios.cl")</f>
        <v>cat.morales@servicios.cl</v>
      </c>
      <c r="E11" s="9" t="str">
        <f>IFERROR(__xludf.DUMMYFUNCTION("""COMPUTED_VALUE"""),"Las Condes")</f>
        <v>Las Condes</v>
      </c>
      <c r="F11" s="9" t="str">
        <f>IFERROR(__xludf.DUMMYFUNCTION("""COMPUTED_VALUE"""),"Santiago")</f>
        <v>Santiago</v>
      </c>
      <c r="G11" s="9" t="str">
        <f>IFERROR(__xludf.DUMMYFUNCTION("""COMPUTED_VALUE"""),"Región Metropolitana")</f>
        <v>Región Metropolitana</v>
      </c>
      <c r="H11" s="10">
        <f>IFERROR(__xludf.DUMMYFUNCTION("""COMPUTED_VALUE"""),2.142E7)</f>
        <v>21420000</v>
      </c>
      <c r="J11" s="9" t="s">
        <v>25</v>
      </c>
    </row>
    <row r="12">
      <c r="A12" s="9" t="str">
        <f>IFERROR(__xludf.DUMMYFUNCTION("""COMPUTED_VALUE"""),"CLI-0390")</f>
        <v>CLI-0390</v>
      </c>
      <c r="B12" s="9" t="str">
        <f>IFERROR(__xludf.DUMMYFUNCTION("""COMPUTED_VALUE"""),"13.709.077-9")</f>
        <v>13.709.077-9</v>
      </c>
      <c r="C12" s="9" t="str">
        <f>IFERROR(__xludf.DUMMYFUNCTION("""COMPUTED_VALUE"""),"Cristián Soto Tapia")</f>
        <v>Cristián Soto Tapia</v>
      </c>
      <c r="D12" s="9" t="str">
        <f>IFERROR(__xludf.DUMMYFUNCTION("""COMPUTED_VALUE"""),"cri.soto@gmail.com")</f>
        <v>cri.soto@gmail.com</v>
      </c>
      <c r="E12" s="9" t="str">
        <f>IFERROR(__xludf.DUMMYFUNCTION("""COMPUTED_VALUE"""),"Las Condes")</f>
        <v>Las Condes</v>
      </c>
      <c r="F12" s="9" t="str">
        <f>IFERROR(__xludf.DUMMYFUNCTION("""COMPUTED_VALUE"""),"Santiago")</f>
        <v>Santiago</v>
      </c>
      <c r="G12" s="9" t="str">
        <f>IFERROR(__xludf.DUMMYFUNCTION("""COMPUTED_VALUE"""),"Región Metropolitana")</f>
        <v>Región Metropolitana</v>
      </c>
      <c r="H12" s="10">
        <f>IFERROR(__xludf.DUMMYFUNCTION("""COMPUTED_VALUE"""),2.138E7)</f>
        <v>21380000</v>
      </c>
      <c r="J12" s="9" t="s">
        <v>45</v>
      </c>
    </row>
    <row r="13">
      <c r="A13" s="9" t="str">
        <f>IFERROR(__xludf.DUMMYFUNCTION("""COMPUTED_VALUE"""),"CLI-0119")</f>
        <v>CLI-0119</v>
      </c>
      <c r="B13" s="9" t="str">
        <f>IFERROR(__xludf.DUMMYFUNCTION("""COMPUTED_VALUE"""),"11964091-1")</f>
        <v>11964091-1</v>
      </c>
      <c r="C13" s="9" t="str">
        <f>IFERROR(__xludf.DUMMYFUNCTION("""COMPUTED_VALUE"""),"Marcela Pérez Fuentes")</f>
        <v>Marcela Pérez Fuentes</v>
      </c>
      <c r="D13" s="9" t="str">
        <f>IFERROR(__xludf.DUMMYFUNCTION("""COMPUTED_VALUE"""),"mar.pérez@servicios.cl")</f>
        <v>mar.pérez@servicios.cl</v>
      </c>
      <c r="E13" s="9" t="str">
        <f>IFERROR(__xludf.DUMMYFUNCTION("""COMPUTED_VALUE"""),"Santiago Centro")</f>
        <v>Santiago Centro</v>
      </c>
      <c r="F13" s="9" t="str">
        <f>IFERROR(__xludf.DUMMYFUNCTION("""COMPUTED_VALUE"""),"Santiago")</f>
        <v>Santiago</v>
      </c>
      <c r="G13" s="9" t="str">
        <f>IFERROR(__xludf.DUMMYFUNCTION("""COMPUTED_VALUE"""),"Región Metropolitana")</f>
        <v>Región Metropolitana</v>
      </c>
      <c r="H13" s="10">
        <f>IFERROR(__xludf.DUMMYFUNCTION("""COMPUTED_VALUE"""),2.119E7)</f>
        <v>21190000</v>
      </c>
      <c r="J13" s="9" t="s">
        <v>109</v>
      </c>
    </row>
    <row r="14">
      <c r="A14" s="9" t="str">
        <f>IFERROR(__xludf.DUMMYFUNCTION("""COMPUTED_VALUE"""),"CLI-0570")</f>
        <v>CLI-0570</v>
      </c>
      <c r="B14" s="9" t="str">
        <f>IFERROR(__xludf.DUMMYFUNCTION("""COMPUTED_VALUE"""),"21384372-2")</f>
        <v>21384372-2</v>
      </c>
      <c r="C14" s="9" t="str">
        <f>IFERROR(__xludf.DUMMYFUNCTION("""COMPUTED_VALUE"""),"Álvaro Tapia Morales")</f>
        <v>Álvaro Tapia Morales</v>
      </c>
      <c r="D14" s="9" t="str">
        <f>IFERROR(__xludf.DUMMYFUNCTION("""COMPUTED_VALUE"""),"álv.tapia@gmail.com")</f>
        <v>álv.tapia@gmail.com</v>
      </c>
      <c r="E14" s="9" t="str">
        <f>IFERROR(__xludf.DUMMYFUNCTION("""COMPUTED_VALUE"""),"Maipú")</f>
        <v>Maipú</v>
      </c>
      <c r="F14" s="9" t="str">
        <f>IFERROR(__xludf.DUMMYFUNCTION("""COMPUTED_VALUE"""),"Santiago")</f>
        <v>Santiago</v>
      </c>
      <c r="G14" s="9" t="str">
        <f>IFERROR(__xludf.DUMMYFUNCTION("""COMPUTED_VALUE"""),"Región Metropolitana")</f>
        <v>Región Metropolitana</v>
      </c>
      <c r="H14" s="10">
        <f>IFERROR(__xludf.DUMMYFUNCTION("""COMPUTED_VALUE"""),2.106E7)</f>
        <v>21060000</v>
      </c>
      <c r="J14" s="9" t="s">
        <v>72</v>
      </c>
    </row>
    <row r="15">
      <c r="A15" s="9" t="str">
        <f>IFERROR(__xludf.DUMMYFUNCTION("""COMPUTED_VALUE"""),"CLI-0805")</f>
        <v>CLI-0805</v>
      </c>
      <c r="B15" s="9" t="str">
        <f>IFERROR(__xludf.DUMMYFUNCTION("""COMPUTED_VALUE"""),"16259379-5")</f>
        <v>16259379-5</v>
      </c>
      <c r="C15" s="9" t="str">
        <f>IFERROR(__xludf.DUMMYFUNCTION("""COMPUTED_VALUE"""),"Sofia Fuentes López")</f>
        <v>Sofia Fuentes López</v>
      </c>
      <c r="D15" s="9" t="str">
        <f>IFERROR(__xludf.DUMMYFUNCTION("""COMPUTED_VALUE"""),"sof.fuentes@servicios.cl")</f>
        <v>sof.fuentes@servicios.cl</v>
      </c>
      <c r="E15" s="9" t="str">
        <f>IFERROR(__xludf.DUMMYFUNCTION("""COMPUTED_VALUE"""),"Santiago Centro")</f>
        <v>Santiago Centro</v>
      </c>
      <c r="F15" s="9" t="str">
        <f>IFERROR(__xludf.DUMMYFUNCTION("""COMPUTED_VALUE"""),"Santiago")</f>
        <v>Santiago</v>
      </c>
      <c r="G15" s="9" t="str">
        <f>IFERROR(__xludf.DUMMYFUNCTION("""COMPUTED_VALUE"""),"Región Metropolitana")</f>
        <v>Región Metropolitana</v>
      </c>
      <c r="H15" s="10">
        <f>IFERROR(__xludf.DUMMYFUNCTION("""COMPUTED_VALUE"""),2.106E7)</f>
        <v>21060000</v>
      </c>
      <c r="J15" s="9"/>
    </row>
    <row r="16">
      <c r="A16" s="9" t="str">
        <f>IFERROR(__xludf.DUMMYFUNCTION("""COMPUTED_VALUE"""),"CLI-0096")</f>
        <v>CLI-0096</v>
      </c>
      <c r="B16" s="9" t="str">
        <f>IFERROR(__xludf.DUMMYFUNCTION("""COMPUTED_VALUE"""),"12.265.019-7")</f>
        <v>12.265.019-7</v>
      </c>
      <c r="C16" s="9" t="str">
        <f>IFERROR(__xludf.DUMMYFUNCTION("""COMPUTED_VALUE"""),"Sebastián Tapia Muñoz")</f>
        <v>Sebastián Tapia Muñoz</v>
      </c>
      <c r="D16" s="9" t="str">
        <f>IFERROR(__xludf.DUMMYFUNCTION("""COMPUTED_VALUE"""),"seb.tapia@empresa.cl")</f>
        <v>seb.tapia@empresa.cl</v>
      </c>
      <c r="E16" s="9" t="str">
        <f>IFERROR(__xludf.DUMMYFUNCTION("""COMPUTED_VALUE"""),"Providencia")</f>
        <v>Providencia</v>
      </c>
      <c r="F16" s="9" t="str">
        <f>IFERROR(__xludf.DUMMYFUNCTION("""COMPUTED_VALUE"""),"Santiago")</f>
        <v>Santiago</v>
      </c>
      <c r="G16" s="9" t="str">
        <f>IFERROR(__xludf.DUMMYFUNCTION("""COMPUTED_VALUE"""),"Región Metropolitana")</f>
        <v>Región Metropolitana</v>
      </c>
      <c r="H16" s="10">
        <f>IFERROR(__xludf.DUMMYFUNCTION("""COMPUTED_VALUE"""),2.086E7)</f>
        <v>20860000</v>
      </c>
    </row>
    <row r="17">
      <c r="A17" s="9" t="str">
        <f>IFERROR(__xludf.DUMMYFUNCTION("""COMPUTED_VALUE"""),"CLI-0793")</f>
        <v>CLI-0793</v>
      </c>
      <c r="B17" s="9" t="str">
        <f>IFERROR(__xludf.DUMMYFUNCTION("""COMPUTED_VALUE"""),"16.198.351-5")</f>
        <v>16.198.351-5</v>
      </c>
      <c r="C17" s="9" t="str">
        <f>IFERROR(__xludf.DUMMYFUNCTION("""COMPUTED_VALUE"""),"Catalina López Fuentes")</f>
        <v>Catalina López Fuentes</v>
      </c>
      <c r="D17" s="9" t="str">
        <f>IFERROR(__xludf.DUMMYFUNCTION("""COMPUTED_VALUE"""),"cat.lópez@outlook.cl")</f>
        <v>cat.lópez@outlook.cl</v>
      </c>
      <c r="E17" s="9" t="str">
        <f>IFERROR(__xludf.DUMMYFUNCTION("""COMPUTED_VALUE"""),"Las Condes")</f>
        <v>Las Condes</v>
      </c>
      <c r="F17" s="9" t="str">
        <f>IFERROR(__xludf.DUMMYFUNCTION("""COMPUTED_VALUE"""),"Santiago")</f>
        <v>Santiago</v>
      </c>
      <c r="G17" s="9" t="str">
        <f>IFERROR(__xludf.DUMMYFUNCTION("""COMPUTED_VALUE"""),"Región Metropolitana")</f>
        <v>Región Metropolitana</v>
      </c>
      <c r="H17" s="10">
        <f>IFERROR(__xludf.DUMMYFUNCTION("""COMPUTED_VALUE"""),2.085E7)</f>
        <v>20850000</v>
      </c>
    </row>
    <row r="18">
      <c r="A18" s="9" t="str">
        <f>IFERROR(__xludf.DUMMYFUNCTION("""COMPUTED_VALUE"""),"CLI-0783")</f>
        <v>CLI-0783</v>
      </c>
      <c r="B18" s="9" t="str">
        <f>IFERROR(__xludf.DUMMYFUNCTION("""COMPUTED_VALUE"""),"16.766.254-5")</f>
        <v>16.766.254-5</v>
      </c>
      <c r="C18" s="9" t="str">
        <f>IFERROR(__xludf.DUMMYFUNCTION("""COMPUTED_VALUE"""),"Sofia Espinoza Espinoza")</f>
        <v>Sofia Espinoza Espinoza</v>
      </c>
      <c r="D18" s="9" t="str">
        <f>IFERROR(__xludf.DUMMYFUNCTION("""COMPUTED_VALUE"""),"sof.espinoza@consultora.cl")</f>
        <v>sof.espinoza@consultora.cl</v>
      </c>
      <c r="E18" s="9" t="str">
        <f>IFERROR(__xludf.DUMMYFUNCTION("""COMPUTED_VALUE"""),"Ñuñoa")</f>
        <v>Ñuñoa</v>
      </c>
      <c r="F18" s="9" t="str">
        <f>IFERROR(__xludf.DUMMYFUNCTION("""COMPUTED_VALUE"""),"Santiago")</f>
        <v>Santiago</v>
      </c>
      <c r="G18" s="9" t="str">
        <f>IFERROR(__xludf.DUMMYFUNCTION("""COMPUTED_VALUE"""),"Región Metropolitana")</f>
        <v>Región Metropolitana</v>
      </c>
      <c r="H18" s="10">
        <f>IFERROR(__xludf.DUMMYFUNCTION("""COMPUTED_VALUE"""),2.079E7)</f>
        <v>20790000</v>
      </c>
    </row>
    <row r="19">
      <c r="A19" s="9" t="str">
        <f>IFERROR(__xludf.DUMMYFUNCTION("""COMPUTED_VALUE"""),"CLI-0696")</f>
        <v>CLI-0696</v>
      </c>
      <c r="B19" s="9" t="str">
        <f>IFERROR(__xludf.DUMMYFUNCTION("""COMPUTED_VALUE"""),"19.743.139-4")</f>
        <v>19.743.139-4</v>
      </c>
      <c r="C19" s="9" t="str">
        <f>IFERROR(__xludf.DUMMYFUNCTION("""COMPUTED_VALUE"""),"Rodrigo Fuentes Vergara")</f>
        <v>Rodrigo Fuentes Vergara</v>
      </c>
      <c r="D19" s="9" t="str">
        <f>IFERROR(__xludf.DUMMYFUNCTION("""COMPUTED_VALUE"""),"rod.fuentes@outlook.cl")</f>
        <v>rod.fuentes@outlook.cl</v>
      </c>
      <c r="E19" s="9" t="str">
        <f>IFERROR(__xludf.DUMMYFUNCTION("""COMPUTED_VALUE"""),"Ñuñoa")</f>
        <v>Ñuñoa</v>
      </c>
      <c r="F19" s="9" t="str">
        <f>IFERROR(__xludf.DUMMYFUNCTION("""COMPUTED_VALUE"""),"Santiago")</f>
        <v>Santiago</v>
      </c>
      <c r="G19" s="9" t="str">
        <f>IFERROR(__xludf.DUMMYFUNCTION("""COMPUTED_VALUE"""),"Región Metropolitana")</f>
        <v>Región Metropolitana</v>
      </c>
      <c r="H19" s="10">
        <f>IFERROR(__xludf.DUMMYFUNCTION("""COMPUTED_VALUE"""),2.062E7)</f>
        <v>20620000</v>
      </c>
    </row>
    <row r="20">
      <c r="A20" s="9" t="str">
        <f>IFERROR(__xludf.DUMMYFUNCTION("""COMPUTED_VALUE"""),"CLI-0194")</f>
        <v>CLI-0194</v>
      </c>
      <c r="B20" s="9" t="str">
        <f>IFERROR(__xludf.DUMMYFUNCTION("""COMPUTED_VALUE"""),"13.347.500-4")</f>
        <v>13.347.500-4</v>
      </c>
      <c r="C20" s="9" t="str">
        <f>IFERROR(__xludf.DUMMYFUNCTION("""COMPUTED_VALUE"""),"Sebastián Sepúlveda Silva")</f>
        <v>Sebastián Sepúlveda Silva</v>
      </c>
      <c r="D20" s="9" t="str">
        <f>IFERROR(__xludf.DUMMYFUNCTION("""COMPUTED_VALUE"""),"seb.sepúlveda@empresa.cl")</f>
        <v>seb.sepúlveda@empresa.cl</v>
      </c>
      <c r="E20" s="9" t="str">
        <f>IFERROR(__xludf.DUMMYFUNCTION("""COMPUTED_VALUE"""),"Providencia")</f>
        <v>Providencia</v>
      </c>
      <c r="F20" s="9" t="str">
        <f>IFERROR(__xludf.DUMMYFUNCTION("""COMPUTED_VALUE"""),"Santiago")</f>
        <v>Santiago</v>
      </c>
      <c r="G20" s="9" t="str">
        <f>IFERROR(__xludf.DUMMYFUNCTION("""COMPUTED_VALUE"""),"Región Metropolitana")</f>
        <v>Región Metropolitana</v>
      </c>
      <c r="H20" s="10">
        <f>IFERROR(__xludf.DUMMYFUNCTION("""COMPUTED_VALUE"""),2.057E7)</f>
        <v>20570000</v>
      </c>
    </row>
    <row r="21">
      <c r="A21" s="9" t="str">
        <f>IFERROR(__xludf.DUMMYFUNCTION("""COMPUTED_VALUE"""),"CLI-0725")</f>
        <v>CLI-0725</v>
      </c>
      <c r="B21" s="9" t="str">
        <f>IFERROR(__xludf.DUMMYFUNCTION("""COMPUTED_VALUE"""),"16.481.237-2")</f>
        <v>16.481.237-2</v>
      </c>
      <c r="C21" s="9" t="str">
        <f>IFERROR(__xludf.DUMMYFUNCTION("""COMPUTED_VALUE"""),"Valentina Rojas Vergara")</f>
        <v>Valentina Rojas Vergara</v>
      </c>
      <c r="D21" s="9" t="str">
        <f>IFERROR(__xludf.DUMMYFUNCTION("""COMPUTED_VALUE"""),"val.rojas@empresa.cl")</f>
        <v>val.rojas@empresa.cl</v>
      </c>
      <c r="E21" s="9" t="str">
        <f>IFERROR(__xludf.DUMMYFUNCTION("""COMPUTED_VALUE"""),"Ñuñoa")</f>
        <v>Ñuñoa</v>
      </c>
      <c r="F21" s="9" t="str">
        <f>IFERROR(__xludf.DUMMYFUNCTION("""COMPUTED_VALUE"""),"Santiago")</f>
        <v>Santiago</v>
      </c>
      <c r="G21" s="9" t="str">
        <f>IFERROR(__xludf.DUMMYFUNCTION("""COMPUTED_VALUE"""),"Región Metropolitana")</f>
        <v>Región Metropolitana</v>
      </c>
      <c r="H21" s="10">
        <f>IFERROR(__xludf.DUMMYFUNCTION("""COMPUTED_VALUE"""),2.029E7)</f>
        <v>20290000</v>
      </c>
    </row>
    <row r="22">
      <c r="A22" s="9" t="str">
        <f>IFERROR(__xludf.DUMMYFUNCTION("""COMPUTED_VALUE"""),"CLI-0209")</f>
        <v>CLI-0209</v>
      </c>
      <c r="B22" s="9" t="str">
        <f>IFERROR(__xludf.DUMMYFUNCTION("""COMPUTED_VALUE"""),"15.447.490-9")</f>
        <v>15.447.490-9</v>
      </c>
      <c r="C22" s="9" t="str">
        <f>IFERROR(__xludf.DUMMYFUNCTION("""COMPUTED_VALUE"""),"Beatriz Araya Fuentes")</f>
        <v>Beatriz Araya Fuentes</v>
      </c>
      <c r="D22" s="9" t="str">
        <f>IFERROR(__xludf.DUMMYFUNCTION("""COMPUTED_VALUE"""),"bea.araya@consultora.cl")</f>
        <v>bea.araya@consultora.cl</v>
      </c>
      <c r="E22" s="9" t="str">
        <f>IFERROR(__xludf.DUMMYFUNCTION("""COMPUTED_VALUE"""),"Providencia")</f>
        <v>Providencia</v>
      </c>
      <c r="F22" s="9" t="str">
        <f>IFERROR(__xludf.DUMMYFUNCTION("""COMPUTED_VALUE"""),"Santiago")</f>
        <v>Santiago</v>
      </c>
      <c r="G22" s="9" t="str">
        <f>IFERROR(__xludf.DUMMYFUNCTION("""COMPUTED_VALUE"""),"Región Metropolitana")</f>
        <v>Región Metropolitana</v>
      </c>
      <c r="H22" s="10">
        <f>IFERROR(__xludf.DUMMYFUNCTION("""COMPUTED_VALUE"""),2.025E7)</f>
        <v>20250000</v>
      </c>
    </row>
    <row r="23">
      <c r="A23" s="9" t="str">
        <f>IFERROR(__xludf.DUMMYFUNCTION("""COMPUTED_VALUE"""),"CLI-0640")</f>
        <v>CLI-0640</v>
      </c>
      <c r="B23" s="9" t="str">
        <f>IFERROR(__xludf.DUMMYFUNCTION("""COMPUTED_VALUE"""),"15623137-7")</f>
        <v>15623137-7</v>
      </c>
      <c r="C23" s="9" t="str">
        <f>IFERROR(__xludf.DUMMYFUNCTION("""COMPUTED_VALUE"""),"Gabriel Araya Rojas")</f>
        <v>Gabriel Araya Rojas</v>
      </c>
      <c r="D23" s="9" t="str">
        <f>IFERROR(__xludf.DUMMYFUNCTION("""COMPUTED_VALUE"""),"gab.araya@servicios.cl")</f>
        <v>gab.araya@servicios.cl</v>
      </c>
      <c r="E23" s="9" t="str">
        <f>IFERROR(__xludf.DUMMYFUNCTION("""COMPUTED_VALUE"""),"Maipú")</f>
        <v>Maipú</v>
      </c>
      <c r="F23" s="9" t="str">
        <f>IFERROR(__xludf.DUMMYFUNCTION("""COMPUTED_VALUE"""),"Santiago")</f>
        <v>Santiago</v>
      </c>
      <c r="G23" s="9" t="str">
        <f>IFERROR(__xludf.DUMMYFUNCTION("""COMPUTED_VALUE"""),"Región Metropolitana")</f>
        <v>Región Metropolitana</v>
      </c>
      <c r="H23" s="10">
        <f>IFERROR(__xludf.DUMMYFUNCTION("""COMPUTED_VALUE"""),2.021E7)</f>
        <v>20210000</v>
      </c>
    </row>
    <row r="24">
      <c r="A24" s="9" t="str">
        <f>IFERROR(__xludf.DUMMYFUNCTION("""COMPUTED_VALUE"""),"CLI-0716")</f>
        <v>CLI-0716</v>
      </c>
      <c r="B24" s="9" t="str">
        <f>IFERROR(__xludf.DUMMYFUNCTION("""COMPUTED_VALUE"""),"11.356.961-4")</f>
        <v>11.356.961-4</v>
      </c>
      <c r="C24" s="9" t="str">
        <f>IFERROR(__xludf.DUMMYFUNCTION("""COMPUTED_VALUE"""),"Javier Muñoz Valenzuela")</f>
        <v>Javier Muñoz Valenzuela</v>
      </c>
      <c r="D24" s="9" t="str">
        <f>IFERROR(__xludf.DUMMYFUNCTION("""COMPUTED_VALUE"""),"jav.muñoz@gmail.com")</f>
        <v>jav.muñoz@gmail.com</v>
      </c>
      <c r="E24" s="9" t="str">
        <f>IFERROR(__xludf.DUMMYFUNCTION("""COMPUTED_VALUE"""),"Providencia")</f>
        <v>Providencia</v>
      </c>
      <c r="F24" s="9" t="str">
        <f>IFERROR(__xludf.DUMMYFUNCTION("""COMPUTED_VALUE"""),"Santiago")</f>
        <v>Santiago</v>
      </c>
      <c r="G24" s="9" t="str">
        <f>IFERROR(__xludf.DUMMYFUNCTION("""COMPUTED_VALUE"""),"Región Metropolitana")</f>
        <v>Región Metropolitana</v>
      </c>
      <c r="H24" s="10">
        <f>IFERROR(__xludf.DUMMYFUNCTION("""COMPUTED_VALUE"""),2.014E7)</f>
        <v>20140000</v>
      </c>
    </row>
    <row r="25">
      <c r="A25" s="9" t="str">
        <f>IFERROR(__xludf.DUMMYFUNCTION("""COMPUTED_VALUE"""),"CLI-0856")</f>
        <v>CLI-0856</v>
      </c>
      <c r="B25" s="9" t="str">
        <f>IFERROR(__xludf.DUMMYFUNCTION("""COMPUTED_VALUE"""),"15.379.306-8")</f>
        <v>15.379.306-8</v>
      </c>
      <c r="C25" s="9" t="str">
        <f>IFERROR(__xludf.DUMMYFUNCTION("""COMPUTED_VALUE"""),"Gabriel Espinoza Vergara")</f>
        <v>Gabriel Espinoza Vergara</v>
      </c>
      <c r="D25" s="9" t="str">
        <f>IFERROR(__xludf.DUMMYFUNCTION("""COMPUTED_VALUE"""),"gab.espinoza@empresa.cl")</f>
        <v>gab.espinoza@empresa.cl</v>
      </c>
      <c r="E25" s="9" t="str">
        <f>IFERROR(__xludf.DUMMYFUNCTION("""COMPUTED_VALUE"""),"Santiago Centro")</f>
        <v>Santiago Centro</v>
      </c>
      <c r="F25" s="9" t="str">
        <f>IFERROR(__xludf.DUMMYFUNCTION("""COMPUTED_VALUE"""),"Santiago")</f>
        <v>Santiago</v>
      </c>
      <c r="G25" s="9" t="str">
        <f>IFERROR(__xludf.DUMMYFUNCTION("""COMPUTED_VALUE"""),"Región Metropolitana")</f>
        <v>Región Metropolitana</v>
      </c>
      <c r="H25" s="10">
        <f>IFERROR(__xludf.DUMMYFUNCTION("""COMPUTED_VALUE"""),2.008E7)</f>
        <v>20080000</v>
      </c>
    </row>
    <row r="26">
      <c r="A26" s="9" t="str">
        <f>IFERROR(__xludf.DUMMYFUNCTION("""COMPUTED_VALUE"""),"CLI-0322")</f>
        <v>CLI-0322</v>
      </c>
      <c r="B26" s="9" t="str">
        <f>IFERROR(__xludf.DUMMYFUNCTION("""COMPUTED_VALUE"""),"16.723.002-0")</f>
        <v>16.723.002-0</v>
      </c>
      <c r="C26" s="9" t="str">
        <f>IFERROR(__xludf.DUMMYFUNCTION("""COMPUTED_VALUE"""),"Tomas Tapia Vergara")</f>
        <v>Tomas Tapia Vergara</v>
      </c>
      <c r="D26" s="9" t="str">
        <f>IFERROR(__xludf.DUMMYFUNCTION("""COMPUTED_VALUE"""),"tom.tapia@consultora.cl")</f>
        <v>tom.tapia@consultora.cl</v>
      </c>
      <c r="E26" s="9" t="str">
        <f>IFERROR(__xludf.DUMMYFUNCTION("""COMPUTED_VALUE"""),"Las Condes")</f>
        <v>Las Condes</v>
      </c>
      <c r="F26" s="9" t="str">
        <f>IFERROR(__xludf.DUMMYFUNCTION("""COMPUTED_VALUE"""),"Santiago")</f>
        <v>Santiago</v>
      </c>
      <c r="G26" s="9" t="str">
        <f>IFERROR(__xludf.DUMMYFUNCTION("""COMPUTED_VALUE"""),"Región Metropolitana")</f>
        <v>Región Metropolitana</v>
      </c>
      <c r="H26" s="10">
        <f>IFERROR(__xludf.DUMMYFUNCTION("""COMPUTED_VALUE"""),2.003E7)</f>
        <v>20030000</v>
      </c>
    </row>
    <row r="27">
      <c r="A27" s="9" t="str">
        <f>IFERROR(__xludf.DUMMYFUNCTION("""COMPUTED_VALUE"""),"CLI-0595")</f>
        <v>CLI-0595</v>
      </c>
      <c r="B27" s="9" t="str">
        <f>IFERROR(__xludf.DUMMYFUNCTION("""COMPUTED_VALUE"""),"14.504.587-8")</f>
        <v>14.504.587-8</v>
      </c>
      <c r="C27" s="9" t="str">
        <f>IFERROR(__xludf.DUMMYFUNCTION("""COMPUTED_VALUE"""),"Carolina Soto Espinoza")</f>
        <v>Carolina Soto Espinoza</v>
      </c>
      <c r="D27" s="9" t="str">
        <f>IFERROR(__xludf.DUMMYFUNCTION("""COMPUTED_VALUE"""),"car.soto@empresa.cl")</f>
        <v>car.soto@empresa.cl</v>
      </c>
      <c r="E27" s="9" t="str">
        <f>IFERROR(__xludf.DUMMYFUNCTION("""COMPUTED_VALUE"""),"Maipú")</f>
        <v>Maipú</v>
      </c>
      <c r="F27" s="9" t="str">
        <f>IFERROR(__xludf.DUMMYFUNCTION("""COMPUTED_VALUE"""),"Santiago")</f>
        <v>Santiago</v>
      </c>
      <c r="G27" s="9" t="str">
        <f>IFERROR(__xludf.DUMMYFUNCTION("""COMPUTED_VALUE"""),"Región Metropolitana")</f>
        <v>Región Metropolitana</v>
      </c>
      <c r="H27" s="10">
        <f>IFERROR(__xludf.DUMMYFUNCTION("""COMPUTED_VALUE"""),1.997E7)</f>
        <v>19970000</v>
      </c>
    </row>
    <row r="28">
      <c r="A28" s="9" t="str">
        <f>IFERROR(__xludf.DUMMYFUNCTION("""COMPUTED_VALUE"""),"CLI-0773")</f>
        <v>CLI-0773</v>
      </c>
      <c r="B28" s="9" t="str">
        <f>IFERROR(__xludf.DUMMYFUNCTION("""COMPUTED_VALUE"""),"14361797-0")</f>
        <v>14361797-0</v>
      </c>
      <c r="C28" s="9" t="str">
        <f>IFERROR(__xludf.DUMMYFUNCTION("""COMPUTED_VALUE"""),"Sofia Rodríguez Tapia")</f>
        <v>Sofia Rodríguez Tapia</v>
      </c>
      <c r="D28" s="9" t="str">
        <f>IFERROR(__xludf.DUMMYFUNCTION("""COMPUTED_VALUE"""),"sof.rodríguez@sura.cl")</f>
        <v>sof.rodríguez@sura.cl</v>
      </c>
      <c r="E28" s="9" t="str">
        <f>IFERROR(__xludf.DUMMYFUNCTION("""COMPUTED_VALUE"""),"Las Condes")</f>
        <v>Las Condes</v>
      </c>
      <c r="F28" s="9" t="str">
        <f>IFERROR(__xludf.DUMMYFUNCTION("""COMPUTED_VALUE"""),"Santiago")</f>
        <v>Santiago</v>
      </c>
      <c r="G28" s="9" t="str">
        <f>IFERROR(__xludf.DUMMYFUNCTION("""COMPUTED_VALUE"""),"Región Metropolitana")</f>
        <v>Región Metropolitana</v>
      </c>
      <c r="H28" s="10">
        <f>IFERROR(__xludf.DUMMYFUNCTION("""COMPUTED_VALUE"""),1.996E7)</f>
        <v>19960000</v>
      </c>
    </row>
    <row r="29">
      <c r="A29" s="9" t="str">
        <f>IFERROR(__xludf.DUMMYFUNCTION("""COMPUTED_VALUE"""),"CLI-0824")</f>
        <v>CLI-0824</v>
      </c>
      <c r="B29" s="9" t="str">
        <f>IFERROR(__xludf.DUMMYFUNCTION("""COMPUTED_VALUE"""),"19.801.145-6")</f>
        <v>19.801.145-6</v>
      </c>
      <c r="C29" s="9" t="str">
        <f>IFERROR(__xludf.DUMMYFUNCTION("""COMPUTED_VALUE"""),"Claudio Soto González")</f>
        <v>Claudio Soto González</v>
      </c>
      <c r="D29" s="9" t="str">
        <f>IFERROR(__xludf.DUMMYFUNCTION("""COMPUTED_VALUE"""),"cla.soto@outlook.cl")</f>
        <v>cla.soto@outlook.cl</v>
      </c>
      <c r="E29" s="9" t="str">
        <f>IFERROR(__xludf.DUMMYFUNCTION("""COMPUTED_VALUE"""),"Las Condes")</f>
        <v>Las Condes</v>
      </c>
      <c r="F29" s="9" t="str">
        <f>IFERROR(__xludf.DUMMYFUNCTION("""COMPUTED_VALUE"""),"Santiago")</f>
        <v>Santiago</v>
      </c>
      <c r="G29" s="9" t="str">
        <f>IFERROR(__xludf.DUMMYFUNCTION("""COMPUTED_VALUE"""),"Región Metropolitana")</f>
        <v>Región Metropolitana</v>
      </c>
      <c r="H29" s="10">
        <f>IFERROR(__xludf.DUMMYFUNCTION("""COMPUTED_VALUE"""),1.992E7)</f>
        <v>19920000</v>
      </c>
    </row>
    <row r="30">
      <c r="A30" s="9" t="str">
        <f>IFERROR(__xludf.DUMMYFUNCTION("""COMPUTED_VALUE"""),"CLI-0898")</f>
        <v>CLI-0898</v>
      </c>
      <c r="B30" s="9" t="str">
        <f>IFERROR(__xludf.DUMMYFUNCTION("""COMPUTED_VALUE"""),"19.859.067-1")</f>
        <v>19.859.067-1</v>
      </c>
      <c r="C30" s="9" t="str">
        <f>IFERROR(__xludf.DUMMYFUNCTION("""COMPUTED_VALUE"""),"Hernán Soto Pérez")</f>
        <v>Hernán Soto Pérez</v>
      </c>
      <c r="D30" s="9" t="str">
        <f>IFERROR(__xludf.DUMMYFUNCTION("""COMPUTED_VALUE"""),"her.soto@sura.cl")</f>
        <v>her.soto@sura.cl</v>
      </c>
      <c r="E30" s="9" t="str">
        <f>IFERROR(__xludf.DUMMYFUNCTION("""COMPUTED_VALUE"""),"Santiago Centro")</f>
        <v>Santiago Centro</v>
      </c>
      <c r="F30" s="9" t="str">
        <f>IFERROR(__xludf.DUMMYFUNCTION("""COMPUTED_VALUE"""),"Santiago")</f>
        <v>Santiago</v>
      </c>
      <c r="G30" s="9" t="str">
        <f>IFERROR(__xludf.DUMMYFUNCTION("""COMPUTED_VALUE"""),"Región Metropolitana")</f>
        <v>Región Metropolitana</v>
      </c>
      <c r="H30" s="10">
        <f>IFERROR(__xludf.DUMMYFUNCTION("""COMPUTED_VALUE"""),1.992E7)</f>
        <v>19920000</v>
      </c>
    </row>
    <row r="31">
      <c r="A31" s="9" t="str">
        <f>IFERROR(__xludf.DUMMYFUNCTION("""COMPUTED_VALUE"""),"CLI-0165")</f>
        <v>CLI-0165</v>
      </c>
      <c r="B31" s="9" t="str">
        <f>IFERROR(__xludf.DUMMYFUNCTION("""COMPUTED_VALUE"""),"22.022.194-3")</f>
        <v>22.022.194-3</v>
      </c>
      <c r="C31" s="9" t="str">
        <f>IFERROR(__xludf.DUMMYFUNCTION("""COMPUTED_VALUE"""),"Paula Valenzuela Espinoza")</f>
        <v>Paula Valenzuela Espinoza</v>
      </c>
      <c r="D31" s="9" t="str">
        <f>IFERROR(__xludf.DUMMYFUNCTION("""COMPUTED_VALUE"""),"pau.valenzuela@consultora.cl")</f>
        <v>pau.valenzuela@consultora.cl</v>
      </c>
      <c r="E31" s="9" t="str">
        <f>IFERROR(__xludf.DUMMYFUNCTION("""COMPUTED_VALUE"""),"Santiago Centro")</f>
        <v>Santiago Centro</v>
      </c>
      <c r="F31" s="9" t="str">
        <f>IFERROR(__xludf.DUMMYFUNCTION("""COMPUTED_VALUE"""),"Santiago")</f>
        <v>Santiago</v>
      </c>
      <c r="G31" s="9" t="str">
        <f>IFERROR(__xludf.DUMMYFUNCTION("""COMPUTED_VALUE"""),"Región Metropolitana")</f>
        <v>Región Metropolitana</v>
      </c>
      <c r="H31" s="10">
        <f>IFERROR(__xludf.DUMMYFUNCTION("""COMPUTED_VALUE"""),1.988E7)</f>
        <v>19880000</v>
      </c>
    </row>
    <row r="32">
      <c r="A32" s="9" t="str">
        <f>IFERROR(__xludf.DUMMYFUNCTION("""COMPUTED_VALUE"""),"CLI-0559")</f>
        <v>CLI-0559</v>
      </c>
      <c r="B32" s="9" t="str">
        <f>IFERROR(__xludf.DUMMYFUNCTION("""COMPUTED_VALUE"""),"16.570.174-3")</f>
        <v>16.570.174-3</v>
      </c>
      <c r="C32" s="9" t="str">
        <f>IFERROR(__xludf.DUMMYFUNCTION("""COMPUTED_VALUE"""),"Catalina Araya Morales")</f>
        <v>Catalina Araya Morales</v>
      </c>
      <c r="D32" s="9" t="str">
        <f>IFERROR(__xludf.DUMMYFUNCTION("""COMPUTED_VALUE"""),"cat.araya@sura.cl")</f>
        <v>cat.araya@sura.cl</v>
      </c>
      <c r="E32" s="9" t="str">
        <f>IFERROR(__xludf.DUMMYFUNCTION("""COMPUTED_VALUE"""),"Santiago Centro")</f>
        <v>Santiago Centro</v>
      </c>
      <c r="F32" s="9" t="str">
        <f>IFERROR(__xludf.DUMMYFUNCTION("""COMPUTED_VALUE"""),"Santiago")</f>
        <v>Santiago</v>
      </c>
      <c r="G32" s="9" t="str">
        <f>IFERROR(__xludf.DUMMYFUNCTION("""COMPUTED_VALUE"""),"Región Metropolitana")</f>
        <v>Región Metropolitana</v>
      </c>
      <c r="H32" s="10">
        <f>IFERROR(__xludf.DUMMYFUNCTION("""COMPUTED_VALUE"""),1.976E7)</f>
        <v>19760000</v>
      </c>
    </row>
    <row r="33">
      <c r="A33" s="9" t="str">
        <f>IFERROR(__xludf.DUMMYFUNCTION("""COMPUTED_VALUE"""),"CLI-0755")</f>
        <v>CLI-0755</v>
      </c>
      <c r="B33" s="9" t="str">
        <f>IFERROR(__xludf.DUMMYFUNCTION("""COMPUTED_VALUE"""),"20.274.430-9")</f>
        <v>20.274.430-9</v>
      </c>
      <c r="C33" s="9" t="str">
        <f>IFERROR(__xludf.DUMMYFUNCTION("""COMPUTED_VALUE"""),"Francisca Díaz González")</f>
        <v>Francisca Díaz González</v>
      </c>
      <c r="D33" s="9" t="str">
        <f>IFERROR(__xludf.DUMMYFUNCTION("""COMPUTED_VALUE"""),"fra.díaz@outlook.cl")</f>
        <v>fra.díaz@outlook.cl</v>
      </c>
      <c r="E33" s="9" t="str">
        <f>IFERROR(__xludf.DUMMYFUNCTION("""COMPUTED_VALUE"""),"Santiago Centro")</f>
        <v>Santiago Centro</v>
      </c>
      <c r="F33" s="9" t="str">
        <f>IFERROR(__xludf.DUMMYFUNCTION("""COMPUTED_VALUE"""),"Santiago")</f>
        <v>Santiago</v>
      </c>
      <c r="G33" s="9" t="str">
        <f>IFERROR(__xludf.DUMMYFUNCTION("""COMPUTED_VALUE"""),"Región Metropolitana")</f>
        <v>Región Metropolitana</v>
      </c>
      <c r="H33" s="10">
        <f>IFERROR(__xludf.DUMMYFUNCTION("""COMPUTED_VALUE"""),1.976E7)</f>
        <v>19760000</v>
      </c>
    </row>
    <row r="34">
      <c r="A34" s="9" t="str">
        <f>IFERROR(__xludf.DUMMYFUNCTION("""COMPUTED_VALUE"""),"CLI-0363")</f>
        <v>CLI-0363</v>
      </c>
      <c r="B34" s="9" t="str">
        <f>IFERROR(__xludf.DUMMYFUNCTION("""COMPUTED_VALUE"""),"18770320-1")</f>
        <v>18770320-1</v>
      </c>
      <c r="C34" s="9" t="str">
        <f>IFERROR(__xludf.DUMMYFUNCTION("""COMPUTED_VALUE"""),"Javiera Soto Silva")</f>
        <v>Javiera Soto Silva</v>
      </c>
      <c r="D34" s="9" t="str">
        <f>IFERROR(__xludf.DUMMYFUNCTION("""COMPUTED_VALUE"""),"jav.soto@sura.cl")</f>
        <v>jav.soto@sura.cl</v>
      </c>
      <c r="E34" s="9" t="str">
        <f>IFERROR(__xludf.DUMMYFUNCTION("""COMPUTED_VALUE"""),"Santiago Centro")</f>
        <v>Santiago Centro</v>
      </c>
      <c r="F34" s="9" t="str">
        <f>IFERROR(__xludf.DUMMYFUNCTION("""COMPUTED_VALUE"""),"Santiago")</f>
        <v>Santiago</v>
      </c>
      <c r="G34" s="9" t="str">
        <f>IFERROR(__xludf.DUMMYFUNCTION("""COMPUTED_VALUE"""),"Región Metropolitana")</f>
        <v>Región Metropolitana</v>
      </c>
      <c r="H34" s="10">
        <f>IFERROR(__xludf.DUMMYFUNCTION("""COMPUTED_VALUE"""),1.975E7)</f>
        <v>19750000</v>
      </c>
    </row>
    <row r="35">
      <c r="A35" s="9" t="str">
        <f>IFERROR(__xludf.DUMMYFUNCTION("""COMPUTED_VALUE"""),"CLI-0186")</f>
        <v>CLI-0186</v>
      </c>
      <c r="B35" s="9" t="str">
        <f>IFERROR(__xludf.DUMMYFUNCTION("""COMPUTED_VALUE"""),"15.480.982-0")</f>
        <v>15.480.982-0</v>
      </c>
      <c r="C35" s="9" t="str">
        <f>IFERROR(__xludf.DUMMYFUNCTION("""COMPUTED_VALUE"""),"Diego Araya López")</f>
        <v>Diego Araya López</v>
      </c>
      <c r="D35" s="9" t="str">
        <f>IFERROR(__xludf.DUMMYFUNCTION("""COMPUTED_VALUE"""),"die.araya@empresa.cl")</f>
        <v>die.araya@empresa.cl</v>
      </c>
      <c r="E35" s="9" t="str">
        <f>IFERROR(__xludf.DUMMYFUNCTION("""COMPUTED_VALUE"""),"Las Condes")</f>
        <v>Las Condes</v>
      </c>
      <c r="F35" s="9" t="str">
        <f>IFERROR(__xludf.DUMMYFUNCTION("""COMPUTED_VALUE"""),"Santiago")</f>
        <v>Santiago</v>
      </c>
      <c r="G35" s="9" t="str">
        <f>IFERROR(__xludf.DUMMYFUNCTION("""COMPUTED_VALUE"""),"Región Metropolitana")</f>
        <v>Región Metropolitana</v>
      </c>
      <c r="H35" s="10">
        <f>IFERROR(__xludf.DUMMYFUNCTION("""COMPUTED_VALUE"""),1.971E7)</f>
        <v>19710000</v>
      </c>
    </row>
    <row r="36">
      <c r="A36" s="9" t="str">
        <f>IFERROR(__xludf.DUMMYFUNCTION("""COMPUTED_VALUE"""),"CLI-0711")</f>
        <v>CLI-0711</v>
      </c>
      <c r="B36" s="9" t="str">
        <f>IFERROR(__xludf.DUMMYFUNCTION("""COMPUTED_VALUE"""),"13.292.673-5")</f>
        <v>13.292.673-5</v>
      </c>
      <c r="C36" s="9" t="str">
        <f>IFERROR(__xludf.DUMMYFUNCTION("""COMPUTED_VALUE"""),"Javiera Soto López")</f>
        <v>Javiera Soto López</v>
      </c>
      <c r="D36" s="9" t="str">
        <f>IFERROR(__xludf.DUMMYFUNCTION("""COMPUTED_VALUE"""),"jav.soto@servicios.cl")</f>
        <v>jav.soto@servicios.cl</v>
      </c>
      <c r="E36" s="9" t="str">
        <f>IFERROR(__xludf.DUMMYFUNCTION("""COMPUTED_VALUE"""),"Las Condes")</f>
        <v>Las Condes</v>
      </c>
      <c r="F36" s="9" t="str">
        <f>IFERROR(__xludf.DUMMYFUNCTION("""COMPUTED_VALUE"""),"Santiago")</f>
        <v>Santiago</v>
      </c>
      <c r="G36" s="9" t="str">
        <f>IFERROR(__xludf.DUMMYFUNCTION("""COMPUTED_VALUE"""),"Región Metropolitana")</f>
        <v>Región Metropolitana</v>
      </c>
      <c r="H36" s="10">
        <f>IFERROR(__xludf.DUMMYFUNCTION("""COMPUTED_VALUE"""),1.969E7)</f>
        <v>19690000</v>
      </c>
    </row>
    <row r="37">
      <c r="A37" s="9" t="str">
        <f>IFERROR(__xludf.DUMMYFUNCTION("""COMPUTED_VALUE"""),"CLI-0144")</f>
        <v>CLI-0144</v>
      </c>
      <c r="B37" s="9" t="str">
        <f>IFERROR(__xludf.DUMMYFUNCTION("""COMPUTED_VALUE"""),"19540155-7")</f>
        <v>19540155-7</v>
      </c>
      <c r="C37" s="9" t="str">
        <f>IFERROR(__xludf.DUMMYFUNCTION("""COMPUTED_VALUE"""),"Ignacio Soto Vergara")</f>
        <v>Ignacio Soto Vergara</v>
      </c>
      <c r="D37" s="9" t="str">
        <f>IFERROR(__xludf.DUMMYFUNCTION("""COMPUTED_VALUE"""),"ign.soto@sura.cl")</f>
        <v>ign.soto@sura.cl</v>
      </c>
      <c r="E37" s="9" t="str">
        <f>IFERROR(__xludf.DUMMYFUNCTION("""COMPUTED_VALUE"""),"Providencia")</f>
        <v>Providencia</v>
      </c>
      <c r="F37" s="9" t="str">
        <f>IFERROR(__xludf.DUMMYFUNCTION("""COMPUTED_VALUE"""),"Santiago")</f>
        <v>Santiago</v>
      </c>
      <c r="G37" s="9" t="str">
        <f>IFERROR(__xludf.DUMMYFUNCTION("""COMPUTED_VALUE"""),"Región Metropolitana")</f>
        <v>Región Metropolitana</v>
      </c>
      <c r="H37" s="10">
        <f>IFERROR(__xludf.DUMMYFUNCTION("""COMPUTED_VALUE"""),1.952E7)</f>
        <v>19520000</v>
      </c>
    </row>
    <row r="38">
      <c r="A38" s="9" t="str">
        <f>IFERROR(__xludf.DUMMYFUNCTION("""COMPUTED_VALUE"""),"CLI-0125")</f>
        <v>CLI-0125</v>
      </c>
      <c r="B38" s="9" t="str">
        <f>IFERROR(__xludf.DUMMYFUNCTION("""COMPUTED_VALUE"""),"14.294.333-2")</f>
        <v>14.294.333-2</v>
      </c>
      <c r="C38" s="9" t="str">
        <f>IFERROR(__xludf.DUMMYFUNCTION("""COMPUTED_VALUE"""),"Javiera Muñoz Rojas")</f>
        <v>Javiera Muñoz Rojas</v>
      </c>
      <c r="D38" s="9" t="str">
        <f>IFERROR(__xludf.DUMMYFUNCTION("""COMPUTED_VALUE"""),"jav.muñoz@outlook.cl")</f>
        <v>jav.muñoz@outlook.cl</v>
      </c>
      <c r="E38" s="9" t="str">
        <f>IFERROR(__xludf.DUMMYFUNCTION("""COMPUTED_VALUE"""),"Maipú")</f>
        <v>Maipú</v>
      </c>
      <c r="F38" s="9" t="str">
        <f>IFERROR(__xludf.DUMMYFUNCTION("""COMPUTED_VALUE"""),"Santiago")</f>
        <v>Santiago</v>
      </c>
      <c r="G38" s="9" t="str">
        <f>IFERROR(__xludf.DUMMYFUNCTION("""COMPUTED_VALUE"""),"Región Metropolitana")</f>
        <v>Región Metropolitana</v>
      </c>
      <c r="H38" s="10">
        <f>IFERROR(__xludf.DUMMYFUNCTION("""COMPUTED_VALUE"""),1.95E7)</f>
        <v>19500000</v>
      </c>
    </row>
    <row r="39">
      <c r="A39" s="9" t="str">
        <f>IFERROR(__xludf.DUMMYFUNCTION("""COMPUTED_VALUE"""),"CLI-0290")</f>
        <v>CLI-0290</v>
      </c>
      <c r="B39" s="9" t="str">
        <f>IFERROR(__xludf.DUMMYFUNCTION("""COMPUTED_VALUE"""),"13391356-5")</f>
        <v>13391356-5</v>
      </c>
      <c r="C39" s="9" t="str">
        <f>IFERROR(__xludf.DUMMYFUNCTION("""COMPUTED_VALUE"""),"Esteban Araya Pérez")</f>
        <v>Esteban Araya Pérez</v>
      </c>
      <c r="D39" s="9" t="str">
        <f>IFERROR(__xludf.DUMMYFUNCTION("""COMPUTED_VALUE"""),"est.araya@outlook.cl")</f>
        <v>est.araya@outlook.cl</v>
      </c>
      <c r="E39" s="9" t="str">
        <f>IFERROR(__xludf.DUMMYFUNCTION("""COMPUTED_VALUE"""),"Santiago Centro")</f>
        <v>Santiago Centro</v>
      </c>
      <c r="F39" s="9" t="str">
        <f>IFERROR(__xludf.DUMMYFUNCTION("""COMPUTED_VALUE"""),"Santiago")</f>
        <v>Santiago</v>
      </c>
      <c r="G39" s="9" t="str">
        <f>IFERROR(__xludf.DUMMYFUNCTION("""COMPUTED_VALUE"""),"Región Metropolitana")</f>
        <v>Región Metropolitana</v>
      </c>
      <c r="H39" s="10">
        <f>IFERROR(__xludf.DUMMYFUNCTION("""COMPUTED_VALUE"""),1.941E7)</f>
        <v>19410000</v>
      </c>
    </row>
    <row r="40">
      <c r="A40" s="9" t="str">
        <f>IFERROR(__xludf.DUMMYFUNCTION("""COMPUTED_VALUE"""),"CLI-0176")</f>
        <v>CLI-0176</v>
      </c>
      <c r="B40" s="9" t="str">
        <f>IFERROR(__xludf.DUMMYFUNCTION("""COMPUTED_VALUE"""),"16174998-K")</f>
        <v>16174998-K</v>
      </c>
      <c r="C40" s="9" t="str">
        <f>IFERROR(__xludf.DUMMYFUNCTION("""COMPUTED_VALUE"""),"Felipe Rodríguez Silva")</f>
        <v>Felipe Rodríguez Silva</v>
      </c>
      <c r="D40" s="9" t="str">
        <f>IFERROR(__xludf.DUMMYFUNCTION("""COMPUTED_VALUE"""),"fel.rodríguez@outlook.cl")</f>
        <v>fel.rodríguez@outlook.cl</v>
      </c>
      <c r="E40" s="9" t="str">
        <f>IFERROR(__xludf.DUMMYFUNCTION("""COMPUTED_VALUE"""),"Providencia")</f>
        <v>Providencia</v>
      </c>
      <c r="F40" s="9" t="str">
        <f>IFERROR(__xludf.DUMMYFUNCTION("""COMPUTED_VALUE"""),"Santiago")</f>
        <v>Santiago</v>
      </c>
      <c r="G40" s="9" t="str">
        <f>IFERROR(__xludf.DUMMYFUNCTION("""COMPUTED_VALUE"""),"Región Metropolitana")</f>
        <v>Región Metropolitana</v>
      </c>
      <c r="H40" s="10">
        <f>IFERROR(__xludf.DUMMYFUNCTION("""COMPUTED_VALUE"""),1.941E7)</f>
        <v>19410000</v>
      </c>
    </row>
    <row r="41">
      <c r="A41" s="9" t="str">
        <f>IFERROR(__xludf.DUMMYFUNCTION("""COMPUTED_VALUE"""),"CLI-0441")</f>
        <v>CLI-0441</v>
      </c>
      <c r="B41" s="9" t="str">
        <f>IFERROR(__xludf.DUMMYFUNCTION("""COMPUTED_VALUE"""),"16.987.090-9")</f>
        <v>16.987.090-9</v>
      </c>
      <c r="C41" s="9" t="str">
        <f>IFERROR(__xludf.DUMMYFUNCTION("""COMPUTED_VALUE"""),"Macarena Soto Muñoz")</f>
        <v>Macarena Soto Muñoz</v>
      </c>
      <c r="D41" s="9" t="str">
        <f>IFERROR(__xludf.DUMMYFUNCTION("""COMPUTED_VALUE"""),"mac.soto@outlook.cl")</f>
        <v>mac.soto@outlook.cl</v>
      </c>
      <c r="E41" s="9" t="str">
        <f>IFERROR(__xludf.DUMMYFUNCTION("""COMPUTED_VALUE"""),"Las Condes")</f>
        <v>Las Condes</v>
      </c>
      <c r="F41" s="9" t="str">
        <f>IFERROR(__xludf.DUMMYFUNCTION("""COMPUTED_VALUE"""),"Santiago")</f>
        <v>Santiago</v>
      </c>
      <c r="G41" s="9" t="str">
        <f>IFERROR(__xludf.DUMMYFUNCTION("""COMPUTED_VALUE"""),"Región Metropolitana")</f>
        <v>Región Metropolitana</v>
      </c>
      <c r="H41" s="10">
        <f>IFERROR(__xludf.DUMMYFUNCTION("""COMPUTED_VALUE"""),1.935E7)</f>
        <v>19350000</v>
      </c>
    </row>
    <row r="42">
      <c r="A42" s="9" t="str">
        <f>IFERROR(__xludf.DUMMYFUNCTION("""COMPUTED_VALUE"""),"CLI-0174")</f>
        <v>CLI-0174</v>
      </c>
      <c r="B42" s="9" t="str">
        <f>IFERROR(__xludf.DUMMYFUNCTION("""COMPUTED_VALUE"""),"18.284.772-7")</f>
        <v>18.284.772-7</v>
      </c>
      <c r="C42" s="9" t="str">
        <f>IFERROR(__xludf.DUMMYFUNCTION("""COMPUTED_VALUE"""),"Hernán Morales Contreras")</f>
        <v>Hernán Morales Contreras</v>
      </c>
      <c r="D42" s="9" t="str">
        <f>IFERROR(__xludf.DUMMYFUNCTION("""COMPUTED_VALUE"""),"her.morales@empresa.cl")</f>
        <v>her.morales@empresa.cl</v>
      </c>
      <c r="E42" s="9" t="str">
        <f>IFERROR(__xludf.DUMMYFUNCTION("""COMPUTED_VALUE"""),"Maipú")</f>
        <v>Maipú</v>
      </c>
      <c r="F42" s="9" t="str">
        <f>IFERROR(__xludf.DUMMYFUNCTION("""COMPUTED_VALUE"""),"Santiago")</f>
        <v>Santiago</v>
      </c>
      <c r="G42" s="9" t="str">
        <f>IFERROR(__xludf.DUMMYFUNCTION("""COMPUTED_VALUE"""),"Región Metropolitana")</f>
        <v>Región Metropolitana</v>
      </c>
      <c r="H42" s="10">
        <f>IFERROR(__xludf.DUMMYFUNCTION("""COMPUTED_VALUE"""),1.933E7)</f>
        <v>19330000</v>
      </c>
    </row>
    <row r="43">
      <c r="A43" s="9" t="str">
        <f>IFERROR(__xludf.DUMMYFUNCTION("""COMPUTED_VALUE"""),"CLI-0374")</f>
        <v>CLI-0374</v>
      </c>
      <c r="B43" s="9" t="str">
        <f>IFERROR(__xludf.DUMMYFUNCTION("""COMPUTED_VALUE"""),"18.441.773-K")</f>
        <v>18.441.773-K</v>
      </c>
      <c r="C43" s="9" t="str">
        <f>IFERROR(__xludf.DUMMYFUNCTION("""COMPUTED_VALUE"""),"Cristián Valenzuela Valenzuela")</f>
        <v>Cristián Valenzuela Valenzuela</v>
      </c>
      <c r="D43" s="9" t="str">
        <f>IFERROR(__xludf.DUMMYFUNCTION("""COMPUTED_VALUE"""),"cri.valenzuela@gmail.com")</f>
        <v>cri.valenzuela@gmail.com</v>
      </c>
      <c r="E43" s="9" t="str">
        <f>IFERROR(__xludf.DUMMYFUNCTION("""COMPUTED_VALUE"""),"Providencia")</f>
        <v>Providencia</v>
      </c>
      <c r="F43" s="9" t="str">
        <f>IFERROR(__xludf.DUMMYFUNCTION("""COMPUTED_VALUE"""),"Santiago")</f>
        <v>Santiago</v>
      </c>
      <c r="G43" s="9" t="str">
        <f>IFERROR(__xludf.DUMMYFUNCTION("""COMPUTED_VALUE"""),"Región Metropolitana")</f>
        <v>Región Metropolitana</v>
      </c>
      <c r="H43" s="10">
        <f>IFERROR(__xludf.DUMMYFUNCTION("""COMPUTED_VALUE"""),1.923E7)</f>
        <v>19230000</v>
      </c>
    </row>
    <row r="44">
      <c r="A44" s="9" t="str">
        <f>IFERROR(__xludf.DUMMYFUNCTION("""COMPUTED_VALUE"""),"CLI-0285")</f>
        <v>CLI-0285</v>
      </c>
      <c r="B44" s="9" t="str">
        <f>IFERROR(__xludf.DUMMYFUNCTION("""COMPUTED_VALUE"""),"12.564.358-1")</f>
        <v>12.564.358-1</v>
      </c>
      <c r="C44" s="9" t="str">
        <f>IFERROR(__xludf.DUMMYFUNCTION("""COMPUTED_VALUE"""),"Javiera Silva Araya")</f>
        <v>Javiera Silva Araya</v>
      </c>
      <c r="D44" s="9" t="str">
        <f>IFERROR(__xludf.DUMMYFUNCTION("""COMPUTED_VALUE"""),"jav.silva@gmail.com")</f>
        <v>jav.silva@gmail.com</v>
      </c>
      <c r="E44" s="9" t="str">
        <f>IFERROR(__xludf.DUMMYFUNCTION("""COMPUTED_VALUE"""),"Providencia")</f>
        <v>Providencia</v>
      </c>
      <c r="F44" s="9" t="str">
        <f>IFERROR(__xludf.DUMMYFUNCTION("""COMPUTED_VALUE"""),"Santiago")</f>
        <v>Santiago</v>
      </c>
      <c r="G44" s="9" t="str">
        <f>IFERROR(__xludf.DUMMYFUNCTION("""COMPUTED_VALUE"""),"Región Metropolitana")</f>
        <v>Región Metropolitana</v>
      </c>
      <c r="H44" s="10">
        <f>IFERROR(__xludf.DUMMYFUNCTION("""COMPUTED_VALUE"""),1.92E7)</f>
        <v>19200000</v>
      </c>
    </row>
    <row r="45">
      <c r="A45" s="9" t="str">
        <f>IFERROR(__xludf.DUMMYFUNCTION("""COMPUTED_VALUE"""),"CLI-0561")</f>
        <v>CLI-0561</v>
      </c>
      <c r="B45" s="9" t="str">
        <f>IFERROR(__xludf.DUMMYFUNCTION("""COMPUTED_VALUE"""),"14.622.252-K")</f>
        <v>14.622.252-K</v>
      </c>
      <c r="C45" s="9" t="str">
        <f>IFERROR(__xludf.DUMMYFUNCTION("""COMPUTED_VALUE"""),"Daniela Sepúlveda Morales")</f>
        <v>Daniela Sepúlveda Morales</v>
      </c>
      <c r="D45" s="9" t="str">
        <f>IFERROR(__xludf.DUMMYFUNCTION("""COMPUTED_VALUE"""),"dan.sepúlveda@outlook.cl")</f>
        <v>dan.sepúlveda@outlook.cl</v>
      </c>
      <c r="E45" s="9" t="str">
        <f>IFERROR(__xludf.DUMMYFUNCTION("""COMPUTED_VALUE"""),"Santiago Centro")</f>
        <v>Santiago Centro</v>
      </c>
      <c r="F45" s="9" t="str">
        <f>IFERROR(__xludf.DUMMYFUNCTION("""COMPUTED_VALUE"""),"Santiago")</f>
        <v>Santiago</v>
      </c>
      <c r="G45" s="9" t="str">
        <f>IFERROR(__xludf.DUMMYFUNCTION("""COMPUTED_VALUE"""),"Región Metropolitana")</f>
        <v>Región Metropolitana</v>
      </c>
      <c r="H45" s="10">
        <f>IFERROR(__xludf.DUMMYFUNCTION("""COMPUTED_VALUE"""),1.911E7)</f>
        <v>19110000</v>
      </c>
    </row>
    <row r="46">
      <c r="A46" s="9" t="str">
        <f>IFERROR(__xludf.DUMMYFUNCTION("""COMPUTED_VALUE"""),"CLI-0582")</f>
        <v>CLI-0582</v>
      </c>
      <c r="B46" s="9" t="str">
        <f>IFERROR(__xludf.DUMMYFUNCTION("""COMPUTED_VALUE"""),"19499949-6")</f>
        <v>19499949-6</v>
      </c>
      <c r="C46" s="9" t="str">
        <f>IFERROR(__xludf.DUMMYFUNCTION("""COMPUTED_VALUE"""),"Diego Rojas Araya")</f>
        <v>Diego Rojas Araya</v>
      </c>
      <c r="D46" s="9" t="str">
        <f>IFERROR(__xludf.DUMMYFUNCTION("""COMPUTED_VALUE"""),"die.rojas@outlook.cl")</f>
        <v>die.rojas@outlook.cl</v>
      </c>
      <c r="E46" s="9" t="str">
        <f>IFERROR(__xludf.DUMMYFUNCTION("""COMPUTED_VALUE"""),"Ñuñoa")</f>
        <v>Ñuñoa</v>
      </c>
      <c r="F46" s="9" t="str">
        <f>IFERROR(__xludf.DUMMYFUNCTION("""COMPUTED_VALUE"""),"Santiago")</f>
        <v>Santiago</v>
      </c>
      <c r="G46" s="9" t="str">
        <f>IFERROR(__xludf.DUMMYFUNCTION("""COMPUTED_VALUE"""),"Región Metropolitana")</f>
        <v>Región Metropolitana</v>
      </c>
      <c r="H46" s="10">
        <f>IFERROR(__xludf.DUMMYFUNCTION("""COMPUTED_VALUE"""),1.909E7)</f>
        <v>19090000</v>
      </c>
    </row>
    <row r="47">
      <c r="A47" s="9" t="str">
        <f>IFERROR(__xludf.DUMMYFUNCTION("""COMPUTED_VALUE"""),"CLI-0945")</f>
        <v>CLI-0945</v>
      </c>
      <c r="B47" s="9" t="str">
        <f>IFERROR(__xludf.DUMMYFUNCTION("""COMPUTED_VALUE"""),"14.307.016-8")</f>
        <v>14.307.016-8</v>
      </c>
      <c r="C47" s="9" t="str">
        <f>IFERROR(__xludf.DUMMYFUNCTION("""COMPUTED_VALUE"""),"Francisca López Sepúlveda")</f>
        <v>Francisca López Sepúlveda</v>
      </c>
      <c r="D47" s="9" t="str">
        <f>IFERROR(__xludf.DUMMYFUNCTION("""COMPUTED_VALUE"""),"fra.lópez@gmail.com")</f>
        <v>fra.lópez@gmail.com</v>
      </c>
      <c r="E47" s="9" t="str">
        <f>IFERROR(__xludf.DUMMYFUNCTION("""COMPUTED_VALUE"""),"Ñuñoa")</f>
        <v>Ñuñoa</v>
      </c>
      <c r="F47" s="9" t="str">
        <f>IFERROR(__xludf.DUMMYFUNCTION("""COMPUTED_VALUE"""),"Santiago")</f>
        <v>Santiago</v>
      </c>
      <c r="G47" s="9" t="str">
        <f>IFERROR(__xludf.DUMMYFUNCTION("""COMPUTED_VALUE"""),"Región Metropolitana")</f>
        <v>Región Metropolitana</v>
      </c>
      <c r="H47" s="10">
        <f>IFERROR(__xludf.DUMMYFUNCTION("""COMPUTED_VALUE"""),1.901E7)</f>
        <v>19010000</v>
      </c>
    </row>
    <row r="48">
      <c r="A48" s="9" t="str">
        <f>IFERROR(__xludf.DUMMYFUNCTION("""COMPUTED_VALUE"""),"CLI-0906")</f>
        <v>CLI-0906</v>
      </c>
      <c r="B48" s="9" t="str">
        <f>IFERROR(__xludf.DUMMYFUNCTION("""COMPUTED_VALUE"""),"11.106.386-8")</f>
        <v>11.106.386-8</v>
      </c>
      <c r="C48" s="9" t="str">
        <f>IFERROR(__xludf.DUMMYFUNCTION("""COMPUTED_VALUE"""),"Diego Pérez Rodríguez")</f>
        <v>Diego Pérez Rodríguez</v>
      </c>
      <c r="D48" s="9" t="str">
        <f>IFERROR(__xludf.DUMMYFUNCTION("""COMPUTED_VALUE"""),"die.pérez@outlook.cl")</f>
        <v>die.pérez@outlook.cl</v>
      </c>
      <c r="E48" s="9" t="str">
        <f>IFERROR(__xludf.DUMMYFUNCTION("""COMPUTED_VALUE"""),"Providencia")</f>
        <v>Providencia</v>
      </c>
      <c r="F48" s="9" t="str">
        <f>IFERROR(__xludf.DUMMYFUNCTION("""COMPUTED_VALUE"""),"Santiago")</f>
        <v>Santiago</v>
      </c>
      <c r="G48" s="9" t="str">
        <f>IFERROR(__xludf.DUMMYFUNCTION("""COMPUTED_VALUE"""),"Región Metropolitana")</f>
        <v>Región Metropolitana</v>
      </c>
      <c r="H48" s="10">
        <f>IFERROR(__xludf.DUMMYFUNCTION("""COMPUTED_VALUE"""),1.893E7)</f>
        <v>18930000</v>
      </c>
    </row>
    <row r="49">
      <c r="A49" s="9" t="str">
        <f>IFERROR(__xludf.DUMMYFUNCTION("""COMPUTED_VALUE"""),"CLI-0417")</f>
        <v>CLI-0417</v>
      </c>
      <c r="B49" s="9" t="str">
        <f>IFERROR(__xludf.DUMMYFUNCTION("""COMPUTED_VALUE"""),"20.174.207-2")</f>
        <v>20.174.207-2</v>
      </c>
      <c r="C49" s="9" t="str">
        <f>IFERROR(__xludf.DUMMYFUNCTION("""COMPUTED_VALUE"""),"Fernanda Morales González")</f>
        <v>Fernanda Morales González</v>
      </c>
      <c r="D49" s="9" t="str">
        <f>IFERROR(__xludf.DUMMYFUNCTION("""COMPUTED_VALUE"""),"fer.morales@consultora.cl")</f>
        <v>fer.morales@consultora.cl</v>
      </c>
      <c r="E49" s="9" t="str">
        <f>IFERROR(__xludf.DUMMYFUNCTION("""COMPUTED_VALUE"""),"Maipú")</f>
        <v>Maipú</v>
      </c>
      <c r="F49" s="9" t="str">
        <f>IFERROR(__xludf.DUMMYFUNCTION("""COMPUTED_VALUE"""),"Santiago")</f>
        <v>Santiago</v>
      </c>
      <c r="G49" s="9" t="str">
        <f>IFERROR(__xludf.DUMMYFUNCTION("""COMPUTED_VALUE"""),"Región Metropolitana")</f>
        <v>Región Metropolitana</v>
      </c>
      <c r="H49" s="10">
        <f>IFERROR(__xludf.DUMMYFUNCTION("""COMPUTED_VALUE"""),1.89E7)</f>
        <v>18900000</v>
      </c>
    </row>
    <row r="50">
      <c r="A50" s="9" t="str">
        <f>IFERROR(__xludf.DUMMYFUNCTION("""COMPUTED_VALUE"""),"CLI-0514")</f>
        <v>CLI-0514</v>
      </c>
      <c r="B50" s="9" t="str">
        <f>IFERROR(__xludf.DUMMYFUNCTION("""COMPUTED_VALUE"""),"19.362.264-8")</f>
        <v>19.362.264-8</v>
      </c>
      <c r="C50" s="9" t="str">
        <f>IFERROR(__xludf.DUMMYFUNCTION("""COMPUTED_VALUE"""),"Matías Rojas Rodríguez")</f>
        <v>Matías Rojas Rodríguez</v>
      </c>
      <c r="D50" s="9" t="str">
        <f>IFERROR(__xludf.DUMMYFUNCTION("""COMPUTED_VALUE"""),"mat.rojas@empresa.cl")</f>
        <v>mat.rojas@empresa.cl</v>
      </c>
      <c r="E50" s="9" t="str">
        <f>IFERROR(__xludf.DUMMYFUNCTION("""COMPUTED_VALUE"""),"Providencia")</f>
        <v>Providencia</v>
      </c>
      <c r="F50" s="9" t="str">
        <f>IFERROR(__xludf.DUMMYFUNCTION("""COMPUTED_VALUE"""),"Santiago")</f>
        <v>Santiago</v>
      </c>
      <c r="G50" s="9" t="str">
        <f>IFERROR(__xludf.DUMMYFUNCTION("""COMPUTED_VALUE"""),"Región Metropolitana")</f>
        <v>Región Metropolitana</v>
      </c>
      <c r="H50" s="10">
        <f>IFERROR(__xludf.DUMMYFUNCTION("""COMPUTED_VALUE"""),1.887E7)</f>
        <v>18870000</v>
      </c>
    </row>
    <row r="51">
      <c r="A51" s="9" t="str">
        <f>IFERROR(__xludf.DUMMYFUNCTION("""COMPUTED_VALUE"""),"CLI-0784")</f>
        <v>CLI-0784</v>
      </c>
      <c r="B51" s="9" t="str">
        <f>IFERROR(__xludf.DUMMYFUNCTION("""COMPUTED_VALUE"""),"17.956.679-5")</f>
        <v>17.956.679-5</v>
      </c>
      <c r="C51" s="9" t="str">
        <f>IFERROR(__xludf.DUMMYFUNCTION("""COMPUTED_VALUE"""),"Tomas Rodríguez Valenzuela")</f>
        <v>Tomas Rodríguez Valenzuela</v>
      </c>
      <c r="D51" s="9" t="str">
        <f>IFERROR(__xludf.DUMMYFUNCTION("""COMPUTED_VALUE"""),"tom.rodríguez@gmail.com")</f>
        <v>tom.rodríguez@gmail.com</v>
      </c>
      <c r="E51" s="9" t="str">
        <f>IFERROR(__xludf.DUMMYFUNCTION("""COMPUTED_VALUE"""),"Santiago Centro")</f>
        <v>Santiago Centro</v>
      </c>
      <c r="F51" s="9" t="str">
        <f>IFERROR(__xludf.DUMMYFUNCTION("""COMPUTED_VALUE"""),"Santiago")</f>
        <v>Santiago</v>
      </c>
      <c r="G51" s="9" t="str">
        <f>IFERROR(__xludf.DUMMYFUNCTION("""COMPUTED_VALUE"""),"Región Metropolitana")</f>
        <v>Región Metropolitana</v>
      </c>
      <c r="H51" s="10">
        <f>IFERROR(__xludf.DUMMYFUNCTION("""COMPUTED_VALUE"""),1.879E7)</f>
        <v>18790000</v>
      </c>
    </row>
    <row r="52">
      <c r="A52" s="9" t="str">
        <f>IFERROR(__xludf.DUMMYFUNCTION("""COMPUTED_VALUE"""),"CLI-0683")</f>
        <v>CLI-0683</v>
      </c>
      <c r="B52" s="9" t="str">
        <f>IFERROR(__xludf.DUMMYFUNCTION("""COMPUTED_VALUE"""),"17.993.339-9")</f>
        <v>17.993.339-9</v>
      </c>
      <c r="C52" s="9" t="str">
        <f>IFERROR(__xludf.DUMMYFUNCTION("""COMPUTED_VALUE"""),"Francisca Silva Contreras")</f>
        <v>Francisca Silva Contreras</v>
      </c>
      <c r="D52" s="9" t="str">
        <f>IFERROR(__xludf.DUMMYFUNCTION("""COMPUTED_VALUE"""),"fra.silva@sura.cl")</f>
        <v>fra.silva@sura.cl</v>
      </c>
      <c r="E52" s="9" t="str">
        <f>IFERROR(__xludf.DUMMYFUNCTION("""COMPUTED_VALUE"""),"Maipú")</f>
        <v>Maipú</v>
      </c>
      <c r="F52" s="9" t="str">
        <f>IFERROR(__xludf.DUMMYFUNCTION("""COMPUTED_VALUE"""),"Santiago")</f>
        <v>Santiago</v>
      </c>
      <c r="G52" s="9" t="str">
        <f>IFERROR(__xludf.DUMMYFUNCTION("""COMPUTED_VALUE"""),"Región Metropolitana")</f>
        <v>Región Metropolitana</v>
      </c>
      <c r="H52" s="10">
        <f>IFERROR(__xludf.DUMMYFUNCTION("""COMPUTED_VALUE"""),1.875E7)</f>
        <v>18750000</v>
      </c>
    </row>
    <row r="53">
      <c r="A53" s="9" t="str">
        <f>IFERROR(__xludf.DUMMYFUNCTION("""COMPUTED_VALUE"""),"CLI-0951")</f>
        <v>CLI-0951</v>
      </c>
      <c r="B53" s="9" t="str">
        <f>IFERROR(__xludf.DUMMYFUNCTION("""COMPUTED_VALUE"""),"16.895.044-K")</f>
        <v>16.895.044-K</v>
      </c>
      <c r="C53" s="9" t="str">
        <f>IFERROR(__xludf.DUMMYFUNCTION("""COMPUTED_VALUE"""),"Valentina Fuentes Contreras")</f>
        <v>Valentina Fuentes Contreras</v>
      </c>
      <c r="D53" s="9" t="str">
        <f>IFERROR(__xludf.DUMMYFUNCTION("""COMPUTED_VALUE"""),"val.fuentes@empresa.cl")</f>
        <v>val.fuentes@empresa.cl</v>
      </c>
      <c r="E53" s="9" t="str">
        <f>IFERROR(__xludf.DUMMYFUNCTION("""COMPUTED_VALUE"""),"Santiago Centro")</f>
        <v>Santiago Centro</v>
      </c>
      <c r="F53" s="9" t="str">
        <f>IFERROR(__xludf.DUMMYFUNCTION("""COMPUTED_VALUE"""),"Santiago")</f>
        <v>Santiago</v>
      </c>
      <c r="G53" s="9" t="str">
        <f>IFERROR(__xludf.DUMMYFUNCTION("""COMPUTED_VALUE"""),"Región Metropolitana")</f>
        <v>Región Metropolitana</v>
      </c>
      <c r="H53" s="10">
        <f>IFERROR(__xludf.DUMMYFUNCTION("""COMPUTED_VALUE"""),1.874E7)</f>
        <v>18740000</v>
      </c>
    </row>
    <row r="54">
      <c r="A54" s="9" t="str">
        <f>IFERROR(__xludf.DUMMYFUNCTION("""COMPUTED_VALUE"""),"CLI-0212")</f>
        <v>CLI-0212</v>
      </c>
      <c r="B54" s="9" t="str">
        <f>IFERROR(__xludf.DUMMYFUNCTION("""COMPUTED_VALUE"""),"18.622.686-3")</f>
        <v>18.622.686-3</v>
      </c>
      <c r="C54" s="9" t="str">
        <f>IFERROR(__xludf.DUMMYFUNCTION("""COMPUTED_VALUE"""),"Claudio Rojas Valenzuela")</f>
        <v>Claudio Rojas Valenzuela</v>
      </c>
      <c r="D54" s="9" t="str">
        <f>IFERROR(__xludf.DUMMYFUNCTION("""COMPUTED_VALUE"""),"cla.rojas@gmail.com")</f>
        <v>cla.rojas@gmail.com</v>
      </c>
      <c r="E54" s="9" t="str">
        <f>IFERROR(__xludf.DUMMYFUNCTION("""COMPUTED_VALUE"""),"Maipú")</f>
        <v>Maipú</v>
      </c>
      <c r="F54" s="9" t="str">
        <f>IFERROR(__xludf.DUMMYFUNCTION("""COMPUTED_VALUE"""),"Santiago")</f>
        <v>Santiago</v>
      </c>
      <c r="G54" s="9" t="str">
        <f>IFERROR(__xludf.DUMMYFUNCTION("""COMPUTED_VALUE"""),"Región Metropolitana")</f>
        <v>Región Metropolitana</v>
      </c>
      <c r="H54" s="10">
        <f>IFERROR(__xludf.DUMMYFUNCTION("""COMPUTED_VALUE"""),1.873E7)</f>
        <v>18730000</v>
      </c>
    </row>
    <row r="55">
      <c r="A55" s="9" t="str">
        <f>IFERROR(__xludf.DUMMYFUNCTION("""COMPUTED_VALUE"""),"CLI-0467")</f>
        <v>CLI-0467</v>
      </c>
      <c r="B55" s="9" t="str">
        <f>IFERROR(__xludf.DUMMYFUNCTION("""COMPUTED_VALUE"""),"14.863.931-1")</f>
        <v>14.863.931-1</v>
      </c>
      <c r="C55" s="9" t="str">
        <f>IFERROR(__xludf.DUMMYFUNCTION("""COMPUTED_VALUE"""),"Valentina Muñoz Díaz")</f>
        <v>Valentina Muñoz Díaz</v>
      </c>
      <c r="D55" s="9" t="str">
        <f>IFERROR(__xludf.DUMMYFUNCTION("""COMPUTED_VALUE"""),"val.muñoz@sura.cl")</f>
        <v>val.muñoz@sura.cl</v>
      </c>
      <c r="E55" s="9" t="str">
        <f>IFERROR(__xludf.DUMMYFUNCTION("""COMPUTED_VALUE"""),"Santiago Centro")</f>
        <v>Santiago Centro</v>
      </c>
      <c r="F55" s="9" t="str">
        <f>IFERROR(__xludf.DUMMYFUNCTION("""COMPUTED_VALUE"""),"Santiago")</f>
        <v>Santiago</v>
      </c>
      <c r="G55" s="9" t="str">
        <f>IFERROR(__xludf.DUMMYFUNCTION("""COMPUTED_VALUE"""),"Región Metropolitana")</f>
        <v>Región Metropolitana</v>
      </c>
      <c r="H55" s="10">
        <f>IFERROR(__xludf.DUMMYFUNCTION("""COMPUTED_VALUE"""),1.873E7)</f>
        <v>18730000</v>
      </c>
    </row>
    <row r="56">
      <c r="A56" s="9" t="str">
        <f>IFERROR(__xludf.DUMMYFUNCTION("""COMPUTED_VALUE"""),"CLI-0388")</f>
        <v>CLI-0388</v>
      </c>
      <c r="B56" s="9" t="str">
        <f>IFERROR(__xludf.DUMMYFUNCTION("""COMPUTED_VALUE"""),"21.035.069-7")</f>
        <v>21.035.069-7</v>
      </c>
      <c r="C56" s="9" t="str">
        <f>IFERROR(__xludf.DUMMYFUNCTION("""COMPUTED_VALUE"""),"Gabriel Muñoz Espinoza")</f>
        <v>Gabriel Muñoz Espinoza</v>
      </c>
      <c r="D56" s="9" t="str">
        <f>IFERROR(__xludf.DUMMYFUNCTION("""COMPUTED_VALUE"""),"gab.muñoz@gmail.com")</f>
        <v>gab.muñoz@gmail.com</v>
      </c>
      <c r="E56" s="9" t="str">
        <f>IFERROR(__xludf.DUMMYFUNCTION("""COMPUTED_VALUE"""),"Providencia")</f>
        <v>Providencia</v>
      </c>
      <c r="F56" s="9" t="str">
        <f>IFERROR(__xludf.DUMMYFUNCTION("""COMPUTED_VALUE"""),"Santiago")</f>
        <v>Santiago</v>
      </c>
      <c r="G56" s="9" t="str">
        <f>IFERROR(__xludf.DUMMYFUNCTION("""COMPUTED_VALUE"""),"Región Metropolitana")</f>
        <v>Región Metropolitana</v>
      </c>
      <c r="H56" s="10">
        <f>IFERROR(__xludf.DUMMYFUNCTION("""COMPUTED_VALUE"""),1.865E7)</f>
        <v>18650000</v>
      </c>
    </row>
    <row r="57">
      <c r="A57" s="9" t="str">
        <f>IFERROR(__xludf.DUMMYFUNCTION("""COMPUTED_VALUE"""),"CLI-0695")</f>
        <v>CLI-0695</v>
      </c>
      <c r="B57" s="9" t="str">
        <f>IFERROR(__xludf.DUMMYFUNCTION("""COMPUTED_VALUE"""),"22.064.179-3")</f>
        <v>22.064.179-3</v>
      </c>
      <c r="C57" s="9" t="str">
        <f>IFERROR(__xludf.DUMMYFUNCTION("""COMPUTED_VALUE"""),"Sofia Rodríguez Vergara")</f>
        <v>Sofia Rodríguez Vergara</v>
      </c>
      <c r="D57" s="9" t="str">
        <f>IFERROR(__xludf.DUMMYFUNCTION("""COMPUTED_VALUE"""),"sof.rodríguez@servicios.cl")</f>
        <v>sof.rodríguez@servicios.cl</v>
      </c>
      <c r="E57" s="9" t="str">
        <f>IFERROR(__xludf.DUMMYFUNCTION("""COMPUTED_VALUE"""),"Las Condes")</f>
        <v>Las Condes</v>
      </c>
      <c r="F57" s="9" t="str">
        <f>IFERROR(__xludf.DUMMYFUNCTION("""COMPUTED_VALUE"""),"Santiago")</f>
        <v>Santiago</v>
      </c>
      <c r="G57" s="9" t="str">
        <f>IFERROR(__xludf.DUMMYFUNCTION("""COMPUTED_VALUE"""),"Región Metropolitana")</f>
        <v>Región Metropolitana</v>
      </c>
      <c r="H57" s="10">
        <f>IFERROR(__xludf.DUMMYFUNCTION("""COMPUTED_VALUE"""),1.861E7)</f>
        <v>18610000</v>
      </c>
    </row>
    <row r="58">
      <c r="A58" s="9" t="str">
        <f>IFERROR(__xludf.DUMMYFUNCTION("""COMPUTED_VALUE"""),"CLI-0379")</f>
        <v>CLI-0379</v>
      </c>
      <c r="B58" s="9" t="str">
        <f>IFERROR(__xludf.DUMMYFUNCTION("""COMPUTED_VALUE"""),"15.243.099-8")</f>
        <v>15.243.099-8</v>
      </c>
      <c r="C58" s="9" t="str">
        <f>IFERROR(__xludf.DUMMYFUNCTION("""COMPUTED_VALUE"""),"Carolina Espinoza Díaz")</f>
        <v>Carolina Espinoza Díaz</v>
      </c>
      <c r="D58" s="9" t="str">
        <f>IFERROR(__xludf.DUMMYFUNCTION("""COMPUTED_VALUE"""),"car.espinoza@consultora.cl")</f>
        <v>car.espinoza@consultora.cl</v>
      </c>
      <c r="E58" s="9" t="str">
        <f>IFERROR(__xludf.DUMMYFUNCTION("""COMPUTED_VALUE"""),"Maipú")</f>
        <v>Maipú</v>
      </c>
      <c r="F58" s="9" t="str">
        <f>IFERROR(__xludf.DUMMYFUNCTION("""COMPUTED_VALUE"""),"Santiago")</f>
        <v>Santiago</v>
      </c>
      <c r="G58" s="9" t="str">
        <f>IFERROR(__xludf.DUMMYFUNCTION("""COMPUTED_VALUE"""),"Región Metropolitana")</f>
        <v>Región Metropolitana</v>
      </c>
      <c r="H58" s="10">
        <f>IFERROR(__xludf.DUMMYFUNCTION("""COMPUTED_VALUE"""),1.859E7)</f>
        <v>18590000</v>
      </c>
    </row>
    <row r="59">
      <c r="A59" s="9" t="str">
        <f>IFERROR(__xludf.DUMMYFUNCTION("""COMPUTED_VALUE"""),"CLI-0700")</f>
        <v>CLI-0700</v>
      </c>
      <c r="B59" s="9" t="str">
        <f>IFERROR(__xludf.DUMMYFUNCTION("""COMPUTED_VALUE"""),"19062672-8")</f>
        <v>19062672-8</v>
      </c>
      <c r="C59" s="9" t="str">
        <f>IFERROR(__xludf.DUMMYFUNCTION("""COMPUTED_VALUE"""),"Mauricio González Silva")</f>
        <v>Mauricio González Silva</v>
      </c>
      <c r="D59" s="9" t="str">
        <f>IFERROR(__xludf.DUMMYFUNCTION("""COMPUTED_VALUE"""),"mau.gonzález@outlook.cl")</f>
        <v>mau.gonzález@outlook.cl</v>
      </c>
      <c r="E59" s="9" t="str">
        <f>IFERROR(__xludf.DUMMYFUNCTION("""COMPUTED_VALUE"""),"Maipú")</f>
        <v>Maipú</v>
      </c>
      <c r="F59" s="9" t="str">
        <f>IFERROR(__xludf.DUMMYFUNCTION("""COMPUTED_VALUE"""),"Santiago")</f>
        <v>Santiago</v>
      </c>
      <c r="G59" s="9" t="str">
        <f>IFERROR(__xludf.DUMMYFUNCTION("""COMPUTED_VALUE"""),"Región Metropolitana")</f>
        <v>Región Metropolitana</v>
      </c>
      <c r="H59" s="10">
        <f>IFERROR(__xludf.DUMMYFUNCTION("""COMPUTED_VALUE"""),1.859E7)</f>
        <v>18590000</v>
      </c>
    </row>
    <row r="60">
      <c r="A60" s="9" t="str">
        <f>IFERROR(__xludf.DUMMYFUNCTION("""COMPUTED_VALUE"""),"CLI-0676")</f>
        <v>CLI-0676</v>
      </c>
      <c r="B60" s="9" t="str">
        <f>IFERROR(__xludf.DUMMYFUNCTION("""COMPUTED_VALUE"""),"14186186-0")</f>
        <v>14186186-0</v>
      </c>
      <c r="C60" s="9" t="str">
        <f>IFERROR(__xludf.DUMMYFUNCTION("""COMPUTED_VALUE"""),"Mauricio González López")</f>
        <v>Mauricio González López</v>
      </c>
      <c r="D60" s="9" t="str">
        <f>IFERROR(__xludf.DUMMYFUNCTION("""COMPUTED_VALUE"""),"mau.gonzález@consultora.cl")</f>
        <v>mau.gonzález@consultora.cl</v>
      </c>
      <c r="E60" s="9" t="str">
        <f>IFERROR(__xludf.DUMMYFUNCTION("""COMPUTED_VALUE"""),"Ñuñoa")</f>
        <v>Ñuñoa</v>
      </c>
      <c r="F60" s="9" t="str">
        <f>IFERROR(__xludf.DUMMYFUNCTION("""COMPUTED_VALUE"""),"Santiago")</f>
        <v>Santiago</v>
      </c>
      <c r="G60" s="9" t="str">
        <f>IFERROR(__xludf.DUMMYFUNCTION("""COMPUTED_VALUE"""),"Región Metropolitana")</f>
        <v>Región Metropolitana</v>
      </c>
      <c r="H60" s="10">
        <f>IFERROR(__xludf.DUMMYFUNCTION("""COMPUTED_VALUE"""),1.843E7)</f>
        <v>18430000</v>
      </c>
    </row>
    <row r="61">
      <c r="A61" s="9" t="str">
        <f>IFERROR(__xludf.DUMMYFUNCTION("""COMPUTED_VALUE"""),"CLI-0616")</f>
        <v>CLI-0616</v>
      </c>
      <c r="B61" s="9" t="str">
        <f>IFERROR(__xludf.DUMMYFUNCTION("""COMPUTED_VALUE"""),"12.785.688-8")</f>
        <v>12.785.688-8</v>
      </c>
      <c r="C61" s="9" t="str">
        <f>IFERROR(__xludf.DUMMYFUNCTION("""COMPUTED_VALUE"""),"Claudio Tapia Morales")</f>
        <v>Claudio Tapia Morales</v>
      </c>
      <c r="D61" s="9" t="str">
        <f>IFERROR(__xludf.DUMMYFUNCTION("""COMPUTED_VALUE"""),"cla.tapia@outlook.cl")</f>
        <v>cla.tapia@outlook.cl</v>
      </c>
      <c r="E61" s="9" t="str">
        <f>IFERROR(__xludf.DUMMYFUNCTION("""COMPUTED_VALUE"""),"Santiago Centro")</f>
        <v>Santiago Centro</v>
      </c>
      <c r="F61" s="9" t="str">
        <f>IFERROR(__xludf.DUMMYFUNCTION("""COMPUTED_VALUE"""),"Santiago")</f>
        <v>Santiago</v>
      </c>
      <c r="G61" s="9" t="str">
        <f>IFERROR(__xludf.DUMMYFUNCTION("""COMPUTED_VALUE"""),"Región Metropolitana")</f>
        <v>Región Metropolitana</v>
      </c>
      <c r="H61" s="10">
        <f>IFERROR(__xludf.DUMMYFUNCTION("""COMPUTED_VALUE"""),1.838E7)</f>
        <v>18380000</v>
      </c>
    </row>
    <row r="62">
      <c r="A62" s="9" t="str">
        <f>IFERROR(__xludf.DUMMYFUNCTION("""COMPUTED_VALUE"""),"CLI-0053")</f>
        <v>CLI-0053</v>
      </c>
      <c r="B62" s="9" t="str">
        <f>IFERROR(__xludf.DUMMYFUNCTION("""COMPUTED_VALUE"""),"21.890.262-5")</f>
        <v>21.890.262-5</v>
      </c>
      <c r="C62" s="9" t="str">
        <f>IFERROR(__xludf.DUMMYFUNCTION("""COMPUTED_VALUE"""),"Daniela Rodríguez Pérez")</f>
        <v>Daniela Rodríguez Pérez</v>
      </c>
      <c r="D62" s="9" t="str">
        <f>IFERROR(__xludf.DUMMYFUNCTION("""COMPUTED_VALUE"""),"dan.rodríguez@empresa.cl")</f>
        <v>dan.rodríguez@empresa.cl</v>
      </c>
      <c r="E62" s="9" t="str">
        <f>IFERROR(__xludf.DUMMYFUNCTION("""COMPUTED_VALUE"""),"Providencia")</f>
        <v>Providencia</v>
      </c>
      <c r="F62" s="9" t="str">
        <f>IFERROR(__xludf.DUMMYFUNCTION("""COMPUTED_VALUE"""),"Santiago")</f>
        <v>Santiago</v>
      </c>
      <c r="G62" s="9" t="str">
        <f>IFERROR(__xludf.DUMMYFUNCTION("""COMPUTED_VALUE"""),"Región Metropolitana")</f>
        <v>Región Metropolitana</v>
      </c>
      <c r="H62" s="10">
        <f>IFERROR(__xludf.DUMMYFUNCTION("""COMPUTED_VALUE"""),1.836E7)</f>
        <v>18360000</v>
      </c>
    </row>
    <row r="63">
      <c r="A63" s="9" t="str">
        <f>IFERROR(__xludf.DUMMYFUNCTION("""COMPUTED_VALUE"""),"CLI-0453")</f>
        <v>CLI-0453</v>
      </c>
      <c r="B63" s="9" t="str">
        <f>IFERROR(__xludf.DUMMYFUNCTION("""COMPUTED_VALUE"""),"20.046.968-0")</f>
        <v>20.046.968-0</v>
      </c>
      <c r="C63" s="9" t="str">
        <f>IFERROR(__xludf.DUMMYFUNCTION("""COMPUTED_VALUE"""),"Fernanda Muñoz Díaz")</f>
        <v>Fernanda Muñoz Díaz</v>
      </c>
      <c r="D63" s="9" t="str">
        <f>IFERROR(__xludf.DUMMYFUNCTION("""COMPUTED_VALUE"""),"fer.muñoz@outlook.cl")</f>
        <v>fer.muñoz@outlook.cl</v>
      </c>
      <c r="E63" s="9" t="str">
        <f>IFERROR(__xludf.DUMMYFUNCTION("""COMPUTED_VALUE"""),"Santiago Centro")</f>
        <v>Santiago Centro</v>
      </c>
      <c r="F63" s="9" t="str">
        <f>IFERROR(__xludf.DUMMYFUNCTION("""COMPUTED_VALUE"""),"Santiago")</f>
        <v>Santiago</v>
      </c>
      <c r="G63" s="9" t="str">
        <f>IFERROR(__xludf.DUMMYFUNCTION("""COMPUTED_VALUE"""),"Región Metropolitana")</f>
        <v>Región Metropolitana</v>
      </c>
      <c r="H63" s="10">
        <f>IFERROR(__xludf.DUMMYFUNCTION("""COMPUTED_VALUE"""),1.832E7)</f>
        <v>18320000</v>
      </c>
    </row>
    <row r="64">
      <c r="A64" s="9" t="str">
        <f>IFERROR(__xludf.DUMMYFUNCTION("""COMPUTED_VALUE"""),"CLI-0270")</f>
        <v>CLI-0270</v>
      </c>
      <c r="B64" s="9" t="str">
        <f>IFERROR(__xludf.DUMMYFUNCTION("""COMPUTED_VALUE"""),"22.046.704-5")</f>
        <v>22.046.704-5</v>
      </c>
      <c r="C64" s="9" t="str">
        <f>IFERROR(__xludf.DUMMYFUNCTION("""COMPUTED_VALUE"""),"Cristián González Sepúlveda")</f>
        <v>Cristián González Sepúlveda</v>
      </c>
      <c r="D64" s="9" t="str">
        <f>IFERROR(__xludf.DUMMYFUNCTION("""COMPUTED_VALUE"""),"cri.gonzález@empresa.cl")</f>
        <v>cri.gonzález@empresa.cl</v>
      </c>
      <c r="E64" s="9" t="str">
        <f>IFERROR(__xludf.DUMMYFUNCTION("""COMPUTED_VALUE"""),"Ñuñoa")</f>
        <v>Ñuñoa</v>
      </c>
      <c r="F64" s="9" t="str">
        <f>IFERROR(__xludf.DUMMYFUNCTION("""COMPUTED_VALUE"""),"Santiago")</f>
        <v>Santiago</v>
      </c>
      <c r="G64" s="9" t="str">
        <f>IFERROR(__xludf.DUMMYFUNCTION("""COMPUTED_VALUE"""),"Región Metropolitana")</f>
        <v>Región Metropolitana</v>
      </c>
      <c r="H64" s="10">
        <f>IFERROR(__xludf.DUMMYFUNCTION("""COMPUTED_VALUE"""),1.828E7)</f>
        <v>18280000</v>
      </c>
    </row>
    <row r="65">
      <c r="A65" s="9" t="str">
        <f>IFERROR(__xludf.DUMMYFUNCTION("""COMPUTED_VALUE"""),"CLI-0763")</f>
        <v>CLI-0763</v>
      </c>
      <c r="B65" s="9" t="str">
        <f>IFERROR(__xludf.DUMMYFUNCTION("""COMPUTED_VALUE"""),"19783717-4")</f>
        <v>19783717-4</v>
      </c>
      <c r="C65" s="9" t="str">
        <f>IFERROR(__xludf.DUMMYFUNCTION("""COMPUTED_VALUE"""),"Javiera Soto Pérez")</f>
        <v>Javiera Soto Pérez</v>
      </c>
      <c r="D65" s="9" t="str">
        <f>IFERROR(__xludf.DUMMYFUNCTION("""COMPUTED_VALUE"""),"jav.soto@empresa.cl")</f>
        <v>jav.soto@empresa.cl</v>
      </c>
      <c r="E65" s="9" t="str">
        <f>IFERROR(__xludf.DUMMYFUNCTION("""COMPUTED_VALUE"""),"Providencia")</f>
        <v>Providencia</v>
      </c>
      <c r="F65" s="9" t="str">
        <f>IFERROR(__xludf.DUMMYFUNCTION("""COMPUTED_VALUE"""),"Santiago")</f>
        <v>Santiago</v>
      </c>
      <c r="G65" s="9" t="str">
        <f>IFERROR(__xludf.DUMMYFUNCTION("""COMPUTED_VALUE"""),"Región Metropolitana")</f>
        <v>Región Metropolitana</v>
      </c>
      <c r="H65" s="10">
        <f>IFERROR(__xludf.DUMMYFUNCTION("""COMPUTED_VALUE"""),1.814E7)</f>
        <v>18140000</v>
      </c>
    </row>
    <row r="66">
      <c r="A66" s="9" t="str">
        <f>IFERROR(__xludf.DUMMYFUNCTION("""COMPUTED_VALUE"""),"CLI-0530")</f>
        <v>CLI-0530</v>
      </c>
      <c r="B66" s="9" t="str">
        <f>IFERROR(__xludf.DUMMYFUNCTION("""COMPUTED_VALUE"""),"16.210.224-6")</f>
        <v>16.210.224-6</v>
      </c>
      <c r="C66" s="9" t="str">
        <f>IFERROR(__xludf.DUMMYFUNCTION("""COMPUTED_VALUE"""),"Mauricio Morales González")</f>
        <v>Mauricio Morales González</v>
      </c>
      <c r="D66" s="9" t="str">
        <f>IFERROR(__xludf.DUMMYFUNCTION("""COMPUTED_VALUE"""),"mau.morales@sura.cl")</f>
        <v>mau.morales@sura.cl</v>
      </c>
      <c r="E66" s="9" t="str">
        <f>IFERROR(__xludf.DUMMYFUNCTION("""COMPUTED_VALUE"""),"Santiago Centro")</f>
        <v>Santiago Centro</v>
      </c>
      <c r="F66" s="9" t="str">
        <f>IFERROR(__xludf.DUMMYFUNCTION("""COMPUTED_VALUE"""),"Santiago")</f>
        <v>Santiago</v>
      </c>
      <c r="G66" s="9" t="str">
        <f>IFERROR(__xludf.DUMMYFUNCTION("""COMPUTED_VALUE"""),"Región Metropolitana")</f>
        <v>Región Metropolitana</v>
      </c>
      <c r="H66" s="10">
        <f>IFERROR(__xludf.DUMMYFUNCTION("""COMPUTED_VALUE"""),1.802E7)</f>
        <v>18020000</v>
      </c>
    </row>
    <row r="67">
      <c r="A67" s="9" t="str">
        <f>IFERROR(__xludf.DUMMYFUNCTION("""COMPUTED_VALUE"""),"CLI-0808")</f>
        <v>CLI-0808</v>
      </c>
      <c r="B67" s="9" t="str">
        <f>IFERROR(__xludf.DUMMYFUNCTION("""COMPUTED_VALUE"""),"17.574.755-4")</f>
        <v>17.574.755-4</v>
      </c>
      <c r="C67" s="9" t="str">
        <f>IFERROR(__xludf.DUMMYFUNCTION("""COMPUTED_VALUE"""),"Esteban Díaz Rojas")</f>
        <v>Esteban Díaz Rojas</v>
      </c>
      <c r="D67" s="9" t="str">
        <f>IFERROR(__xludf.DUMMYFUNCTION("""COMPUTED_VALUE"""),"est.díaz@servicios.cl")</f>
        <v>est.díaz@servicios.cl</v>
      </c>
      <c r="E67" s="9" t="str">
        <f>IFERROR(__xludf.DUMMYFUNCTION("""COMPUTED_VALUE"""),"Ñuñoa")</f>
        <v>Ñuñoa</v>
      </c>
      <c r="F67" s="9" t="str">
        <f>IFERROR(__xludf.DUMMYFUNCTION("""COMPUTED_VALUE"""),"Santiago")</f>
        <v>Santiago</v>
      </c>
      <c r="G67" s="9" t="str">
        <f>IFERROR(__xludf.DUMMYFUNCTION("""COMPUTED_VALUE"""),"Región Metropolitana")</f>
        <v>Región Metropolitana</v>
      </c>
      <c r="H67" s="10">
        <f>IFERROR(__xludf.DUMMYFUNCTION("""COMPUTED_VALUE"""),1.8E7)</f>
        <v>18000000</v>
      </c>
    </row>
    <row r="68">
      <c r="A68" s="9" t="str">
        <f>IFERROR(__xludf.DUMMYFUNCTION("""COMPUTED_VALUE"""),"CLI-0045")</f>
        <v>CLI-0045</v>
      </c>
      <c r="B68" s="9" t="str">
        <f>IFERROR(__xludf.DUMMYFUNCTION("""COMPUTED_VALUE"""),"21720037-1")</f>
        <v>21720037-1</v>
      </c>
      <c r="C68" s="9" t="str">
        <f>IFERROR(__xludf.DUMMYFUNCTION("""COMPUTED_VALUE"""),"Beatriz Tapia Valenzuela")</f>
        <v>Beatriz Tapia Valenzuela</v>
      </c>
      <c r="D68" s="9" t="str">
        <f>IFERROR(__xludf.DUMMYFUNCTION("""COMPUTED_VALUE"""),"bea.tapia@servicios.cl")</f>
        <v>bea.tapia@servicios.cl</v>
      </c>
      <c r="E68" s="9" t="str">
        <f>IFERROR(__xludf.DUMMYFUNCTION("""COMPUTED_VALUE"""),"Ñuñoa")</f>
        <v>Ñuñoa</v>
      </c>
      <c r="F68" s="9" t="str">
        <f>IFERROR(__xludf.DUMMYFUNCTION("""COMPUTED_VALUE"""),"Santiago")</f>
        <v>Santiago</v>
      </c>
      <c r="G68" s="9" t="str">
        <f>IFERROR(__xludf.DUMMYFUNCTION("""COMPUTED_VALUE"""),"Región Metropolitana")</f>
        <v>Región Metropolitana</v>
      </c>
      <c r="H68" s="10">
        <f>IFERROR(__xludf.DUMMYFUNCTION("""COMPUTED_VALUE"""),1.799E7)</f>
        <v>17990000</v>
      </c>
    </row>
    <row r="69">
      <c r="A69" s="9" t="str">
        <f>IFERROR(__xludf.DUMMYFUNCTION("""COMPUTED_VALUE"""),"CLI-0472")</f>
        <v>CLI-0472</v>
      </c>
      <c r="B69" s="9" t="str">
        <f>IFERROR(__xludf.DUMMYFUNCTION("""COMPUTED_VALUE"""),"12.218.638-K")</f>
        <v>12.218.638-K</v>
      </c>
      <c r="C69" s="9" t="str">
        <f>IFERROR(__xludf.DUMMYFUNCTION("""COMPUTED_VALUE"""),"Diego Rojas Vergara")</f>
        <v>Diego Rojas Vergara</v>
      </c>
      <c r="D69" s="9" t="str">
        <f>IFERROR(__xludf.DUMMYFUNCTION("""COMPUTED_VALUE"""),"die.rojas@empresa.cl")</f>
        <v>die.rojas@empresa.cl</v>
      </c>
      <c r="E69" s="9" t="str">
        <f>IFERROR(__xludf.DUMMYFUNCTION("""COMPUTED_VALUE"""),"Providencia")</f>
        <v>Providencia</v>
      </c>
      <c r="F69" s="9" t="str">
        <f>IFERROR(__xludf.DUMMYFUNCTION("""COMPUTED_VALUE"""),"Santiago")</f>
        <v>Santiago</v>
      </c>
      <c r="G69" s="9" t="str">
        <f>IFERROR(__xludf.DUMMYFUNCTION("""COMPUTED_VALUE"""),"Región Metropolitana")</f>
        <v>Región Metropolitana</v>
      </c>
      <c r="H69" s="10">
        <f>IFERROR(__xludf.DUMMYFUNCTION("""COMPUTED_VALUE"""),1.799E7)</f>
        <v>17990000</v>
      </c>
    </row>
    <row r="70">
      <c r="A70" s="9" t="str">
        <f>IFERROR(__xludf.DUMMYFUNCTION("""COMPUTED_VALUE"""),"CLI-0572")</f>
        <v>CLI-0572</v>
      </c>
      <c r="B70" s="9" t="str">
        <f>IFERROR(__xludf.DUMMYFUNCTION("""COMPUTED_VALUE"""),"20.122.214-9")</f>
        <v>20.122.214-9</v>
      </c>
      <c r="C70" s="9" t="str">
        <f>IFERROR(__xludf.DUMMYFUNCTION("""COMPUTED_VALUE"""),"Tomas Silva Soto")</f>
        <v>Tomas Silva Soto</v>
      </c>
      <c r="D70" s="9" t="str">
        <f>IFERROR(__xludf.DUMMYFUNCTION("""COMPUTED_VALUE"""),"tom.silva@outlook.cl")</f>
        <v>tom.silva@outlook.cl</v>
      </c>
      <c r="E70" s="9" t="str">
        <f>IFERROR(__xludf.DUMMYFUNCTION("""COMPUTED_VALUE"""),"Santiago Centro")</f>
        <v>Santiago Centro</v>
      </c>
      <c r="F70" s="9" t="str">
        <f>IFERROR(__xludf.DUMMYFUNCTION("""COMPUTED_VALUE"""),"Santiago")</f>
        <v>Santiago</v>
      </c>
      <c r="G70" s="9" t="str">
        <f>IFERROR(__xludf.DUMMYFUNCTION("""COMPUTED_VALUE"""),"Región Metropolitana")</f>
        <v>Región Metropolitana</v>
      </c>
      <c r="H70" s="10">
        <f>IFERROR(__xludf.DUMMYFUNCTION("""COMPUTED_VALUE"""),1.787E7)</f>
        <v>17870000</v>
      </c>
    </row>
    <row r="71">
      <c r="A71" s="9" t="str">
        <f>IFERROR(__xludf.DUMMYFUNCTION("""COMPUTED_VALUE"""),"CLI-0600")</f>
        <v>CLI-0600</v>
      </c>
      <c r="B71" s="9" t="str">
        <f>IFERROR(__xludf.DUMMYFUNCTION("""COMPUTED_VALUE"""),"18.725.853-K")</f>
        <v>18.725.853-K</v>
      </c>
      <c r="C71" s="9" t="str">
        <f>IFERROR(__xludf.DUMMYFUNCTION("""COMPUTED_VALUE"""),"Claudio González Silva")</f>
        <v>Claudio González Silva</v>
      </c>
      <c r="D71" s="9" t="str">
        <f>IFERROR(__xludf.DUMMYFUNCTION("""COMPUTED_VALUE"""),"cla.gonzález@sura.cl")</f>
        <v>cla.gonzález@sura.cl</v>
      </c>
      <c r="E71" s="9" t="str">
        <f>IFERROR(__xludf.DUMMYFUNCTION("""COMPUTED_VALUE"""),"Las Condes")</f>
        <v>Las Condes</v>
      </c>
      <c r="F71" s="9" t="str">
        <f>IFERROR(__xludf.DUMMYFUNCTION("""COMPUTED_VALUE"""),"Santiago")</f>
        <v>Santiago</v>
      </c>
      <c r="G71" s="9" t="str">
        <f>IFERROR(__xludf.DUMMYFUNCTION("""COMPUTED_VALUE"""),"Región Metropolitana")</f>
        <v>Región Metropolitana</v>
      </c>
      <c r="H71" s="10">
        <f>IFERROR(__xludf.DUMMYFUNCTION("""COMPUTED_VALUE"""),1.784E7)</f>
        <v>17840000</v>
      </c>
    </row>
    <row r="72">
      <c r="A72" s="9" t="str">
        <f>IFERROR(__xludf.DUMMYFUNCTION("""COMPUTED_VALUE"""),"CLI-0655")</f>
        <v>CLI-0655</v>
      </c>
      <c r="B72" s="9" t="str">
        <f>IFERROR(__xludf.DUMMYFUNCTION("""COMPUTED_VALUE"""),"15.201.661-9")</f>
        <v>15.201.661-9</v>
      </c>
      <c r="C72" s="9" t="str">
        <f>IFERROR(__xludf.DUMMYFUNCTION("""COMPUTED_VALUE"""),"Sofia Sepúlveda Muñoz")</f>
        <v>Sofia Sepúlveda Muñoz</v>
      </c>
      <c r="D72" s="9" t="str">
        <f>IFERROR(__xludf.DUMMYFUNCTION("""COMPUTED_VALUE"""),"sof.sepúlveda@outlook.cl")</f>
        <v>sof.sepúlveda@outlook.cl</v>
      </c>
      <c r="E72" s="9" t="str">
        <f>IFERROR(__xludf.DUMMYFUNCTION("""COMPUTED_VALUE"""),"Maipú")</f>
        <v>Maipú</v>
      </c>
      <c r="F72" s="9" t="str">
        <f>IFERROR(__xludf.DUMMYFUNCTION("""COMPUTED_VALUE"""),"Santiago")</f>
        <v>Santiago</v>
      </c>
      <c r="G72" s="9" t="str">
        <f>IFERROR(__xludf.DUMMYFUNCTION("""COMPUTED_VALUE"""),"Región Metropolitana")</f>
        <v>Región Metropolitana</v>
      </c>
      <c r="H72" s="10">
        <f>IFERROR(__xludf.DUMMYFUNCTION("""COMPUTED_VALUE"""),1.78E7)</f>
        <v>17800000</v>
      </c>
    </row>
    <row r="73">
      <c r="A73" s="9" t="str">
        <f>IFERROR(__xludf.DUMMYFUNCTION("""COMPUTED_VALUE"""),"CLI-0315")</f>
        <v>CLI-0315</v>
      </c>
      <c r="B73" s="9" t="str">
        <f>IFERROR(__xludf.DUMMYFUNCTION("""COMPUTED_VALUE"""),"16.228.639-5")</f>
        <v>16.228.639-5</v>
      </c>
      <c r="C73" s="9" t="str">
        <f>IFERROR(__xludf.DUMMYFUNCTION("""COMPUTED_VALUE"""),"Macarena Muñoz Araya")</f>
        <v>Macarena Muñoz Araya</v>
      </c>
      <c r="D73" s="9" t="str">
        <f>IFERROR(__xludf.DUMMYFUNCTION("""COMPUTED_VALUE"""),"mac.muñoz@consultora.cl")</f>
        <v>mac.muñoz@consultora.cl</v>
      </c>
      <c r="E73" s="9" t="str">
        <f>IFERROR(__xludf.DUMMYFUNCTION("""COMPUTED_VALUE"""),"Santiago Centro")</f>
        <v>Santiago Centro</v>
      </c>
      <c r="F73" s="9" t="str">
        <f>IFERROR(__xludf.DUMMYFUNCTION("""COMPUTED_VALUE"""),"Santiago")</f>
        <v>Santiago</v>
      </c>
      <c r="G73" s="9" t="str">
        <f>IFERROR(__xludf.DUMMYFUNCTION("""COMPUTED_VALUE"""),"Región Metropolitana")</f>
        <v>Región Metropolitana</v>
      </c>
      <c r="H73" s="10">
        <f>IFERROR(__xludf.DUMMYFUNCTION("""COMPUTED_VALUE"""),1.768E7)</f>
        <v>17680000</v>
      </c>
    </row>
    <row r="74">
      <c r="A74" s="9" t="str">
        <f>IFERROR(__xludf.DUMMYFUNCTION("""COMPUTED_VALUE"""),"CLI-0389")</f>
        <v>CLI-0389</v>
      </c>
      <c r="B74" s="9" t="str">
        <f>IFERROR(__xludf.DUMMYFUNCTION("""COMPUTED_VALUE"""),"17.114.870-6")</f>
        <v>17.114.870-6</v>
      </c>
      <c r="C74" s="9" t="str">
        <f>IFERROR(__xludf.DUMMYFUNCTION("""COMPUTED_VALUE"""),"Javiera Espinoza Contreras")</f>
        <v>Javiera Espinoza Contreras</v>
      </c>
      <c r="D74" s="9" t="str">
        <f>IFERROR(__xludf.DUMMYFUNCTION("""COMPUTED_VALUE"""),"jav.espinoza@empresa.cl")</f>
        <v>jav.espinoza@empresa.cl</v>
      </c>
      <c r="E74" s="9" t="str">
        <f>IFERROR(__xludf.DUMMYFUNCTION("""COMPUTED_VALUE"""),"Maipú")</f>
        <v>Maipú</v>
      </c>
      <c r="F74" s="9" t="str">
        <f>IFERROR(__xludf.DUMMYFUNCTION("""COMPUTED_VALUE"""),"Santiago")</f>
        <v>Santiago</v>
      </c>
      <c r="G74" s="9" t="str">
        <f>IFERROR(__xludf.DUMMYFUNCTION("""COMPUTED_VALUE"""),"Región Metropolitana")</f>
        <v>Región Metropolitana</v>
      </c>
      <c r="H74" s="10">
        <f>IFERROR(__xludf.DUMMYFUNCTION("""COMPUTED_VALUE"""),1.759E7)</f>
        <v>17590000</v>
      </c>
    </row>
    <row r="75">
      <c r="A75" s="9" t="str">
        <f>IFERROR(__xludf.DUMMYFUNCTION("""COMPUTED_VALUE"""),"CLI-0549")</f>
        <v>CLI-0549</v>
      </c>
      <c r="B75" s="9" t="str">
        <f>IFERROR(__xludf.DUMMYFUNCTION("""COMPUTED_VALUE"""),"16714058-4")</f>
        <v>16714058-4</v>
      </c>
      <c r="C75" s="9" t="str">
        <f>IFERROR(__xludf.DUMMYFUNCTION("""COMPUTED_VALUE"""),"Macarena Sepúlveda Vergara")</f>
        <v>Macarena Sepúlveda Vergara</v>
      </c>
      <c r="D75" s="9" t="str">
        <f>IFERROR(__xludf.DUMMYFUNCTION("""COMPUTED_VALUE"""),"mac.sepúlveda@gmail.com")</f>
        <v>mac.sepúlveda@gmail.com</v>
      </c>
      <c r="E75" s="9" t="str">
        <f>IFERROR(__xludf.DUMMYFUNCTION("""COMPUTED_VALUE"""),"Las Condes")</f>
        <v>Las Condes</v>
      </c>
      <c r="F75" s="9" t="str">
        <f>IFERROR(__xludf.DUMMYFUNCTION("""COMPUTED_VALUE"""),"Santiago")</f>
        <v>Santiago</v>
      </c>
      <c r="G75" s="9" t="str">
        <f>IFERROR(__xludf.DUMMYFUNCTION("""COMPUTED_VALUE"""),"Región Metropolitana")</f>
        <v>Región Metropolitana</v>
      </c>
      <c r="H75" s="10">
        <f>IFERROR(__xludf.DUMMYFUNCTION("""COMPUTED_VALUE"""),1.754E7)</f>
        <v>17540000</v>
      </c>
    </row>
    <row r="76">
      <c r="A76" s="9" t="str">
        <f>IFERROR(__xludf.DUMMYFUNCTION("""COMPUTED_VALUE"""),"CLI-0247")</f>
        <v>CLI-0247</v>
      </c>
      <c r="B76" s="9" t="str">
        <f>IFERROR(__xludf.DUMMYFUNCTION("""COMPUTED_VALUE"""),"20.227.751-1")</f>
        <v>20.227.751-1</v>
      </c>
      <c r="C76" s="9" t="str">
        <f>IFERROR(__xludf.DUMMYFUNCTION("""COMPUTED_VALUE"""),"Valentina González Tapia")</f>
        <v>Valentina González Tapia</v>
      </c>
      <c r="D76" s="9" t="str">
        <f>IFERROR(__xludf.DUMMYFUNCTION("""COMPUTED_VALUE"""),"val.gonzález@servicios.cl")</f>
        <v>val.gonzález@servicios.cl</v>
      </c>
      <c r="E76" s="9" t="str">
        <f>IFERROR(__xludf.DUMMYFUNCTION("""COMPUTED_VALUE"""),"Santiago Centro")</f>
        <v>Santiago Centro</v>
      </c>
      <c r="F76" s="9" t="str">
        <f>IFERROR(__xludf.DUMMYFUNCTION("""COMPUTED_VALUE"""),"Santiago")</f>
        <v>Santiago</v>
      </c>
      <c r="G76" s="9" t="str">
        <f>IFERROR(__xludf.DUMMYFUNCTION("""COMPUTED_VALUE"""),"Región Metropolitana")</f>
        <v>Región Metropolitana</v>
      </c>
      <c r="H76" s="10">
        <f>IFERROR(__xludf.DUMMYFUNCTION("""COMPUTED_VALUE"""),1.753E7)</f>
        <v>17530000</v>
      </c>
    </row>
    <row r="77">
      <c r="A77" s="9" t="str">
        <f>IFERROR(__xludf.DUMMYFUNCTION("""COMPUTED_VALUE"""),"CLI-0684")</f>
        <v>CLI-0684</v>
      </c>
      <c r="B77" s="9" t="str">
        <f>IFERROR(__xludf.DUMMYFUNCTION("""COMPUTED_VALUE"""),"15.205.400-3")</f>
        <v>15.205.400-3</v>
      </c>
      <c r="C77" s="9" t="str">
        <f>IFERROR(__xludf.DUMMYFUNCTION("""COMPUTED_VALUE"""),"Diego Espinoza Vergara")</f>
        <v>Diego Espinoza Vergara</v>
      </c>
      <c r="D77" s="9" t="str">
        <f>IFERROR(__xludf.DUMMYFUNCTION("""COMPUTED_VALUE"""),"die.espinoza@sura.cl")</f>
        <v>die.espinoza@sura.cl</v>
      </c>
      <c r="E77" s="9" t="str">
        <f>IFERROR(__xludf.DUMMYFUNCTION("""COMPUTED_VALUE"""),"Providencia")</f>
        <v>Providencia</v>
      </c>
      <c r="F77" s="9" t="str">
        <f>IFERROR(__xludf.DUMMYFUNCTION("""COMPUTED_VALUE"""),"Santiago")</f>
        <v>Santiago</v>
      </c>
      <c r="G77" s="9" t="str">
        <f>IFERROR(__xludf.DUMMYFUNCTION("""COMPUTED_VALUE"""),"Región Metropolitana")</f>
        <v>Región Metropolitana</v>
      </c>
      <c r="H77" s="10">
        <f>IFERROR(__xludf.DUMMYFUNCTION("""COMPUTED_VALUE"""),1.752E7)</f>
        <v>17520000</v>
      </c>
    </row>
    <row r="78">
      <c r="A78" s="9" t="str">
        <f>IFERROR(__xludf.DUMMYFUNCTION("""COMPUTED_VALUE"""),"CLI-0846")</f>
        <v>CLI-0846</v>
      </c>
      <c r="B78" s="9" t="str">
        <f>IFERROR(__xludf.DUMMYFUNCTION("""COMPUTED_VALUE"""),"20.607.532-5")</f>
        <v>20.607.532-5</v>
      </c>
      <c r="C78" s="9" t="str">
        <f>IFERROR(__xludf.DUMMYFUNCTION("""COMPUTED_VALUE"""),"Diego Soto Muñoz")</f>
        <v>Diego Soto Muñoz</v>
      </c>
      <c r="D78" s="9" t="str">
        <f>IFERROR(__xludf.DUMMYFUNCTION("""COMPUTED_VALUE"""),"die.soto@sura.cl")</f>
        <v>die.soto@sura.cl</v>
      </c>
      <c r="E78" s="9" t="str">
        <f>IFERROR(__xludf.DUMMYFUNCTION("""COMPUTED_VALUE"""),"Las Condes")</f>
        <v>Las Condes</v>
      </c>
      <c r="F78" s="9" t="str">
        <f>IFERROR(__xludf.DUMMYFUNCTION("""COMPUTED_VALUE"""),"Santiago")</f>
        <v>Santiago</v>
      </c>
      <c r="G78" s="9" t="str">
        <f>IFERROR(__xludf.DUMMYFUNCTION("""COMPUTED_VALUE"""),"Región Metropolitana")</f>
        <v>Región Metropolitana</v>
      </c>
      <c r="H78" s="10">
        <f>IFERROR(__xludf.DUMMYFUNCTION("""COMPUTED_VALUE"""),1.751E7)</f>
        <v>17510000</v>
      </c>
    </row>
    <row r="79">
      <c r="A79" s="9" t="str">
        <f>IFERROR(__xludf.DUMMYFUNCTION("""COMPUTED_VALUE"""),"CLI-0414")</f>
        <v>CLI-0414</v>
      </c>
      <c r="B79" s="9" t="str">
        <f>IFERROR(__xludf.DUMMYFUNCTION("""COMPUTED_VALUE"""),"22376288-1")</f>
        <v>22376288-1</v>
      </c>
      <c r="C79" s="9" t="str">
        <f>IFERROR(__xludf.DUMMYFUNCTION("""COMPUTED_VALUE"""),"Tomas Vergara Araya")</f>
        <v>Tomas Vergara Araya</v>
      </c>
      <c r="D79" s="9" t="str">
        <f>IFERROR(__xludf.DUMMYFUNCTION("""COMPUTED_VALUE"""),"tom.vergara@sura.cl")</f>
        <v>tom.vergara@sura.cl</v>
      </c>
      <c r="E79" s="9" t="str">
        <f>IFERROR(__xludf.DUMMYFUNCTION("""COMPUTED_VALUE"""),"Maipú")</f>
        <v>Maipú</v>
      </c>
      <c r="F79" s="9" t="str">
        <f>IFERROR(__xludf.DUMMYFUNCTION("""COMPUTED_VALUE"""),"Santiago")</f>
        <v>Santiago</v>
      </c>
      <c r="G79" s="9" t="str">
        <f>IFERROR(__xludf.DUMMYFUNCTION("""COMPUTED_VALUE"""),"Región Metropolitana")</f>
        <v>Región Metropolitana</v>
      </c>
      <c r="H79" s="10">
        <f>IFERROR(__xludf.DUMMYFUNCTION("""COMPUTED_VALUE"""),1.75E7)</f>
        <v>17500000</v>
      </c>
    </row>
    <row r="80">
      <c r="A80" s="9" t="str">
        <f>IFERROR(__xludf.DUMMYFUNCTION("""COMPUTED_VALUE"""),"CLI-0301")</f>
        <v>CLI-0301</v>
      </c>
      <c r="B80" s="9" t="str">
        <f>IFERROR(__xludf.DUMMYFUNCTION("""COMPUTED_VALUE"""),"13.137.745-7")</f>
        <v>13.137.745-7</v>
      </c>
      <c r="C80" s="9" t="str">
        <f>IFERROR(__xludf.DUMMYFUNCTION("""COMPUTED_VALUE"""),"Javiera Soto Soto")</f>
        <v>Javiera Soto Soto</v>
      </c>
      <c r="D80" s="9" t="str">
        <f>IFERROR(__xludf.DUMMYFUNCTION("""COMPUTED_VALUE"""),"jav.soto@gmail.com")</f>
        <v>jav.soto@gmail.com</v>
      </c>
      <c r="E80" s="9" t="str">
        <f>IFERROR(__xludf.DUMMYFUNCTION("""COMPUTED_VALUE"""),"Ñuñoa")</f>
        <v>Ñuñoa</v>
      </c>
      <c r="F80" s="9" t="str">
        <f>IFERROR(__xludf.DUMMYFUNCTION("""COMPUTED_VALUE"""),"Santiago")</f>
        <v>Santiago</v>
      </c>
      <c r="G80" s="9" t="str">
        <f>IFERROR(__xludf.DUMMYFUNCTION("""COMPUTED_VALUE"""),"Región Metropolitana")</f>
        <v>Región Metropolitana</v>
      </c>
      <c r="H80" s="10">
        <f>IFERROR(__xludf.DUMMYFUNCTION("""COMPUTED_VALUE"""),1.744E7)</f>
        <v>17440000</v>
      </c>
    </row>
    <row r="81">
      <c r="A81" s="9" t="str">
        <f>IFERROR(__xludf.DUMMYFUNCTION("""COMPUTED_VALUE"""),"CLI-0802")</f>
        <v>CLI-0802</v>
      </c>
      <c r="B81" s="9" t="str">
        <f>IFERROR(__xludf.DUMMYFUNCTION("""COMPUTED_VALUE"""),"22.452.644-K")</f>
        <v>22.452.644-K</v>
      </c>
      <c r="C81" s="9" t="str">
        <f>IFERROR(__xludf.DUMMYFUNCTION("""COMPUTED_VALUE"""),"Claudio González Pérez")</f>
        <v>Claudio González Pérez</v>
      </c>
      <c r="D81" s="9" t="str">
        <f>IFERROR(__xludf.DUMMYFUNCTION("""COMPUTED_VALUE"""),"cla.gonzález@gmail.com")</f>
        <v>cla.gonzález@gmail.com</v>
      </c>
      <c r="E81" s="9" t="str">
        <f>IFERROR(__xludf.DUMMYFUNCTION("""COMPUTED_VALUE"""),"Las Condes")</f>
        <v>Las Condes</v>
      </c>
      <c r="F81" s="9" t="str">
        <f>IFERROR(__xludf.DUMMYFUNCTION("""COMPUTED_VALUE"""),"Santiago")</f>
        <v>Santiago</v>
      </c>
      <c r="G81" s="9" t="str">
        <f>IFERROR(__xludf.DUMMYFUNCTION("""COMPUTED_VALUE"""),"Región Metropolitana")</f>
        <v>Región Metropolitana</v>
      </c>
      <c r="H81" s="10">
        <f>IFERROR(__xludf.DUMMYFUNCTION("""COMPUTED_VALUE"""),1.738E7)</f>
        <v>17380000</v>
      </c>
    </row>
    <row r="82">
      <c r="A82" s="9" t="str">
        <f>IFERROR(__xludf.DUMMYFUNCTION("""COMPUTED_VALUE"""),"CLI-0348")</f>
        <v>CLI-0348</v>
      </c>
      <c r="B82" s="9" t="str">
        <f>IFERROR(__xludf.DUMMYFUNCTION("""COMPUTED_VALUE"""),"18.968.758-6")</f>
        <v>18.968.758-6</v>
      </c>
      <c r="C82" s="9" t="str">
        <f>IFERROR(__xludf.DUMMYFUNCTION("""COMPUTED_VALUE"""),"Felipe Araya Fuentes")</f>
        <v>Felipe Araya Fuentes</v>
      </c>
      <c r="D82" s="9" t="str">
        <f>IFERROR(__xludf.DUMMYFUNCTION("""COMPUTED_VALUE"""),"fel.araya@consultora.cl")</f>
        <v>fel.araya@consultora.cl</v>
      </c>
      <c r="E82" s="9" t="str">
        <f>IFERROR(__xludf.DUMMYFUNCTION("""COMPUTED_VALUE"""),"Santiago Centro")</f>
        <v>Santiago Centro</v>
      </c>
      <c r="F82" s="9" t="str">
        <f>IFERROR(__xludf.DUMMYFUNCTION("""COMPUTED_VALUE"""),"Santiago")</f>
        <v>Santiago</v>
      </c>
      <c r="G82" s="9" t="str">
        <f>IFERROR(__xludf.DUMMYFUNCTION("""COMPUTED_VALUE"""),"Región Metropolitana")</f>
        <v>Región Metropolitana</v>
      </c>
      <c r="H82" s="10">
        <f>IFERROR(__xludf.DUMMYFUNCTION("""COMPUTED_VALUE"""),1.735E7)</f>
        <v>17350000</v>
      </c>
    </row>
    <row r="83">
      <c r="A83" s="9" t="str">
        <f>IFERROR(__xludf.DUMMYFUNCTION("""COMPUTED_VALUE"""),"CLI-0556")</f>
        <v>CLI-0556</v>
      </c>
      <c r="B83" s="9" t="str">
        <f>IFERROR(__xludf.DUMMYFUNCTION("""COMPUTED_VALUE"""),"19427433-5")</f>
        <v>19427433-5</v>
      </c>
      <c r="C83" s="9" t="str">
        <f>IFERROR(__xludf.DUMMYFUNCTION("""COMPUTED_VALUE"""),"Gonzalo Vergara Rojas")</f>
        <v>Gonzalo Vergara Rojas</v>
      </c>
      <c r="D83" s="9" t="str">
        <f>IFERROR(__xludf.DUMMYFUNCTION("""COMPUTED_VALUE"""),"gon.vergara@consultora.cl")</f>
        <v>gon.vergara@consultora.cl</v>
      </c>
      <c r="E83" s="9" t="str">
        <f>IFERROR(__xludf.DUMMYFUNCTION("""COMPUTED_VALUE"""),"Providencia")</f>
        <v>Providencia</v>
      </c>
      <c r="F83" s="9" t="str">
        <f>IFERROR(__xludf.DUMMYFUNCTION("""COMPUTED_VALUE"""),"Santiago")</f>
        <v>Santiago</v>
      </c>
      <c r="G83" s="9" t="str">
        <f>IFERROR(__xludf.DUMMYFUNCTION("""COMPUTED_VALUE"""),"Región Metropolitana")</f>
        <v>Región Metropolitana</v>
      </c>
      <c r="H83" s="10">
        <f>IFERROR(__xludf.DUMMYFUNCTION("""COMPUTED_VALUE"""),1.732E7)</f>
        <v>17320000</v>
      </c>
    </row>
    <row r="84">
      <c r="A84" s="9" t="str">
        <f>IFERROR(__xludf.DUMMYFUNCTION("""COMPUTED_VALUE"""),"CLI-0815")</f>
        <v>CLI-0815</v>
      </c>
      <c r="B84" s="9" t="str">
        <f>IFERROR(__xludf.DUMMYFUNCTION("""COMPUTED_VALUE"""),"20481651-5")</f>
        <v>20481651-5</v>
      </c>
      <c r="C84" s="9" t="str">
        <f>IFERROR(__xludf.DUMMYFUNCTION("""COMPUTED_VALUE"""),"Javiera Silva Contreras")</f>
        <v>Javiera Silva Contreras</v>
      </c>
      <c r="D84" s="9" t="str">
        <f>IFERROR(__xludf.DUMMYFUNCTION("""COMPUTED_VALUE"""),"jav.silva@sura.cl")</f>
        <v>jav.silva@sura.cl</v>
      </c>
      <c r="E84" s="9" t="str">
        <f>IFERROR(__xludf.DUMMYFUNCTION("""COMPUTED_VALUE"""),"Maipú")</f>
        <v>Maipú</v>
      </c>
      <c r="F84" s="9" t="str">
        <f>IFERROR(__xludf.DUMMYFUNCTION("""COMPUTED_VALUE"""),"Santiago")</f>
        <v>Santiago</v>
      </c>
      <c r="G84" s="9" t="str">
        <f>IFERROR(__xludf.DUMMYFUNCTION("""COMPUTED_VALUE"""),"Región Metropolitana")</f>
        <v>Región Metropolitana</v>
      </c>
      <c r="H84" s="10">
        <f>IFERROR(__xludf.DUMMYFUNCTION("""COMPUTED_VALUE"""),1.718E7)</f>
        <v>17180000</v>
      </c>
    </row>
    <row r="85">
      <c r="A85" s="9" t="str">
        <f>IFERROR(__xludf.DUMMYFUNCTION("""COMPUTED_VALUE"""),"CLI-0474")</f>
        <v>CLI-0474</v>
      </c>
      <c r="B85" s="9" t="str">
        <f>IFERROR(__xludf.DUMMYFUNCTION("""COMPUTED_VALUE"""),"16989738-2")</f>
        <v>16989738-2</v>
      </c>
      <c r="C85" s="9" t="str">
        <f>IFERROR(__xludf.DUMMYFUNCTION("""COMPUTED_VALUE"""),"Claudio Valenzuela López")</f>
        <v>Claudio Valenzuela López</v>
      </c>
      <c r="D85" s="9" t="str">
        <f>IFERROR(__xludf.DUMMYFUNCTION("""COMPUTED_VALUE"""),"cla.valenzuela@sura.cl")</f>
        <v>cla.valenzuela@sura.cl</v>
      </c>
      <c r="E85" s="9" t="str">
        <f>IFERROR(__xludf.DUMMYFUNCTION("""COMPUTED_VALUE"""),"Maipú")</f>
        <v>Maipú</v>
      </c>
      <c r="F85" s="9" t="str">
        <f>IFERROR(__xludf.DUMMYFUNCTION("""COMPUTED_VALUE"""),"Santiago")</f>
        <v>Santiago</v>
      </c>
      <c r="G85" s="9" t="str">
        <f>IFERROR(__xludf.DUMMYFUNCTION("""COMPUTED_VALUE"""),"Región Metropolitana")</f>
        <v>Región Metropolitana</v>
      </c>
      <c r="H85" s="10">
        <f>IFERROR(__xludf.DUMMYFUNCTION("""COMPUTED_VALUE"""),1.706E7)</f>
        <v>17060000</v>
      </c>
    </row>
    <row r="86">
      <c r="A86" s="9" t="str">
        <f>IFERROR(__xludf.DUMMYFUNCTION("""COMPUTED_VALUE"""),"CLI-0761")</f>
        <v>CLI-0761</v>
      </c>
      <c r="B86" s="9" t="str">
        <f>IFERROR(__xludf.DUMMYFUNCTION("""COMPUTED_VALUE"""),"17191972-2")</f>
        <v>17191972-2</v>
      </c>
      <c r="C86" s="9" t="str">
        <f>IFERROR(__xludf.DUMMYFUNCTION("""COMPUTED_VALUE"""),"Andrea Sepúlveda López")</f>
        <v>Andrea Sepúlveda López</v>
      </c>
      <c r="D86" s="9" t="str">
        <f>IFERROR(__xludf.DUMMYFUNCTION("""COMPUTED_VALUE"""),"and.sepúlveda@consultora.cl")</f>
        <v>and.sepúlveda@consultora.cl</v>
      </c>
      <c r="E86" s="9" t="str">
        <f>IFERROR(__xludf.DUMMYFUNCTION("""COMPUTED_VALUE"""),"Las Condes")</f>
        <v>Las Condes</v>
      </c>
      <c r="F86" s="9" t="str">
        <f>IFERROR(__xludf.DUMMYFUNCTION("""COMPUTED_VALUE"""),"Santiago")</f>
        <v>Santiago</v>
      </c>
      <c r="G86" s="9" t="str">
        <f>IFERROR(__xludf.DUMMYFUNCTION("""COMPUTED_VALUE"""),"Región Metropolitana")</f>
        <v>Región Metropolitana</v>
      </c>
      <c r="H86" s="10">
        <f>IFERROR(__xludf.DUMMYFUNCTION("""COMPUTED_VALUE"""),1.704E7)</f>
        <v>17040000</v>
      </c>
    </row>
    <row r="87">
      <c r="A87" s="9" t="str">
        <f>IFERROR(__xludf.DUMMYFUNCTION("""COMPUTED_VALUE"""),"CLI-0603")</f>
        <v>CLI-0603</v>
      </c>
      <c r="B87" s="9" t="str">
        <f>IFERROR(__xludf.DUMMYFUNCTION("""COMPUTED_VALUE"""),"15.504.619-7")</f>
        <v>15.504.619-7</v>
      </c>
      <c r="C87" s="9" t="str">
        <f>IFERROR(__xludf.DUMMYFUNCTION("""COMPUTED_VALUE"""),"Francisca Araya Sepúlveda")</f>
        <v>Francisca Araya Sepúlveda</v>
      </c>
      <c r="D87" s="9" t="str">
        <f>IFERROR(__xludf.DUMMYFUNCTION("""COMPUTED_VALUE"""),"fra.araya@empresa.cl")</f>
        <v>fra.araya@empresa.cl</v>
      </c>
      <c r="E87" s="9" t="str">
        <f>IFERROR(__xludf.DUMMYFUNCTION("""COMPUTED_VALUE"""),"Ñuñoa")</f>
        <v>Ñuñoa</v>
      </c>
      <c r="F87" s="9" t="str">
        <f>IFERROR(__xludf.DUMMYFUNCTION("""COMPUTED_VALUE"""),"Santiago")</f>
        <v>Santiago</v>
      </c>
      <c r="G87" s="9" t="str">
        <f>IFERROR(__xludf.DUMMYFUNCTION("""COMPUTED_VALUE"""),"Región Metropolitana")</f>
        <v>Región Metropolitana</v>
      </c>
      <c r="H87" s="10">
        <f>IFERROR(__xludf.DUMMYFUNCTION("""COMPUTED_VALUE"""),1.694E7)</f>
        <v>16940000</v>
      </c>
    </row>
    <row r="88">
      <c r="A88" s="9" t="str">
        <f>IFERROR(__xludf.DUMMYFUNCTION("""COMPUTED_VALUE"""),"CLI-0545")</f>
        <v>CLI-0545</v>
      </c>
      <c r="B88" s="9" t="str">
        <f>IFERROR(__xludf.DUMMYFUNCTION("""COMPUTED_VALUE"""),"11.855.680-0")</f>
        <v>11.855.680-0</v>
      </c>
      <c r="C88" s="9" t="str">
        <f>IFERROR(__xludf.DUMMYFUNCTION("""COMPUTED_VALUE"""),"Francisca Silva Rodríguez")</f>
        <v>Francisca Silva Rodríguez</v>
      </c>
      <c r="D88" s="9" t="str">
        <f>IFERROR(__xludf.DUMMYFUNCTION("""COMPUTED_VALUE"""),"fra.silva@consultora.cl")</f>
        <v>fra.silva@consultora.cl</v>
      </c>
      <c r="E88" s="9" t="str">
        <f>IFERROR(__xludf.DUMMYFUNCTION("""COMPUTED_VALUE"""),"Las Condes")</f>
        <v>Las Condes</v>
      </c>
      <c r="F88" s="9" t="str">
        <f>IFERROR(__xludf.DUMMYFUNCTION("""COMPUTED_VALUE"""),"Santiago")</f>
        <v>Santiago</v>
      </c>
      <c r="G88" s="9" t="str">
        <f>IFERROR(__xludf.DUMMYFUNCTION("""COMPUTED_VALUE"""),"Región Metropolitana")</f>
        <v>Región Metropolitana</v>
      </c>
      <c r="H88" s="10">
        <f>IFERROR(__xludf.DUMMYFUNCTION("""COMPUTED_VALUE"""),1.686E7)</f>
        <v>16860000</v>
      </c>
    </row>
    <row r="89">
      <c r="A89" s="9" t="str">
        <f>IFERROR(__xludf.DUMMYFUNCTION("""COMPUTED_VALUE"""),"CLI-0909")</f>
        <v>CLI-0909</v>
      </c>
      <c r="B89" s="9" t="str">
        <f>IFERROR(__xludf.DUMMYFUNCTION("""COMPUTED_VALUE"""),"15.114.550-4")</f>
        <v>15.114.550-4</v>
      </c>
      <c r="C89" s="9" t="str">
        <f>IFERROR(__xludf.DUMMYFUNCTION("""COMPUTED_VALUE"""),"Andrea Díaz Araya")</f>
        <v>Andrea Díaz Araya</v>
      </c>
      <c r="D89" s="9" t="str">
        <f>IFERROR(__xludf.DUMMYFUNCTION("""COMPUTED_VALUE"""),"and.díaz@empresa.cl")</f>
        <v>and.díaz@empresa.cl</v>
      </c>
      <c r="E89" s="9" t="str">
        <f>IFERROR(__xludf.DUMMYFUNCTION("""COMPUTED_VALUE"""),"Santiago Centro")</f>
        <v>Santiago Centro</v>
      </c>
      <c r="F89" s="9" t="str">
        <f>IFERROR(__xludf.DUMMYFUNCTION("""COMPUTED_VALUE"""),"Santiago")</f>
        <v>Santiago</v>
      </c>
      <c r="G89" s="9" t="str">
        <f>IFERROR(__xludf.DUMMYFUNCTION("""COMPUTED_VALUE"""),"Región Metropolitana")</f>
        <v>Región Metropolitana</v>
      </c>
      <c r="H89" s="10">
        <f>IFERROR(__xludf.DUMMYFUNCTION("""COMPUTED_VALUE"""),1.68E7)</f>
        <v>16800000</v>
      </c>
    </row>
    <row r="90">
      <c r="A90" s="9" t="str">
        <f>IFERROR(__xludf.DUMMYFUNCTION("""COMPUTED_VALUE"""),"CLI-0701")</f>
        <v>CLI-0701</v>
      </c>
      <c r="B90" s="9" t="str">
        <f>IFERROR(__xludf.DUMMYFUNCTION("""COMPUTED_VALUE"""),"15196514-5")</f>
        <v>15196514-5</v>
      </c>
      <c r="C90" s="9" t="str">
        <f>IFERROR(__xludf.DUMMYFUNCTION("""COMPUTED_VALUE"""),"Constanza López Díaz")</f>
        <v>Constanza López Díaz</v>
      </c>
      <c r="D90" s="9" t="str">
        <f>IFERROR(__xludf.DUMMYFUNCTION("""COMPUTED_VALUE"""),"con.lópez@servicios.cl")</f>
        <v>con.lópez@servicios.cl</v>
      </c>
      <c r="E90" s="9" t="str">
        <f>IFERROR(__xludf.DUMMYFUNCTION("""COMPUTED_VALUE"""),"Las Condes")</f>
        <v>Las Condes</v>
      </c>
      <c r="F90" s="9" t="str">
        <f>IFERROR(__xludf.DUMMYFUNCTION("""COMPUTED_VALUE"""),"Santiago")</f>
        <v>Santiago</v>
      </c>
      <c r="G90" s="9" t="str">
        <f>IFERROR(__xludf.DUMMYFUNCTION("""COMPUTED_VALUE"""),"Región Metropolitana")</f>
        <v>Región Metropolitana</v>
      </c>
      <c r="H90" s="10">
        <f>IFERROR(__xludf.DUMMYFUNCTION("""COMPUTED_VALUE"""),1.663E7)</f>
        <v>16630000</v>
      </c>
    </row>
    <row r="91">
      <c r="A91" s="9" t="str">
        <f>IFERROR(__xludf.DUMMYFUNCTION("""COMPUTED_VALUE"""),"CLI-0359")</f>
        <v>CLI-0359</v>
      </c>
      <c r="B91" s="9" t="str">
        <f>IFERROR(__xludf.DUMMYFUNCTION("""COMPUTED_VALUE"""),"17.428.855-K")</f>
        <v>17.428.855-K</v>
      </c>
      <c r="C91" s="9" t="str">
        <f>IFERROR(__xludf.DUMMYFUNCTION("""COMPUTED_VALUE"""),"Paula Vergara Silva")</f>
        <v>Paula Vergara Silva</v>
      </c>
      <c r="D91" s="9" t="str">
        <f>IFERROR(__xludf.DUMMYFUNCTION("""COMPUTED_VALUE"""),"pau.vergara@consultora.cl")</f>
        <v>pau.vergara@consultora.cl</v>
      </c>
      <c r="E91" s="9" t="str">
        <f>IFERROR(__xludf.DUMMYFUNCTION("""COMPUTED_VALUE"""),"Providencia")</f>
        <v>Providencia</v>
      </c>
      <c r="F91" s="9" t="str">
        <f>IFERROR(__xludf.DUMMYFUNCTION("""COMPUTED_VALUE"""),"Santiago")</f>
        <v>Santiago</v>
      </c>
      <c r="G91" s="9" t="str">
        <f>IFERROR(__xludf.DUMMYFUNCTION("""COMPUTED_VALUE"""),"Región Metropolitana")</f>
        <v>Región Metropolitana</v>
      </c>
      <c r="H91" s="10">
        <f>IFERROR(__xludf.DUMMYFUNCTION("""COMPUTED_VALUE"""),1.656E7)</f>
        <v>16560000</v>
      </c>
    </row>
    <row r="92">
      <c r="A92" s="9" t="str">
        <f>IFERROR(__xludf.DUMMYFUNCTION("""COMPUTED_VALUE"""),"CLI-0510")</f>
        <v>CLI-0510</v>
      </c>
      <c r="B92" s="9" t="str">
        <f>IFERROR(__xludf.DUMMYFUNCTION("""COMPUTED_VALUE"""),"13.365.982-4")</f>
        <v>13.365.982-4</v>
      </c>
      <c r="C92" s="9" t="str">
        <f>IFERROR(__xludf.DUMMYFUNCTION("""COMPUTED_VALUE"""),"Esteban Contreras Morales")</f>
        <v>Esteban Contreras Morales</v>
      </c>
      <c r="D92" s="9" t="str">
        <f>IFERROR(__xludf.DUMMYFUNCTION("""COMPUTED_VALUE"""),"est.contreras@servicios.cl")</f>
        <v>est.contreras@servicios.cl</v>
      </c>
      <c r="E92" s="9" t="str">
        <f>IFERROR(__xludf.DUMMYFUNCTION("""COMPUTED_VALUE"""),"Las Condes")</f>
        <v>Las Condes</v>
      </c>
      <c r="F92" s="9" t="str">
        <f>IFERROR(__xludf.DUMMYFUNCTION("""COMPUTED_VALUE"""),"Santiago")</f>
        <v>Santiago</v>
      </c>
      <c r="G92" s="9" t="str">
        <f>IFERROR(__xludf.DUMMYFUNCTION("""COMPUTED_VALUE"""),"Región Metropolitana")</f>
        <v>Región Metropolitana</v>
      </c>
      <c r="H92" s="10">
        <f>IFERROR(__xludf.DUMMYFUNCTION("""COMPUTED_VALUE"""),1.654E7)</f>
        <v>16540000</v>
      </c>
    </row>
    <row r="93">
      <c r="A93" s="9" t="str">
        <f>IFERROR(__xludf.DUMMYFUNCTION("""COMPUTED_VALUE"""),"CLI-0833")</f>
        <v>CLI-0833</v>
      </c>
      <c r="B93" s="9" t="str">
        <f>IFERROR(__xludf.DUMMYFUNCTION("""COMPUTED_VALUE"""),"13.089.278-7")</f>
        <v>13.089.278-7</v>
      </c>
      <c r="C93" s="9" t="str">
        <f>IFERROR(__xludf.DUMMYFUNCTION("""COMPUTED_VALUE"""),"Daniela Tapia Tapia")</f>
        <v>Daniela Tapia Tapia</v>
      </c>
      <c r="D93" s="9" t="str">
        <f>IFERROR(__xludf.DUMMYFUNCTION("""COMPUTED_VALUE"""),"dan.tapia@servicios.cl")</f>
        <v>dan.tapia@servicios.cl</v>
      </c>
      <c r="E93" s="9" t="str">
        <f>IFERROR(__xludf.DUMMYFUNCTION("""COMPUTED_VALUE"""),"Providencia")</f>
        <v>Providencia</v>
      </c>
      <c r="F93" s="9" t="str">
        <f>IFERROR(__xludf.DUMMYFUNCTION("""COMPUTED_VALUE"""),"Santiago")</f>
        <v>Santiago</v>
      </c>
      <c r="G93" s="9" t="str">
        <f>IFERROR(__xludf.DUMMYFUNCTION("""COMPUTED_VALUE"""),"Región Metropolitana")</f>
        <v>Región Metropolitana</v>
      </c>
      <c r="H93" s="10">
        <f>IFERROR(__xludf.DUMMYFUNCTION("""COMPUTED_VALUE"""),1.652E7)</f>
        <v>16520000</v>
      </c>
    </row>
    <row r="94">
      <c r="A94" s="9" t="str">
        <f>IFERROR(__xludf.DUMMYFUNCTION("""COMPUTED_VALUE"""),"CLI-0598")</f>
        <v>CLI-0598</v>
      </c>
      <c r="B94" s="9" t="str">
        <f>IFERROR(__xludf.DUMMYFUNCTION("""COMPUTED_VALUE"""),"22.427.853-5")</f>
        <v>22.427.853-5</v>
      </c>
      <c r="C94" s="9" t="str">
        <f>IFERROR(__xludf.DUMMYFUNCTION("""COMPUTED_VALUE"""),"Mauricio Tapia Pérez")</f>
        <v>Mauricio Tapia Pérez</v>
      </c>
      <c r="D94" s="9" t="str">
        <f>IFERROR(__xludf.DUMMYFUNCTION("""COMPUTED_VALUE"""),"mau.tapia@outlook.cl")</f>
        <v>mau.tapia@outlook.cl</v>
      </c>
      <c r="E94" s="9" t="str">
        <f>IFERROR(__xludf.DUMMYFUNCTION("""COMPUTED_VALUE"""),"Providencia")</f>
        <v>Providencia</v>
      </c>
      <c r="F94" s="9" t="str">
        <f>IFERROR(__xludf.DUMMYFUNCTION("""COMPUTED_VALUE"""),"Santiago")</f>
        <v>Santiago</v>
      </c>
      <c r="G94" s="9" t="str">
        <f>IFERROR(__xludf.DUMMYFUNCTION("""COMPUTED_VALUE"""),"Región Metropolitana")</f>
        <v>Región Metropolitana</v>
      </c>
      <c r="H94" s="10">
        <f>IFERROR(__xludf.DUMMYFUNCTION("""COMPUTED_VALUE"""),1.647E7)</f>
        <v>16470000</v>
      </c>
    </row>
    <row r="95">
      <c r="A95" s="9" t="str">
        <f>IFERROR(__xludf.DUMMYFUNCTION("""COMPUTED_VALUE"""),"CLI-0268")</f>
        <v>CLI-0268</v>
      </c>
      <c r="B95" s="9" t="str">
        <f>IFERROR(__xludf.DUMMYFUNCTION("""COMPUTED_VALUE"""),"13.273.886-0")</f>
        <v>13.273.886-0</v>
      </c>
      <c r="C95" s="9" t="str">
        <f>IFERROR(__xludf.DUMMYFUNCTION("""COMPUTED_VALUE"""),"Javier Tapia Contreras")</f>
        <v>Javier Tapia Contreras</v>
      </c>
      <c r="D95" s="9" t="str">
        <f>IFERROR(__xludf.DUMMYFUNCTION("""COMPUTED_VALUE"""),"jav.tapia@sura.cl")</f>
        <v>jav.tapia@sura.cl</v>
      </c>
      <c r="E95" s="9" t="str">
        <f>IFERROR(__xludf.DUMMYFUNCTION("""COMPUTED_VALUE"""),"Santiago Centro")</f>
        <v>Santiago Centro</v>
      </c>
      <c r="F95" s="9" t="str">
        <f>IFERROR(__xludf.DUMMYFUNCTION("""COMPUTED_VALUE"""),"Santiago")</f>
        <v>Santiago</v>
      </c>
      <c r="G95" s="9" t="str">
        <f>IFERROR(__xludf.DUMMYFUNCTION("""COMPUTED_VALUE"""),"Región Metropolitana")</f>
        <v>Región Metropolitana</v>
      </c>
      <c r="H95" s="10">
        <f>IFERROR(__xludf.DUMMYFUNCTION("""COMPUTED_VALUE"""),1.645E7)</f>
        <v>16450000</v>
      </c>
    </row>
    <row r="96">
      <c r="A96" s="9" t="str">
        <f>IFERROR(__xludf.DUMMYFUNCTION("""COMPUTED_VALUE"""),"CLI-0632")</f>
        <v>CLI-0632</v>
      </c>
      <c r="B96" s="9" t="str">
        <f>IFERROR(__xludf.DUMMYFUNCTION("""COMPUTED_VALUE"""),"20.604.176-8")</f>
        <v>20.604.176-8</v>
      </c>
      <c r="C96" s="9" t="str">
        <f>IFERROR(__xludf.DUMMYFUNCTION("""COMPUTED_VALUE"""),"Mauricio Muñoz Espinoza")</f>
        <v>Mauricio Muñoz Espinoza</v>
      </c>
      <c r="D96" s="9" t="str">
        <f>IFERROR(__xludf.DUMMYFUNCTION("""COMPUTED_VALUE"""),"mau.muñoz@consultora.cl")</f>
        <v>mau.muñoz@consultora.cl</v>
      </c>
      <c r="E96" s="9" t="str">
        <f>IFERROR(__xludf.DUMMYFUNCTION("""COMPUTED_VALUE"""),"Maipú")</f>
        <v>Maipú</v>
      </c>
      <c r="F96" s="9" t="str">
        <f>IFERROR(__xludf.DUMMYFUNCTION("""COMPUTED_VALUE"""),"Santiago")</f>
        <v>Santiago</v>
      </c>
      <c r="G96" s="9" t="str">
        <f>IFERROR(__xludf.DUMMYFUNCTION("""COMPUTED_VALUE"""),"Región Metropolitana")</f>
        <v>Región Metropolitana</v>
      </c>
      <c r="H96" s="10">
        <f>IFERROR(__xludf.DUMMYFUNCTION("""COMPUTED_VALUE"""),1.642E7)</f>
        <v>16420000</v>
      </c>
    </row>
    <row r="97">
      <c r="A97" s="9" t="str">
        <f>IFERROR(__xludf.DUMMYFUNCTION("""COMPUTED_VALUE"""),"CLI-0398")</f>
        <v>CLI-0398</v>
      </c>
      <c r="B97" s="9" t="str">
        <f>IFERROR(__xludf.DUMMYFUNCTION("""COMPUTED_VALUE"""),"14084888-K")</f>
        <v>14084888-K</v>
      </c>
      <c r="C97" s="9" t="str">
        <f>IFERROR(__xludf.DUMMYFUNCTION("""COMPUTED_VALUE"""),"Diego Contreras Araya")</f>
        <v>Diego Contreras Araya</v>
      </c>
      <c r="D97" s="9" t="str">
        <f>IFERROR(__xludf.DUMMYFUNCTION("""COMPUTED_VALUE"""),"die.contreras@sura.cl")</f>
        <v>die.contreras@sura.cl</v>
      </c>
      <c r="E97" s="9" t="str">
        <f>IFERROR(__xludf.DUMMYFUNCTION("""COMPUTED_VALUE"""),"Las Condes")</f>
        <v>Las Condes</v>
      </c>
      <c r="F97" s="9" t="str">
        <f>IFERROR(__xludf.DUMMYFUNCTION("""COMPUTED_VALUE"""),"Santiago")</f>
        <v>Santiago</v>
      </c>
      <c r="G97" s="9" t="str">
        <f>IFERROR(__xludf.DUMMYFUNCTION("""COMPUTED_VALUE"""),"Región Metropolitana")</f>
        <v>Región Metropolitana</v>
      </c>
      <c r="H97" s="10">
        <f>IFERROR(__xludf.DUMMYFUNCTION("""COMPUTED_VALUE"""),1.636E7)</f>
        <v>16360000</v>
      </c>
    </row>
    <row r="98">
      <c r="A98" s="9" t="str">
        <f>IFERROR(__xludf.DUMMYFUNCTION("""COMPUTED_VALUE"""),"CLI-0110")</f>
        <v>CLI-0110</v>
      </c>
      <c r="B98" s="9" t="str">
        <f>IFERROR(__xludf.DUMMYFUNCTION("""COMPUTED_VALUE"""),"13.520.150-2")</f>
        <v>13.520.150-2</v>
      </c>
      <c r="C98" s="9" t="str">
        <f>IFERROR(__xludf.DUMMYFUNCTION("""COMPUTED_VALUE"""),"Sebastián Pérez Soto")</f>
        <v>Sebastián Pérez Soto</v>
      </c>
      <c r="D98" s="9" t="str">
        <f>IFERROR(__xludf.DUMMYFUNCTION("""COMPUTED_VALUE"""),"seb.pérez@sura.cl")</f>
        <v>seb.pérez@sura.cl</v>
      </c>
      <c r="E98" s="9" t="str">
        <f>IFERROR(__xludf.DUMMYFUNCTION("""COMPUTED_VALUE"""),"Las Condes")</f>
        <v>Las Condes</v>
      </c>
      <c r="F98" s="9" t="str">
        <f>IFERROR(__xludf.DUMMYFUNCTION("""COMPUTED_VALUE"""),"Santiago")</f>
        <v>Santiago</v>
      </c>
      <c r="G98" s="9" t="str">
        <f>IFERROR(__xludf.DUMMYFUNCTION("""COMPUTED_VALUE"""),"Región Metropolitana")</f>
        <v>Región Metropolitana</v>
      </c>
      <c r="H98" s="10">
        <f>IFERROR(__xludf.DUMMYFUNCTION("""COMPUTED_VALUE"""),1.633E7)</f>
        <v>16330000</v>
      </c>
    </row>
    <row r="99">
      <c r="A99" s="9" t="str">
        <f>IFERROR(__xludf.DUMMYFUNCTION("""COMPUTED_VALUE"""),"CLI-0230")</f>
        <v>CLI-0230</v>
      </c>
      <c r="B99" s="9" t="str">
        <f>IFERROR(__xludf.DUMMYFUNCTION("""COMPUTED_VALUE"""),"16.752.592-9")</f>
        <v>16.752.592-9</v>
      </c>
      <c r="C99" s="9" t="str">
        <f>IFERROR(__xludf.DUMMYFUNCTION("""COMPUTED_VALUE"""),"Álvaro Soto Vergara")</f>
        <v>Álvaro Soto Vergara</v>
      </c>
      <c r="D99" s="9" t="str">
        <f>IFERROR(__xludf.DUMMYFUNCTION("""COMPUTED_VALUE"""),"álv.soto@gmail.com")</f>
        <v>álv.soto@gmail.com</v>
      </c>
      <c r="E99" s="9" t="str">
        <f>IFERROR(__xludf.DUMMYFUNCTION("""COMPUTED_VALUE"""),"Santiago Centro")</f>
        <v>Santiago Centro</v>
      </c>
      <c r="F99" s="9" t="str">
        <f>IFERROR(__xludf.DUMMYFUNCTION("""COMPUTED_VALUE"""),"Santiago")</f>
        <v>Santiago</v>
      </c>
      <c r="G99" s="9" t="str">
        <f>IFERROR(__xludf.DUMMYFUNCTION("""COMPUTED_VALUE"""),"Región Metropolitana")</f>
        <v>Región Metropolitana</v>
      </c>
      <c r="H99" s="10">
        <f>IFERROR(__xludf.DUMMYFUNCTION("""COMPUTED_VALUE"""),1.63E7)</f>
        <v>16300000</v>
      </c>
    </row>
    <row r="100">
      <c r="A100" s="9" t="str">
        <f>IFERROR(__xludf.DUMMYFUNCTION("""COMPUTED_VALUE"""),"CLI-0729")</f>
        <v>CLI-0729</v>
      </c>
      <c r="B100" s="9" t="str">
        <f>IFERROR(__xludf.DUMMYFUNCTION("""COMPUTED_VALUE"""),"19.479.808-K")</f>
        <v>19.479.808-K</v>
      </c>
      <c r="C100" s="9" t="str">
        <f>IFERROR(__xludf.DUMMYFUNCTION("""COMPUTED_VALUE"""),"Javiera Silva Araya")</f>
        <v>Javiera Silva Araya</v>
      </c>
      <c r="D100" s="9" t="str">
        <f>IFERROR(__xludf.DUMMYFUNCTION("""COMPUTED_VALUE"""),"jav.silva@gmail.com")</f>
        <v>jav.silva@gmail.com</v>
      </c>
      <c r="E100" s="9" t="str">
        <f>IFERROR(__xludf.DUMMYFUNCTION("""COMPUTED_VALUE"""),"Ñuñoa")</f>
        <v>Ñuñoa</v>
      </c>
      <c r="F100" s="9" t="str">
        <f>IFERROR(__xludf.DUMMYFUNCTION("""COMPUTED_VALUE"""),"Santiago")</f>
        <v>Santiago</v>
      </c>
      <c r="G100" s="9" t="str">
        <f>IFERROR(__xludf.DUMMYFUNCTION("""COMPUTED_VALUE"""),"Región Metropolitana")</f>
        <v>Región Metropolitana</v>
      </c>
      <c r="H100" s="10">
        <f>IFERROR(__xludf.DUMMYFUNCTION("""COMPUTED_VALUE"""),1.629E7)</f>
        <v>16290000</v>
      </c>
    </row>
    <row r="101">
      <c r="A101" s="9" t="str">
        <f>IFERROR(__xludf.DUMMYFUNCTION("""COMPUTED_VALUE"""),"CLI-0029")</f>
        <v>CLI-0029</v>
      </c>
      <c r="B101" s="9" t="str">
        <f>IFERROR(__xludf.DUMMYFUNCTION("""COMPUTED_VALUE"""),"11562196-8")</f>
        <v>11562196-8</v>
      </c>
      <c r="C101" s="9" t="str">
        <f>IFERROR(__xludf.DUMMYFUNCTION("""COMPUTED_VALUE"""),"Loreto Pérez Araya")</f>
        <v>Loreto Pérez Araya</v>
      </c>
      <c r="D101" s="9" t="str">
        <f>IFERROR(__xludf.DUMMYFUNCTION("""COMPUTED_VALUE"""),"lor.pérez@outlook.cl")</f>
        <v>lor.pérez@outlook.cl</v>
      </c>
      <c r="E101" s="9" t="str">
        <f>IFERROR(__xludf.DUMMYFUNCTION("""COMPUTED_VALUE"""),"Ñuñoa")</f>
        <v>Ñuñoa</v>
      </c>
      <c r="F101" s="9" t="str">
        <f>IFERROR(__xludf.DUMMYFUNCTION("""COMPUTED_VALUE"""),"Santiago")</f>
        <v>Santiago</v>
      </c>
      <c r="G101" s="9" t="str">
        <f>IFERROR(__xludf.DUMMYFUNCTION("""COMPUTED_VALUE"""),"Región Metropolitana")</f>
        <v>Región Metropolitana</v>
      </c>
      <c r="H101" s="10">
        <f>IFERROR(__xludf.DUMMYFUNCTION("""COMPUTED_VALUE"""),1.628E7)</f>
        <v>16280000</v>
      </c>
    </row>
    <row r="102">
      <c r="A102" s="9" t="str">
        <f>IFERROR(__xludf.DUMMYFUNCTION("""COMPUTED_VALUE"""),"CLI-0585")</f>
        <v>CLI-0585</v>
      </c>
      <c r="B102" s="9" t="str">
        <f>IFERROR(__xludf.DUMMYFUNCTION("""COMPUTED_VALUE"""),"14.609.189-2")</f>
        <v>14.609.189-2</v>
      </c>
      <c r="C102" s="9" t="str">
        <f>IFERROR(__xludf.DUMMYFUNCTION("""COMPUTED_VALUE"""),"Paula López González")</f>
        <v>Paula López González</v>
      </c>
      <c r="D102" s="9" t="str">
        <f>IFERROR(__xludf.DUMMYFUNCTION("""COMPUTED_VALUE"""),"pau.lópez@sura.cl")</f>
        <v>pau.lópez@sura.cl</v>
      </c>
      <c r="E102" s="9" t="str">
        <f>IFERROR(__xludf.DUMMYFUNCTION("""COMPUTED_VALUE"""),"Santiago Centro")</f>
        <v>Santiago Centro</v>
      </c>
      <c r="F102" s="9" t="str">
        <f>IFERROR(__xludf.DUMMYFUNCTION("""COMPUTED_VALUE"""),"Santiago")</f>
        <v>Santiago</v>
      </c>
      <c r="G102" s="9" t="str">
        <f>IFERROR(__xludf.DUMMYFUNCTION("""COMPUTED_VALUE"""),"Región Metropolitana")</f>
        <v>Región Metropolitana</v>
      </c>
      <c r="H102" s="10">
        <f>IFERROR(__xludf.DUMMYFUNCTION("""COMPUTED_VALUE"""),1.62E7)</f>
        <v>16200000</v>
      </c>
    </row>
    <row r="103">
      <c r="A103" s="9" t="str">
        <f>IFERROR(__xludf.DUMMYFUNCTION("""COMPUTED_VALUE"""),"CLI-0239")</f>
        <v>CLI-0239</v>
      </c>
      <c r="B103" s="9" t="str">
        <f>IFERROR(__xludf.DUMMYFUNCTION("""COMPUTED_VALUE"""),"17.175.124-K")</f>
        <v>17.175.124-K</v>
      </c>
      <c r="C103" s="9" t="str">
        <f>IFERROR(__xludf.DUMMYFUNCTION("""COMPUTED_VALUE"""),"Camila Valenzuela Contreras")</f>
        <v>Camila Valenzuela Contreras</v>
      </c>
      <c r="D103" s="9" t="str">
        <f>IFERROR(__xludf.DUMMYFUNCTION("""COMPUTED_VALUE"""),"cam.valenzuela@empresa.cl")</f>
        <v>cam.valenzuela@empresa.cl</v>
      </c>
      <c r="E103" s="9" t="str">
        <f>IFERROR(__xludf.DUMMYFUNCTION("""COMPUTED_VALUE"""),"Providencia")</f>
        <v>Providencia</v>
      </c>
      <c r="F103" s="9" t="str">
        <f>IFERROR(__xludf.DUMMYFUNCTION("""COMPUTED_VALUE"""),"Santiago")</f>
        <v>Santiago</v>
      </c>
      <c r="G103" s="9" t="str">
        <f>IFERROR(__xludf.DUMMYFUNCTION("""COMPUTED_VALUE"""),"Región Metropolitana")</f>
        <v>Región Metropolitana</v>
      </c>
      <c r="H103" s="10">
        <f>IFERROR(__xludf.DUMMYFUNCTION("""COMPUTED_VALUE"""),1.604E7)</f>
        <v>16040000</v>
      </c>
    </row>
    <row r="104">
      <c r="A104" s="9" t="str">
        <f>IFERROR(__xludf.DUMMYFUNCTION("""COMPUTED_VALUE"""),"CLI-0656")</f>
        <v>CLI-0656</v>
      </c>
      <c r="B104" s="9" t="str">
        <f>IFERROR(__xludf.DUMMYFUNCTION("""COMPUTED_VALUE"""),"16778493-4")</f>
        <v>16778493-4</v>
      </c>
      <c r="C104" s="9" t="str">
        <f>IFERROR(__xludf.DUMMYFUNCTION("""COMPUTED_VALUE"""),"Felipe González Fuentes")</f>
        <v>Felipe González Fuentes</v>
      </c>
      <c r="D104" s="9" t="str">
        <f>IFERROR(__xludf.DUMMYFUNCTION("""COMPUTED_VALUE"""),"fel.gonzález@servicios.cl")</f>
        <v>fel.gonzález@servicios.cl</v>
      </c>
      <c r="E104" s="9" t="str">
        <f>IFERROR(__xludf.DUMMYFUNCTION("""COMPUTED_VALUE"""),"Maipú")</f>
        <v>Maipú</v>
      </c>
      <c r="F104" s="9" t="str">
        <f>IFERROR(__xludf.DUMMYFUNCTION("""COMPUTED_VALUE"""),"Santiago")</f>
        <v>Santiago</v>
      </c>
      <c r="G104" s="9" t="str">
        <f>IFERROR(__xludf.DUMMYFUNCTION("""COMPUTED_VALUE"""),"Región Metropolitana")</f>
        <v>Región Metropolitana</v>
      </c>
      <c r="H104" s="10">
        <f>IFERROR(__xludf.DUMMYFUNCTION("""COMPUTED_VALUE"""),1.599E7)</f>
        <v>15990000</v>
      </c>
    </row>
    <row r="105">
      <c r="A105" s="9" t="str">
        <f>IFERROR(__xludf.DUMMYFUNCTION("""COMPUTED_VALUE"""),"CLI-0423")</f>
        <v>CLI-0423</v>
      </c>
      <c r="B105" s="9" t="str">
        <f>IFERROR(__xludf.DUMMYFUNCTION("""COMPUTED_VALUE"""),"11954776-2")</f>
        <v>11954776-2</v>
      </c>
      <c r="C105" s="9" t="str">
        <f>IFERROR(__xludf.DUMMYFUNCTION("""COMPUTED_VALUE"""),"Carolina González Soto")</f>
        <v>Carolina González Soto</v>
      </c>
      <c r="D105" s="9" t="str">
        <f>IFERROR(__xludf.DUMMYFUNCTION("""COMPUTED_VALUE"""),"car.gonzález@gmail.com")</f>
        <v>car.gonzález@gmail.com</v>
      </c>
      <c r="E105" s="9" t="str">
        <f>IFERROR(__xludf.DUMMYFUNCTION("""COMPUTED_VALUE"""),"Maipú")</f>
        <v>Maipú</v>
      </c>
      <c r="F105" s="9" t="str">
        <f>IFERROR(__xludf.DUMMYFUNCTION("""COMPUTED_VALUE"""),"Santiago")</f>
        <v>Santiago</v>
      </c>
      <c r="G105" s="9" t="str">
        <f>IFERROR(__xludf.DUMMYFUNCTION("""COMPUTED_VALUE"""),"Región Metropolitana")</f>
        <v>Región Metropolitana</v>
      </c>
      <c r="H105" s="10">
        <f>IFERROR(__xludf.DUMMYFUNCTION("""COMPUTED_VALUE"""),1.593E7)</f>
        <v>15930000</v>
      </c>
    </row>
    <row r="106">
      <c r="A106" s="9" t="str">
        <f>IFERROR(__xludf.DUMMYFUNCTION("""COMPUTED_VALUE"""),"CLI-0670")</f>
        <v>CLI-0670</v>
      </c>
      <c r="B106" s="9" t="str">
        <f>IFERROR(__xludf.DUMMYFUNCTION("""COMPUTED_VALUE"""),"13.199.497-2")</f>
        <v>13.199.497-2</v>
      </c>
      <c r="C106" s="9" t="str">
        <f>IFERROR(__xludf.DUMMYFUNCTION("""COMPUTED_VALUE"""),"Gabriel Espinoza Araya")</f>
        <v>Gabriel Espinoza Araya</v>
      </c>
      <c r="D106" s="9" t="str">
        <f>IFERROR(__xludf.DUMMYFUNCTION("""COMPUTED_VALUE"""),"gab.espinoza@outlook.cl")</f>
        <v>gab.espinoza@outlook.cl</v>
      </c>
      <c r="E106" s="9" t="str">
        <f>IFERROR(__xludf.DUMMYFUNCTION("""COMPUTED_VALUE"""),"Las Condes")</f>
        <v>Las Condes</v>
      </c>
      <c r="F106" s="9" t="str">
        <f>IFERROR(__xludf.DUMMYFUNCTION("""COMPUTED_VALUE"""),"Santiago")</f>
        <v>Santiago</v>
      </c>
      <c r="G106" s="9" t="str">
        <f>IFERROR(__xludf.DUMMYFUNCTION("""COMPUTED_VALUE"""),"Región Metropolitana")</f>
        <v>Región Metropolitana</v>
      </c>
      <c r="H106" s="10">
        <f>IFERROR(__xludf.DUMMYFUNCTION("""COMPUTED_VALUE"""),1.573E7)</f>
        <v>15730000</v>
      </c>
    </row>
    <row r="107">
      <c r="A107" s="9" t="str">
        <f>IFERROR(__xludf.DUMMYFUNCTION("""COMPUTED_VALUE"""),"CLI-0335")</f>
        <v>CLI-0335</v>
      </c>
      <c r="B107" s="9" t="str">
        <f>IFERROR(__xludf.DUMMYFUNCTION("""COMPUTED_VALUE"""),"16494746-5")</f>
        <v>16494746-5</v>
      </c>
      <c r="C107" s="9" t="str">
        <f>IFERROR(__xludf.DUMMYFUNCTION("""COMPUTED_VALUE"""),"Andrea Sepúlveda Valenzuela")</f>
        <v>Andrea Sepúlveda Valenzuela</v>
      </c>
      <c r="D107" s="9" t="str">
        <f>IFERROR(__xludf.DUMMYFUNCTION("""COMPUTED_VALUE"""),"and.sepúlveda@consultora.cl")</f>
        <v>and.sepúlveda@consultora.cl</v>
      </c>
      <c r="E107" s="9" t="str">
        <f>IFERROR(__xludf.DUMMYFUNCTION("""COMPUTED_VALUE"""),"Providencia")</f>
        <v>Providencia</v>
      </c>
      <c r="F107" s="9" t="str">
        <f>IFERROR(__xludf.DUMMYFUNCTION("""COMPUTED_VALUE"""),"Santiago")</f>
        <v>Santiago</v>
      </c>
      <c r="G107" s="9" t="str">
        <f>IFERROR(__xludf.DUMMYFUNCTION("""COMPUTED_VALUE"""),"Región Metropolitana")</f>
        <v>Región Metropolitana</v>
      </c>
      <c r="H107" s="10">
        <f>IFERROR(__xludf.DUMMYFUNCTION("""COMPUTED_VALUE"""),1.565E7)</f>
        <v>15650000</v>
      </c>
    </row>
    <row r="108">
      <c r="A108" s="9" t="str">
        <f>IFERROR(__xludf.DUMMYFUNCTION("""COMPUTED_VALUE"""),"CLI-0016")</f>
        <v>CLI-0016</v>
      </c>
      <c r="B108" s="9" t="str">
        <f>IFERROR(__xludf.DUMMYFUNCTION("""COMPUTED_VALUE"""),"18686604-4")</f>
        <v>18686604-4</v>
      </c>
      <c r="C108" s="9" t="str">
        <f>IFERROR(__xludf.DUMMYFUNCTION("""COMPUTED_VALUE"""),"Mauricio Valenzuela Morales")</f>
        <v>Mauricio Valenzuela Morales</v>
      </c>
      <c r="D108" s="9" t="str">
        <f>IFERROR(__xludf.DUMMYFUNCTION("""COMPUTED_VALUE"""),"mau.valenzuela@empresa.cl")</f>
        <v>mau.valenzuela@empresa.cl</v>
      </c>
      <c r="E108" s="9" t="str">
        <f>IFERROR(__xludf.DUMMYFUNCTION("""COMPUTED_VALUE"""),"Ñuñoa")</f>
        <v>Ñuñoa</v>
      </c>
      <c r="F108" s="9" t="str">
        <f>IFERROR(__xludf.DUMMYFUNCTION("""COMPUTED_VALUE"""),"Santiago")</f>
        <v>Santiago</v>
      </c>
      <c r="G108" s="9" t="str">
        <f>IFERROR(__xludf.DUMMYFUNCTION("""COMPUTED_VALUE"""),"Región Metropolitana")</f>
        <v>Región Metropolitana</v>
      </c>
      <c r="H108" s="10">
        <f>IFERROR(__xludf.DUMMYFUNCTION("""COMPUTED_VALUE"""),1.562E7)</f>
        <v>15620000</v>
      </c>
    </row>
    <row r="109">
      <c r="A109" s="9" t="str">
        <f>IFERROR(__xludf.DUMMYFUNCTION("""COMPUTED_VALUE"""),"CLI-0710")</f>
        <v>CLI-0710</v>
      </c>
      <c r="B109" s="9" t="str">
        <f>IFERROR(__xludf.DUMMYFUNCTION("""COMPUTED_VALUE"""),"14.033.341-K")</f>
        <v>14.033.341-K</v>
      </c>
      <c r="C109" s="9" t="str">
        <f>IFERROR(__xludf.DUMMYFUNCTION("""COMPUTED_VALUE"""),"Gabriel Díaz Valenzuela")</f>
        <v>Gabriel Díaz Valenzuela</v>
      </c>
      <c r="D109" s="9" t="str">
        <f>IFERROR(__xludf.DUMMYFUNCTION("""COMPUTED_VALUE"""),"gab.díaz@sura.cl")</f>
        <v>gab.díaz@sura.cl</v>
      </c>
      <c r="E109" s="9" t="str">
        <f>IFERROR(__xludf.DUMMYFUNCTION("""COMPUTED_VALUE"""),"Ñuñoa")</f>
        <v>Ñuñoa</v>
      </c>
      <c r="F109" s="9" t="str">
        <f>IFERROR(__xludf.DUMMYFUNCTION("""COMPUTED_VALUE"""),"Santiago")</f>
        <v>Santiago</v>
      </c>
      <c r="G109" s="9" t="str">
        <f>IFERROR(__xludf.DUMMYFUNCTION("""COMPUTED_VALUE"""),"Región Metropolitana")</f>
        <v>Región Metropolitana</v>
      </c>
      <c r="H109" s="10">
        <f>IFERROR(__xludf.DUMMYFUNCTION("""COMPUTED_VALUE"""),1.561E7)</f>
        <v>15610000</v>
      </c>
    </row>
    <row r="110">
      <c r="A110" s="9" t="str">
        <f>IFERROR(__xludf.DUMMYFUNCTION("""COMPUTED_VALUE"""),"CLI-0027")</f>
        <v>CLI-0027</v>
      </c>
      <c r="B110" s="9" t="str">
        <f>IFERROR(__xludf.DUMMYFUNCTION("""COMPUTED_VALUE"""),"13.667.446-4")</f>
        <v>13.667.446-4</v>
      </c>
      <c r="C110" s="9" t="str">
        <f>IFERROR(__xludf.DUMMYFUNCTION("""COMPUTED_VALUE"""),"Sofia Díaz Valenzuela")</f>
        <v>Sofia Díaz Valenzuela</v>
      </c>
      <c r="D110" s="9" t="str">
        <f>IFERROR(__xludf.DUMMYFUNCTION("""COMPUTED_VALUE"""),"sof.díaz@outlook.cl")</f>
        <v>sof.díaz@outlook.cl</v>
      </c>
      <c r="E110" s="9" t="str">
        <f>IFERROR(__xludf.DUMMYFUNCTION("""COMPUTED_VALUE"""),"Maipú")</f>
        <v>Maipú</v>
      </c>
      <c r="F110" s="9" t="str">
        <f>IFERROR(__xludf.DUMMYFUNCTION("""COMPUTED_VALUE"""),"Santiago")</f>
        <v>Santiago</v>
      </c>
      <c r="G110" s="9" t="str">
        <f>IFERROR(__xludf.DUMMYFUNCTION("""COMPUTED_VALUE"""),"Región Metropolitana")</f>
        <v>Región Metropolitana</v>
      </c>
      <c r="H110" s="10">
        <f>IFERROR(__xludf.DUMMYFUNCTION("""COMPUTED_VALUE"""),1.547E7)</f>
        <v>15470000</v>
      </c>
    </row>
    <row r="111">
      <c r="A111" s="9" t="str">
        <f>IFERROR(__xludf.DUMMYFUNCTION("""COMPUTED_VALUE"""),"CLI-0689")</f>
        <v>CLI-0689</v>
      </c>
      <c r="B111" s="9" t="str">
        <f>IFERROR(__xludf.DUMMYFUNCTION("""COMPUTED_VALUE"""),"13.560.270-4")</f>
        <v>13.560.270-4</v>
      </c>
      <c r="C111" s="9" t="str">
        <f>IFERROR(__xludf.DUMMYFUNCTION("""COMPUTED_VALUE"""),"Beatriz Tapia Tapia")</f>
        <v>Beatriz Tapia Tapia</v>
      </c>
      <c r="D111" s="9" t="str">
        <f>IFERROR(__xludf.DUMMYFUNCTION("""COMPUTED_VALUE"""),"bea.tapia@servicios.cl")</f>
        <v>bea.tapia@servicios.cl</v>
      </c>
      <c r="E111" s="9" t="str">
        <f>IFERROR(__xludf.DUMMYFUNCTION("""COMPUTED_VALUE"""),"Ñuñoa")</f>
        <v>Ñuñoa</v>
      </c>
      <c r="F111" s="9" t="str">
        <f>IFERROR(__xludf.DUMMYFUNCTION("""COMPUTED_VALUE"""),"Santiago")</f>
        <v>Santiago</v>
      </c>
      <c r="G111" s="9" t="str">
        <f>IFERROR(__xludf.DUMMYFUNCTION("""COMPUTED_VALUE"""),"Región Metropolitana")</f>
        <v>Región Metropolitana</v>
      </c>
      <c r="H111" s="10">
        <f>IFERROR(__xludf.DUMMYFUNCTION("""COMPUTED_VALUE"""),1.521E7)</f>
        <v>15210000</v>
      </c>
    </row>
    <row r="112">
      <c r="A112" s="9" t="str">
        <f>IFERROR(__xludf.DUMMYFUNCTION("""COMPUTED_VALUE"""),"CLI-0541")</f>
        <v>CLI-0541</v>
      </c>
      <c r="B112" s="9" t="str">
        <f>IFERROR(__xludf.DUMMYFUNCTION("""COMPUTED_VALUE"""),"12.665.727-0")</f>
        <v>12.665.727-0</v>
      </c>
      <c r="C112" s="9" t="str">
        <f>IFERROR(__xludf.DUMMYFUNCTION("""COMPUTED_VALUE"""),"Macarena Tapia Valenzuela")</f>
        <v>Macarena Tapia Valenzuela</v>
      </c>
      <c r="D112" s="9" t="str">
        <f>IFERROR(__xludf.DUMMYFUNCTION("""COMPUTED_VALUE"""),"mac.tapia@servicios.cl")</f>
        <v>mac.tapia@servicios.cl</v>
      </c>
      <c r="E112" s="9" t="str">
        <f>IFERROR(__xludf.DUMMYFUNCTION("""COMPUTED_VALUE"""),"Providencia")</f>
        <v>Providencia</v>
      </c>
      <c r="F112" s="9" t="str">
        <f>IFERROR(__xludf.DUMMYFUNCTION("""COMPUTED_VALUE"""),"Santiago")</f>
        <v>Santiago</v>
      </c>
      <c r="G112" s="9" t="str">
        <f>IFERROR(__xludf.DUMMYFUNCTION("""COMPUTED_VALUE"""),"Región Metropolitana")</f>
        <v>Región Metropolitana</v>
      </c>
      <c r="H112" s="10">
        <f>IFERROR(__xludf.DUMMYFUNCTION("""COMPUTED_VALUE"""),1.497E7)</f>
        <v>14970000</v>
      </c>
    </row>
    <row r="113">
      <c r="A113" s="9" t="str">
        <f>IFERROR(__xludf.DUMMYFUNCTION("""COMPUTED_VALUE"""),"CLI-0944")</f>
        <v>CLI-0944</v>
      </c>
      <c r="B113" s="9" t="str">
        <f>IFERROR(__xludf.DUMMYFUNCTION("""COMPUTED_VALUE"""),"15.283.259-1")</f>
        <v>15.283.259-1</v>
      </c>
      <c r="C113" s="9" t="str">
        <f>IFERROR(__xludf.DUMMYFUNCTION("""COMPUTED_VALUE"""),"Hernán Vergara Tapia")</f>
        <v>Hernán Vergara Tapia</v>
      </c>
      <c r="D113" s="9" t="str">
        <f>IFERROR(__xludf.DUMMYFUNCTION("""COMPUTED_VALUE"""),"her.vergara@empresa.cl")</f>
        <v>her.vergara@empresa.cl</v>
      </c>
      <c r="E113" s="9" t="str">
        <f>IFERROR(__xludf.DUMMYFUNCTION("""COMPUTED_VALUE"""),"Las Condes")</f>
        <v>Las Condes</v>
      </c>
      <c r="F113" s="9" t="str">
        <f>IFERROR(__xludf.DUMMYFUNCTION("""COMPUTED_VALUE"""),"Santiago")</f>
        <v>Santiago</v>
      </c>
      <c r="G113" s="9" t="str">
        <f>IFERROR(__xludf.DUMMYFUNCTION("""COMPUTED_VALUE"""),"Región Metropolitana")</f>
        <v>Región Metropolitana</v>
      </c>
      <c r="H113" s="10">
        <f>IFERROR(__xludf.DUMMYFUNCTION("""COMPUTED_VALUE"""),1.496E7)</f>
        <v>14960000</v>
      </c>
    </row>
    <row r="114">
      <c r="A114" s="9" t="str">
        <f>IFERROR(__xludf.DUMMYFUNCTION("""COMPUTED_VALUE"""),"CLI-0523")</f>
        <v>CLI-0523</v>
      </c>
      <c r="B114" s="9" t="str">
        <f>IFERROR(__xludf.DUMMYFUNCTION("""COMPUTED_VALUE"""),"15.160.951-5")</f>
        <v>15.160.951-5</v>
      </c>
      <c r="C114" s="9" t="str">
        <f>IFERROR(__xludf.DUMMYFUNCTION("""COMPUTED_VALUE"""),"Paula Silva Rodríguez")</f>
        <v>Paula Silva Rodríguez</v>
      </c>
      <c r="D114" s="9" t="str">
        <f>IFERROR(__xludf.DUMMYFUNCTION("""COMPUTED_VALUE"""),"pau.silva@gmail.com")</f>
        <v>pau.silva@gmail.com</v>
      </c>
      <c r="E114" s="9" t="str">
        <f>IFERROR(__xludf.DUMMYFUNCTION("""COMPUTED_VALUE"""),"Las Condes")</f>
        <v>Las Condes</v>
      </c>
      <c r="F114" s="9" t="str">
        <f>IFERROR(__xludf.DUMMYFUNCTION("""COMPUTED_VALUE"""),"Santiago")</f>
        <v>Santiago</v>
      </c>
      <c r="G114" s="9" t="str">
        <f>IFERROR(__xludf.DUMMYFUNCTION("""COMPUTED_VALUE"""),"Región Metropolitana")</f>
        <v>Región Metropolitana</v>
      </c>
      <c r="H114" s="10">
        <f>IFERROR(__xludf.DUMMYFUNCTION("""COMPUTED_VALUE"""),1.494E7)</f>
        <v>14940000</v>
      </c>
    </row>
    <row r="115">
      <c r="A115" s="9" t="str">
        <f>IFERROR(__xludf.DUMMYFUNCTION("""COMPUTED_VALUE"""),"CLI-0355")</f>
        <v>CLI-0355</v>
      </c>
      <c r="B115" s="9" t="str">
        <f>IFERROR(__xludf.DUMMYFUNCTION("""COMPUTED_VALUE"""),"11040355-4")</f>
        <v>11040355-4</v>
      </c>
      <c r="C115" s="9" t="str">
        <f>IFERROR(__xludf.DUMMYFUNCTION("""COMPUTED_VALUE"""),"Javiera Rodríguez Silva")</f>
        <v>Javiera Rodríguez Silva</v>
      </c>
      <c r="D115" s="9" t="str">
        <f>IFERROR(__xludf.DUMMYFUNCTION("""COMPUTED_VALUE"""),"jav.rodríguez@servicios.cl")</f>
        <v>jav.rodríguez@servicios.cl</v>
      </c>
      <c r="E115" s="9" t="str">
        <f>IFERROR(__xludf.DUMMYFUNCTION("""COMPUTED_VALUE"""),"Providencia")</f>
        <v>Providencia</v>
      </c>
      <c r="F115" s="9" t="str">
        <f>IFERROR(__xludf.DUMMYFUNCTION("""COMPUTED_VALUE"""),"Santiago")</f>
        <v>Santiago</v>
      </c>
      <c r="G115" s="9" t="str">
        <f>IFERROR(__xludf.DUMMYFUNCTION("""COMPUTED_VALUE"""),"Región Metropolitana")</f>
        <v>Región Metropolitana</v>
      </c>
      <c r="H115" s="10">
        <f>IFERROR(__xludf.DUMMYFUNCTION("""COMPUTED_VALUE"""),1.493E7)</f>
        <v>14930000</v>
      </c>
    </row>
    <row r="116">
      <c r="A116" s="9" t="str">
        <f>IFERROR(__xludf.DUMMYFUNCTION("""COMPUTED_VALUE"""),"CLI-0505")</f>
        <v>CLI-0505</v>
      </c>
      <c r="B116" s="9" t="str">
        <f>IFERROR(__xludf.DUMMYFUNCTION("""COMPUTED_VALUE"""),"20033907-7")</f>
        <v>20033907-7</v>
      </c>
      <c r="C116" s="9" t="str">
        <f>IFERROR(__xludf.DUMMYFUNCTION("""COMPUTED_VALUE"""),"Carolina Fuentes Valenzuela")</f>
        <v>Carolina Fuentes Valenzuela</v>
      </c>
      <c r="D116" s="9" t="str">
        <f>IFERROR(__xludf.DUMMYFUNCTION("""COMPUTED_VALUE"""),"car.fuentes@servicios.cl")</f>
        <v>car.fuentes@servicios.cl</v>
      </c>
      <c r="E116" s="9" t="str">
        <f>IFERROR(__xludf.DUMMYFUNCTION("""COMPUTED_VALUE"""),"Ñuñoa")</f>
        <v>Ñuñoa</v>
      </c>
      <c r="F116" s="9" t="str">
        <f>IFERROR(__xludf.DUMMYFUNCTION("""COMPUTED_VALUE"""),"Santiago")</f>
        <v>Santiago</v>
      </c>
      <c r="G116" s="9" t="str">
        <f>IFERROR(__xludf.DUMMYFUNCTION("""COMPUTED_VALUE"""),"Región Metropolitana")</f>
        <v>Región Metropolitana</v>
      </c>
      <c r="H116" s="10">
        <f>IFERROR(__xludf.DUMMYFUNCTION("""COMPUTED_VALUE"""),1.489E7)</f>
        <v>14890000</v>
      </c>
    </row>
    <row r="117">
      <c r="A117" s="9" t="str">
        <f>IFERROR(__xludf.DUMMYFUNCTION("""COMPUTED_VALUE"""),"CLI-0173")</f>
        <v>CLI-0173</v>
      </c>
      <c r="B117" s="9" t="str">
        <f>IFERROR(__xludf.DUMMYFUNCTION("""COMPUTED_VALUE"""),"13.870.401-5")</f>
        <v>13.870.401-5</v>
      </c>
      <c r="C117" s="9" t="str">
        <f>IFERROR(__xludf.DUMMYFUNCTION("""COMPUTED_VALUE"""),"Camila Rojas Silva")</f>
        <v>Camila Rojas Silva</v>
      </c>
      <c r="D117" s="9" t="str">
        <f>IFERROR(__xludf.DUMMYFUNCTION("""COMPUTED_VALUE"""),"cam.rojas@consultora.cl")</f>
        <v>cam.rojas@consultora.cl</v>
      </c>
      <c r="E117" s="9" t="str">
        <f>IFERROR(__xludf.DUMMYFUNCTION("""COMPUTED_VALUE"""),"Ñuñoa")</f>
        <v>Ñuñoa</v>
      </c>
      <c r="F117" s="9" t="str">
        <f>IFERROR(__xludf.DUMMYFUNCTION("""COMPUTED_VALUE"""),"Santiago")</f>
        <v>Santiago</v>
      </c>
      <c r="G117" s="9" t="str">
        <f>IFERROR(__xludf.DUMMYFUNCTION("""COMPUTED_VALUE"""),"Región Metropolitana")</f>
        <v>Región Metropolitana</v>
      </c>
      <c r="H117" s="10">
        <f>IFERROR(__xludf.DUMMYFUNCTION("""COMPUTED_VALUE"""),1.488E7)</f>
        <v>14880000</v>
      </c>
    </row>
    <row r="118">
      <c r="A118" s="9" t="str">
        <f>IFERROR(__xludf.DUMMYFUNCTION("""COMPUTED_VALUE"""),"CLI-0845")</f>
        <v>CLI-0845</v>
      </c>
      <c r="B118" s="9" t="str">
        <f>IFERROR(__xludf.DUMMYFUNCTION("""COMPUTED_VALUE"""),"21.961.385-3")</f>
        <v>21.961.385-3</v>
      </c>
      <c r="C118" s="9" t="str">
        <f>IFERROR(__xludf.DUMMYFUNCTION("""COMPUTED_VALUE"""),"Beatriz Pérez Fuentes")</f>
        <v>Beatriz Pérez Fuentes</v>
      </c>
      <c r="D118" s="9" t="str">
        <f>IFERROR(__xludf.DUMMYFUNCTION("""COMPUTED_VALUE"""),"bea.pérez@servicios.cl")</f>
        <v>bea.pérez@servicios.cl</v>
      </c>
      <c r="E118" s="9" t="str">
        <f>IFERROR(__xludf.DUMMYFUNCTION("""COMPUTED_VALUE"""),"Las Condes")</f>
        <v>Las Condes</v>
      </c>
      <c r="F118" s="9" t="str">
        <f>IFERROR(__xludf.DUMMYFUNCTION("""COMPUTED_VALUE"""),"Santiago")</f>
        <v>Santiago</v>
      </c>
      <c r="G118" s="9" t="str">
        <f>IFERROR(__xludf.DUMMYFUNCTION("""COMPUTED_VALUE"""),"Región Metropolitana")</f>
        <v>Región Metropolitana</v>
      </c>
      <c r="H118" s="10">
        <f>IFERROR(__xludf.DUMMYFUNCTION("""COMPUTED_VALUE"""),1.482E7)</f>
        <v>14820000</v>
      </c>
    </row>
    <row r="119">
      <c r="A119" s="9" t="str">
        <f>IFERROR(__xludf.DUMMYFUNCTION("""COMPUTED_VALUE"""),"CLI-0298")</f>
        <v>CLI-0298</v>
      </c>
      <c r="B119" s="9" t="str">
        <f>IFERROR(__xludf.DUMMYFUNCTION("""COMPUTED_VALUE"""),"14046123-2")</f>
        <v>14046123-2</v>
      </c>
      <c r="C119" s="9" t="str">
        <f>IFERROR(__xludf.DUMMYFUNCTION("""COMPUTED_VALUE"""),"Sebastián Contreras Tapia")</f>
        <v>Sebastián Contreras Tapia</v>
      </c>
      <c r="D119" s="9" t="str">
        <f>IFERROR(__xludf.DUMMYFUNCTION("""COMPUTED_VALUE"""),"seb.contreras@consultora.cl")</f>
        <v>seb.contreras@consultora.cl</v>
      </c>
      <c r="E119" s="9" t="str">
        <f>IFERROR(__xludf.DUMMYFUNCTION("""COMPUTED_VALUE"""),"Providencia")</f>
        <v>Providencia</v>
      </c>
      <c r="F119" s="9" t="str">
        <f>IFERROR(__xludf.DUMMYFUNCTION("""COMPUTED_VALUE"""),"Santiago")</f>
        <v>Santiago</v>
      </c>
      <c r="G119" s="9" t="str">
        <f>IFERROR(__xludf.DUMMYFUNCTION("""COMPUTED_VALUE"""),"Región Metropolitana")</f>
        <v>Región Metropolitana</v>
      </c>
      <c r="H119" s="10">
        <f>IFERROR(__xludf.DUMMYFUNCTION("""COMPUTED_VALUE"""),1.462E7)</f>
        <v>14620000</v>
      </c>
    </row>
    <row r="120">
      <c r="A120" s="9" t="str">
        <f>IFERROR(__xludf.DUMMYFUNCTION("""COMPUTED_VALUE"""),"CLI-0273")</f>
        <v>CLI-0273</v>
      </c>
      <c r="B120" s="9" t="str">
        <f>IFERROR(__xludf.DUMMYFUNCTION("""COMPUTED_VALUE"""),"17549161-0")</f>
        <v>17549161-0</v>
      </c>
      <c r="C120" s="9" t="str">
        <f>IFERROR(__xludf.DUMMYFUNCTION("""COMPUTED_VALUE"""),"Beatriz Espinoza Pérez")</f>
        <v>Beatriz Espinoza Pérez</v>
      </c>
      <c r="D120" s="9" t="str">
        <f>IFERROR(__xludf.DUMMYFUNCTION("""COMPUTED_VALUE"""),"bea.espinoza@sura.cl")</f>
        <v>bea.espinoza@sura.cl</v>
      </c>
      <c r="E120" s="9" t="str">
        <f>IFERROR(__xludf.DUMMYFUNCTION("""COMPUTED_VALUE"""),"Santiago Centro")</f>
        <v>Santiago Centro</v>
      </c>
      <c r="F120" s="9" t="str">
        <f>IFERROR(__xludf.DUMMYFUNCTION("""COMPUTED_VALUE"""),"Santiago")</f>
        <v>Santiago</v>
      </c>
      <c r="G120" s="9" t="str">
        <f>IFERROR(__xludf.DUMMYFUNCTION("""COMPUTED_VALUE"""),"Región Metropolitana")</f>
        <v>Región Metropolitana</v>
      </c>
      <c r="H120" s="10">
        <f>IFERROR(__xludf.DUMMYFUNCTION("""COMPUTED_VALUE"""),1.461E7)</f>
        <v>14610000</v>
      </c>
    </row>
    <row r="121">
      <c r="A121" s="9" t="str">
        <f>IFERROR(__xludf.DUMMYFUNCTION("""COMPUTED_VALUE"""),"CLI-0668")</f>
        <v>CLI-0668</v>
      </c>
      <c r="B121" s="9" t="str">
        <f>IFERROR(__xludf.DUMMYFUNCTION("""COMPUTED_VALUE"""),"17.238.764-2")</f>
        <v>17.238.764-2</v>
      </c>
      <c r="C121" s="9" t="str">
        <f>IFERROR(__xludf.DUMMYFUNCTION("""COMPUTED_VALUE"""),"Álvaro Fuentes Araya")</f>
        <v>Álvaro Fuentes Araya</v>
      </c>
      <c r="D121" s="9" t="str">
        <f>IFERROR(__xludf.DUMMYFUNCTION("""COMPUTED_VALUE"""),"álv.fuentes@empresa.cl")</f>
        <v>álv.fuentes@empresa.cl</v>
      </c>
      <c r="E121" s="9" t="str">
        <f>IFERROR(__xludf.DUMMYFUNCTION("""COMPUTED_VALUE"""),"Las Condes")</f>
        <v>Las Condes</v>
      </c>
      <c r="F121" s="9" t="str">
        <f>IFERROR(__xludf.DUMMYFUNCTION("""COMPUTED_VALUE"""),"Santiago")</f>
        <v>Santiago</v>
      </c>
      <c r="G121" s="9" t="str">
        <f>IFERROR(__xludf.DUMMYFUNCTION("""COMPUTED_VALUE"""),"Región Metropolitana")</f>
        <v>Región Metropolitana</v>
      </c>
      <c r="H121" s="10">
        <f>IFERROR(__xludf.DUMMYFUNCTION("""COMPUTED_VALUE"""),1.46E7)</f>
        <v>14600000</v>
      </c>
    </row>
    <row r="122">
      <c r="A122" s="9" t="str">
        <f>IFERROR(__xludf.DUMMYFUNCTION("""COMPUTED_VALUE"""),"CLI-0055")</f>
        <v>CLI-0055</v>
      </c>
      <c r="B122" s="9" t="str">
        <f>IFERROR(__xludf.DUMMYFUNCTION("""COMPUTED_VALUE"""),"11.500.055-5")</f>
        <v>11.500.055-5</v>
      </c>
      <c r="C122" s="9" t="str">
        <f>IFERROR(__xludf.DUMMYFUNCTION("""COMPUTED_VALUE"""),"Valentina Soto Díaz")</f>
        <v>Valentina Soto Díaz</v>
      </c>
      <c r="D122" s="9" t="str">
        <f>IFERROR(__xludf.DUMMYFUNCTION("""COMPUTED_VALUE"""),"val.soto@servicios.cl")</f>
        <v>val.soto@servicios.cl</v>
      </c>
      <c r="E122" s="9" t="str">
        <f>IFERROR(__xludf.DUMMYFUNCTION("""COMPUTED_VALUE"""),"Las Condes")</f>
        <v>Las Condes</v>
      </c>
      <c r="F122" s="9" t="str">
        <f>IFERROR(__xludf.DUMMYFUNCTION("""COMPUTED_VALUE"""),"Santiago")</f>
        <v>Santiago</v>
      </c>
      <c r="G122" s="9" t="str">
        <f>IFERROR(__xludf.DUMMYFUNCTION("""COMPUTED_VALUE"""),"Región Metropolitana")</f>
        <v>Región Metropolitana</v>
      </c>
      <c r="H122" s="10">
        <f>IFERROR(__xludf.DUMMYFUNCTION("""COMPUTED_VALUE"""),1.442E7)</f>
        <v>14420000</v>
      </c>
    </row>
    <row r="123">
      <c r="A123" s="9" t="str">
        <f>IFERROR(__xludf.DUMMYFUNCTION("""COMPUTED_VALUE"""),"CLI-0164")</f>
        <v>CLI-0164</v>
      </c>
      <c r="B123" s="9" t="str">
        <f>IFERROR(__xludf.DUMMYFUNCTION("""COMPUTED_VALUE"""),"22007561-3")</f>
        <v>22007561-3</v>
      </c>
      <c r="C123" s="9" t="str">
        <f>IFERROR(__xludf.DUMMYFUNCTION("""COMPUTED_VALUE"""),"Sebastián Araya Espinoza")</f>
        <v>Sebastián Araya Espinoza</v>
      </c>
      <c r="D123" s="9" t="str">
        <f>IFERROR(__xludf.DUMMYFUNCTION("""COMPUTED_VALUE"""),"seb.araya@consultora.cl")</f>
        <v>seb.araya@consultora.cl</v>
      </c>
      <c r="E123" s="9" t="str">
        <f>IFERROR(__xludf.DUMMYFUNCTION("""COMPUTED_VALUE"""),"Santiago Centro")</f>
        <v>Santiago Centro</v>
      </c>
      <c r="F123" s="9" t="str">
        <f>IFERROR(__xludf.DUMMYFUNCTION("""COMPUTED_VALUE"""),"Santiago")</f>
        <v>Santiago</v>
      </c>
      <c r="G123" s="9" t="str">
        <f>IFERROR(__xludf.DUMMYFUNCTION("""COMPUTED_VALUE"""),"Región Metropolitana")</f>
        <v>Región Metropolitana</v>
      </c>
      <c r="H123" s="10">
        <f>IFERROR(__xludf.DUMMYFUNCTION("""COMPUTED_VALUE"""),1.435E7)</f>
        <v>14350000</v>
      </c>
    </row>
    <row r="124">
      <c r="A124" s="9" t="str">
        <f>IFERROR(__xludf.DUMMYFUNCTION("""COMPUTED_VALUE"""),"CLI-0591")</f>
        <v>CLI-0591</v>
      </c>
      <c r="B124" s="9" t="str">
        <f>IFERROR(__xludf.DUMMYFUNCTION("""COMPUTED_VALUE"""),"19000979-6")</f>
        <v>19000979-6</v>
      </c>
      <c r="C124" s="9" t="str">
        <f>IFERROR(__xludf.DUMMYFUNCTION("""COMPUTED_VALUE"""),"Constanza Fuentes Contreras")</f>
        <v>Constanza Fuentes Contreras</v>
      </c>
      <c r="D124" s="9" t="str">
        <f>IFERROR(__xludf.DUMMYFUNCTION("""COMPUTED_VALUE"""),"con.fuentes@outlook.cl")</f>
        <v>con.fuentes@outlook.cl</v>
      </c>
      <c r="E124" s="9" t="str">
        <f>IFERROR(__xludf.DUMMYFUNCTION("""COMPUTED_VALUE"""),"Santiago Centro")</f>
        <v>Santiago Centro</v>
      </c>
      <c r="F124" s="9" t="str">
        <f>IFERROR(__xludf.DUMMYFUNCTION("""COMPUTED_VALUE"""),"Santiago")</f>
        <v>Santiago</v>
      </c>
      <c r="G124" s="9" t="str">
        <f>IFERROR(__xludf.DUMMYFUNCTION("""COMPUTED_VALUE"""),"Región Metropolitana")</f>
        <v>Región Metropolitana</v>
      </c>
      <c r="H124" s="10">
        <f>IFERROR(__xludf.DUMMYFUNCTION("""COMPUTED_VALUE"""),1.434E7)</f>
        <v>14340000</v>
      </c>
    </row>
    <row r="125">
      <c r="A125" s="9" t="str">
        <f>IFERROR(__xludf.DUMMYFUNCTION("""COMPUTED_VALUE"""),"CLI-0895")</f>
        <v>CLI-0895</v>
      </c>
      <c r="B125" s="9" t="str">
        <f>IFERROR(__xludf.DUMMYFUNCTION("""COMPUTED_VALUE"""),"17.962.366-9")</f>
        <v>17.962.366-9</v>
      </c>
      <c r="C125" s="9" t="str">
        <f>IFERROR(__xludf.DUMMYFUNCTION("""COMPUTED_VALUE"""),"Daniela Morales Valenzuela")</f>
        <v>Daniela Morales Valenzuela</v>
      </c>
      <c r="D125" s="9" t="str">
        <f>IFERROR(__xludf.DUMMYFUNCTION("""COMPUTED_VALUE"""),"dan.morales@gmail.com")</f>
        <v>dan.morales@gmail.com</v>
      </c>
      <c r="E125" s="9" t="str">
        <f>IFERROR(__xludf.DUMMYFUNCTION("""COMPUTED_VALUE"""),"Las Condes")</f>
        <v>Las Condes</v>
      </c>
      <c r="F125" s="9" t="str">
        <f>IFERROR(__xludf.DUMMYFUNCTION("""COMPUTED_VALUE"""),"Santiago")</f>
        <v>Santiago</v>
      </c>
      <c r="G125" s="9" t="str">
        <f>IFERROR(__xludf.DUMMYFUNCTION("""COMPUTED_VALUE"""),"Región Metropolitana")</f>
        <v>Región Metropolitana</v>
      </c>
      <c r="H125" s="10">
        <f>IFERROR(__xludf.DUMMYFUNCTION("""COMPUTED_VALUE"""),1.43E7)</f>
        <v>14300000</v>
      </c>
    </row>
    <row r="126">
      <c r="A126" s="9" t="str">
        <f>IFERROR(__xludf.DUMMYFUNCTION("""COMPUTED_VALUE"""),"CLI-0305")</f>
        <v>CLI-0305</v>
      </c>
      <c r="B126" s="9" t="str">
        <f>IFERROR(__xludf.DUMMYFUNCTION("""COMPUTED_VALUE"""),"19.561.465-8")</f>
        <v>19.561.465-8</v>
      </c>
      <c r="C126" s="9" t="str">
        <f>IFERROR(__xludf.DUMMYFUNCTION("""COMPUTED_VALUE"""),"Constanza Sepúlveda Fuentes")</f>
        <v>Constanza Sepúlveda Fuentes</v>
      </c>
      <c r="D126" s="9" t="str">
        <f>IFERROR(__xludf.DUMMYFUNCTION("""COMPUTED_VALUE"""),"con.sepúlveda@servicios.cl")</f>
        <v>con.sepúlveda@servicios.cl</v>
      </c>
      <c r="E126" s="9" t="str">
        <f>IFERROR(__xludf.DUMMYFUNCTION("""COMPUTED_VALUE"""),"Santiago Centro")</f>
        <v>Santiago Centro</v>
      </c>
      <c r="F126" s="9" t="str">
        <f>IFERROR(__xludf.DUMMYFUNCTION("""COMPUTED_VALUE"""),"Santiago")</f>
        <v>Santiago</v>
      </c>
      <c r="G126" s="9" t="str">
        <f>IFERROR(__xludf.DUMMYFUNCTION("""COMPUTED_VALUE"""),"Región Metropolitana")</f>
        <v>Región Metropolitana</v>
      </c>
      <c r="H126" s="10">
        <f>IFERROR(__xludf.DUMMYFUNCTION("""COMPUTED_VALUE"""),1.428E7)</f>
        <v>14280000</v>
      </c>
    </row>
    <row r="127">
      <c r="A127" s="9" t="str">
        <f>IFERROR(__xludf.DUMMYFUNCTION("""COMPUTED_VALUE"""),"CLI-0651")</f>
        <v>CLI-0651</v>
      </c>
      <c r="B127" s="9" t="str">
        <f>IFERROR(__xludf.DUMMYFUNCTION("""COMPUTED_VALUE"""),"12.657.047-1")</f>
        <v>12.657.047-1</v>
      </c>
      <c r="C127" s="9" t="str">
        <f>IFERROR(__xludf.DUMMYFUNCTION("""COMPUTED_VALUE"""),"Daniela Rodríguez Contreras")</f>
        <v>Daniela Rodríguez Contreras</v>
      </c>
      <c r="D127" s="9" t="str">
        <f>IFERROR(__xludf.DUMMYFUNCTION("""COMPUTED_VALUE"""),"dan.rodríguez@consultora.cl")</f>
        <v>dan.rodríguez@consultora.cl</v>
      </c>
      <c r="E127" s="9" t="str">
        <f>IFERROR(__xludf.DUMMYFUNCTION("""COMPUTED_VALUE"""),"Ñuñoa")</f>
        <v>Ñuñoa</v>
      </c>
      <c r="F127" s="9" t="str">
        <f>IFERROR(__xludf.DUMMYFUNCTION("""COMPUTED_VALUE"""),"Santiago")</f>
        <v>Santiago</v>
      </c>
      <c r="G127" s="9" t="str">
        <f>IFERROR(__xludf.DUMMYFUNCTION("""COMPUTED_VALUE"""),"Región Metropolitana")</f>
        <v>Región Metropolitana</v>
      </c>
      <c r="H127" s="10">
        <f>IFERROR(__xludf.DUMMYFUNCTION("""COMPUTED_VALUE"""),1.427E7)</f>
        <v>14270000</v>
      </c>
    </row>
    <row r="128">
      <c r="A128" s="9" t="str">
        <f>IFERROR(__xludf.DUMMYFUNCTION("""COMPUTED_VALUE"""),"CLI-0664")</f>
        <v>CLI-0664</v>
      </c>
      <c r="B128" s="9" t="str">
        <f>IFERROR(__xludf.DUMMYFUNCTION("""COMPUTED_VALUE"""),"17.746.452-8")</f>
        <v>17.746.452-8</v>
      </c>
      <c r="C128" s="9" t="str">
        <f>IFERROR(__xludf.DUMMYFUNCTION("""COMPUTED_VALUE"""),"Claudio González Morales")</f>
        <v>Claudio González Morales</v>
      </c>
      <c r="D128" s="9" t="str">
        <f>IFERROR(__xludf.DUMMYFUNCTION("""COMPUTED_VALUE"""),"cla.gonzález@outlook.cl")</f>
        <v>cla.gonzález@outlook.cl</v>
      </c>
      <c r="E128" s="9" t="str">
        <f>IFERROR(__xludf.DUMMYFUNCTION("""COMPUTED_VALUE"""),"Maipú")</f>
        <v>Maipú</v>
      </c>
      <c r="F128" s="9" t="str">
        <f>IFERROR(__xludf.DUMMYFUNCTION("""COMPUTED_VALUE"""),"Santiago")</f>
        <v>Santiago</v>
      </c>
      <c r="G128" s="9" t="str">
        <f>IFERROR(__xludf.DUMMYFUNCTION("""COMPUTED_VALUE"""),"Región Metropolitana")</f>
        <v>Región Metropolitana</v>
      </c>
      <c r="H128" s="10">
        <f>IFERROR(__xludf.DUMMYFUNCTION("""COMPUTED_VALUE"""),1.425E7)</f>
        <v>14250000</v>
      </c>
    </row>
    <row r="129">
      <c r="A129" s="9" t="str">
        <f>IFERROR(__xludf.DUMMYFUNCTION("""COMPUTED_VALUE"""),"CLI-0612")</f>
        <v>CLI-0612</v>
      </c>
      <c r="B129" s="9" t="str">
        <f>IFERROR(__xludf.DUMMYFUNCTION("""COMPUTED_VALUE"""),"20639838-0")</f>
        <v>20639838-0</v>
      </c>
      <c r="C129" s="9" t="str">
        <f>IFERROR(__xludf.DUMMYFUNCTION("""COMPUTED_VALUE"""),"Ignacio Díaz González")</f>
        <v>Ignacio Díaz González</v>
      </c>
      <c r="D129" s="9" t="str">
        <f>IFERROR(__xludf.DUMMYFUNCTION("""COMPUTED_VALUE"""),"ign.díaz@outlook.cl")</f>
        <v>ign.díaz@outlook.cl</v>
      </c>
      <c r="E129" s="9" t="str">
        <f>IFERROR(__xludf.DUMMYFUNCTION("""COMPUTED_VALUE"""),"Las Condes")</f>
        <v>Las Condes</v>
      </c>
      <c r="F129" s="9" t="str">
        <f>IFERROR(__xludf.DUMMYFUNCTION("""COMPUTED_VALUE"""),"Santiago")</f>
        <v>Santiago</v>
      </c>
      <c r="G129" s="9" t="str">
        <f>IFERROR(__xludf.DUMMYFUNCTION("""COMPUTED_VALUE"""),"Región Metropolitana")</f>
        <v>Región Metropolitana</v>
      </c>
      <c r="H129" s="10">
        <f>IFERROR(__xludf.DUMMYFUNCTION("""COMPUTED_VALUE"""),1.423E7)</f>
        <v>14230000</v>
      </c>
    </row>
    <row r="130">
      <c r="A130" s="9" t="str">
        <f>IFERROR(__xludf.DUMMYFUNCTION("""COMPUTED_VALUE"""),"CLI-0813")</f>
        <v>CLI-0813</v>
      </c>
      <c r="B130" s="9" t="str">
        <f>IFERROR(__xludf.DUMMYFUNCTION("""COMPUTED_VALUE"""),"17.633.779-8")</f>
        <v>17.633.779-8</v>
      </c>
      <c r="C130" s="9" t="str">
        <f>IFERROR(__xludf.DUMMYFUNCTION("""COMPUTED_VALUE"""),"Sofia Fuentes Valenzuela")</f>
        <v>Sofia Fuentes Valenzuela</v>
      </c>
      <c r="D130" s="9" t="str">
        <f>IFERROR(__xludf.DUMMYFUNCTION("""COMPUTED_VALUE"""),"sof.fuentes@servicios.cl")</f>
        <v>sof.fuentes@servicios.cl</v>
      </c>
      <c r="E130" s="9" t="str">
        <f>IFERROR(__xludf.DUMMYFUNCTION("""COMPUTED_VALUE"""),"Las Condes")</f>
        <v>Las Condes</v>
      </c>
      <c r="F130" s="9" t="str">
        <f>IFERROR(__xludf.DUMMYFUNCTION("""COMPUTED_VALUE"""),"Santiago")</f>
        <v>Santiago</v>
      </c>
      <c r="G130" s="9" t="str">
        <f>IFERROR(__xludf.DUMMYFUNCTION("""COMPUTED_VALUE"""),"Región Metropolitana")</f>
        <v>Región Metropolitana</v>
      </c>
      <c r="H130" s="10">
        <f>IFERROR(__xludf.DUMMYFUNCTION("""COMPUTED_VALUE"""),1.42E7)</f>
        <v>14200000</v>
      </c>
    </row>
    <row r="131">
      <c r="A131" s="9" t="str">
        <f>IFERROR(__xludf.DUMMYFUNCTION("""COMPUTED_VALUE"""),"CLI-0618")</f>
        <v>CLI-0618</v>
      </c>
      <c r="B131" s="9" t="str">
        <f>IFERROR(__xludf.DUMMYFUNCTION("""COMPUTED_VALUE"""),"16358929-4")</f>
        <v>16358929-4</v>
      </c>
      <c r="C131" s="9" t="str">
        <f>IFERROR(__xludf.DUMMYFUNCTION("""COMPUTED_VALUE"""),"Matías Muñoz Rodríguez")</f>
        <v>Matías Muñoz Rodríguez</v>
      </c>
      <c r="D131" s="9" t="str">
        <f>IFERROR(__xludf.DUMMYFUNCTION("""COMPUTED_VALUE"""),"mat.muñoz@consultora.cl")</f>
        <v>mat.muñoz@consultora.cl</v>
      </c>
      <c r="E131" s="9" t="str">
        <f>IFERROR(__xludf.DUMMYFUNCTION("""COMPUTED_VALUE"""),"Ñuñoa")</f>
        <v>Ñuñoa</v>
      </c>
      <c r="F131" s="9" t="str">
        <f>IFERROR(__xludf.DUMMYFUNCTION("""COMPUTED_VALUE"""),"Santiago")</f>
        <v>Santiago</v>
      </c>
      <c r="G131" s="9" t="str">
        <f>IFERROR(__xludf.DUMMYFUNCTION("""COMPUTED_VALUE"""),"Región Metropolitana")</f>
        <v>Región Metropolitana</v>
      </c>
      <c r="H131" s="10">
        <f>IFERROR(__xludf.DUMMYFUNCTION("""COMPUTED_VALUE"""),1.412E7)</f>
        <v>14120000</v>
      </c>
    </row>
    <row r="132">
      <c r="A132" s="9" t="str">
        <f>IFERROR(__xludf.DUMMYFUNCTION("""COMPUTED_VALUE"""),"CLI-0542")</f>
        <v>CLI-0542</v>
      </c>
      <c r="B132" s="9" t="str">
        <f>IFERROR(__xludf.DUMMYFUNCTION("""COMPUTED_VALUE"""),"14.746.278-4")</f>
        <v>14.746.278-4</v>
      </c>
      <c r="C132" s="9" t="str">
        <f>IFERROR(__xludf.DUMMYFUNCTION("""COMPUTED_VALUE"""),"Tomas Rodríguez Muñoz")</f>
        <v>Tomas Rodríguez Muñoz</v>
      </c>
      <c r="D132" s="9" t="str">
        <f>IFERROR(__xludf.DUMMYFUNCTION("""COMPUTED_VALUE"""),"tom.rodríguez@sura.cl")</f>
        <v>tom.rodríguez@sura.cl</v>
      </c>
      <c r="E132" s="9" t="str">
        <f>IFERROR(__xludf.DUMMYFUNCTION("""COMPUTED_VALUE"""),"Ñuñoa")</f>
        <v>Ñuñoa</v>
      </c>
      <c r="F132" s="9" t="str">
        <f>IFERROR(__xludf.DUMMYFUNCTION("""COMPUTED_VALUE"""),"Santiago")</f>
        <v>Santiago</v>
      </c>
      <c r="G132" s="9" t="str">
        <f>IFERROR(__xludf.DUMMYFUNCTION("""COMPUTED_VALUE"""),"Región Metropolitana")</f>
        <v>Región Metropolitana</v>
      </c>
      <c r="H132" s="10">
        <f>IFERROR(__xludf.DUMMYFUNCTION("""COMPUTED_VALUE"""),1.395E7)</f>
        <v>13950000</v>
      </c>
    </row>
    <row r="133">
      <c r="A133" s="9" t="str">
        <f>IFERROR(__xludf.DUMMYFUNCTION("""COMPUTED_VALUE"""),"CLI-0741")</f>
        <v>CLI-0741</v>
      </c>
      <c r="B133" s="9" t="str">
        <f>IFERROR(__xludf.DUMMYFUNCTION("""COMPUTED_VALUE"""),"13374637-1")</f>
        <v>13374637-1</v>
      </c>
      <c r="C133" s="9" t="str">
        <f>IFERROR(__xludf.DUMMYFUNCTION("""COMPUTED_VALUE"""),"Valentina Silva Soto")</f>
        <v>Valentina Silva Soto</v>
      </c>
      <c r="D133" s="9" t="str">
        <f>IFERROR(__xludf.DUMMYFUNCTION("""COMPUTED_VALUE"""),"val.silva@consultora.cl")</f>
        <v>val.silva@consultora.cl</v>
      </c>
      <c r="E133" s="9" t="str">
        <f>IFERROR(__xludf.DUMMYFUNCTION("""COMPUTED_VALUE"""),"Maipú")</f>
        <v>Maipú</v>
      </c>
      <c r="F133" s="9" t="str">
        <f>IFERROR(__xludf.DUMMYFUNCTION("""COMPUTED_VALUE"""),"Santiago")</f>
        <v>Santiago</v>
      </c>
      <c r="G133" s="9" t="str">
        <f>IFERROR(__xludf.DUMMYFUNCTION("""COMPUTED_VALUE"""),"Región Metropolitana")</f>
        <v>Región Metropolitana</v>
      </c>
      <c r="H133" s="10">
        <f>IFERROR(__xludf.DUMMYFUNCTION("""COMPUTED_VALUE"""),1.394E7)</f>
        <v>13940000</v>
      </c>
    </row>
    <row r="134">
      <c r="A134" s="9" t="str">
        <f>IFERROR(__xludf.DUMMYFUNCTION("""COMPUTED_VALUE"""),"CLI-0373")</f>
        <v>CLI-0373</v>
      </c>
      <c r="B134" s="9" t="str">
        <f>IFERROR(__xludf.DUMMYFUNCTION("""COMPUTED_VALUE"""),"21.710.466-4")</f>
        <v>21.710.466-4</v>
      </c>
      <c r="C134" s="9" t="str">
        <f>IFERROR(__xludf.DUMMYFUNCTION("""COMPUTED_VALUE"""),"Constanza Tapia Sepúlveda")</f>
        <v>Constanza Tapia Sepúlveda</v>
      </c>
      <c r="D134" s="9" t="str">
        <f>IFERROR(__xludf.DUMMYFUNCTION("""COMPUTED_VALUE"""),"con.tapia@gmail.com")</f>
        <v>con.tapia@gmail.com</v>
      </c>
      <c r="E134" s="9" t="str">
        <f>IFERROR(__xludf.DUMMYFUNCTION("""COMPUTED_VALUE"""),"Providencia")</f>
        <v>Providencia</v>
      </c>
      <c r="F134" s="9" t="str">
        <f>IFERROR(__xludf.DUMMYFUNCTION("""COMPUTED_VALUE"""),"Santiago")</f>
        <v>Santiago</v>
      </c>
      <c r="G134" s="9" t="str">
        <f>IFERROR(__xludf.DUMMYFUNCTION("""COMPUTED_VALUE"""),"Región Metropolitana")</f>
        <v>Región Metropolitana</v>
      </c>
      <c r="H134" s="10">
        <f>IFERROR(__xludf.DUMMYFUNCTION("""COMPUTED_VALUE"""),1.388E7)</f>
        <v>13880000</v>
      </c>
    </row>
    <row r="135">
      <c r="A135" s="9" t="str">
        <f>IFERROR(__xludf.DUMMYFUNCTION("""COMPUTED_VALUE"""),"CLI-0410")</f>
        <v>CLI-0410</v>
      </c>
      <c r="B135" s="9" t="str">
        <f>IFERROR(__xludf.DUMMYFUNCTION("""COMPUTED_VALUE"""),"22.208.727-4")</f>
        <v>22.208.727-4</v>
      </c>
      <c r="C135" s="9" t="str">
        <f>IFERROR(__xludf.DUMMYFUNCTION("""COMPUTED_VALUE"""),"Cristián Espinoza Vergara")</f>
        <v>Cristián Espinoza Vergara</v>
      </c>
      <c r="D135" s="9" t="str">
        <f>IFERROR(__xludf.DUMMYFUNCTION("""COMPUTED_VALUE"""),"cri.espinoza@gmail.com")</f>
        <v>cri.espinoza@gmail.com</v>
      </c>
      <c r="E135" s="9" t="str">
        <f>IFERROR(__xludf.DUMMYFUNCTION("""COMPUTED_VALUE"""),"Maipú")</f>
        <v>Maipú</v>
      </c>
      <c r="F135" s="9" t="str">
        <f>IFERROR(__xludf.DUMMYFUNCTION("""COMPUTED_VALUE"""),"Santiago")</f>
        <v>Santiago</v>
      </c>
      <c r="G135" s="9" t="str">
        <f>IFERROR(__xludf.DUMMYFUNCTION("""COMPUTED_VALUE"""),"Región Metropolitana")</f>
        <v>Región Metropolitana</v>
      </c>
      <c r="H135" s="10">
        <f>IFERROR(__xludf.DUMMYFUNCTION("""COMPUTED_VALUE"""),1.363E7)</f>
        <v>13630000</v>
      </c>
    </row>
    <row r="136">
      <c r="A136" s="9" t="str">
        <f>IFERROR(__xludf.DUMMYFUNCTION("""COMPUTED_VALUE"""),"CLI-0855")</f>
        <v>CLI-0855</v>
      </c>
      <c r="B136" s="9" t="str">
        <f>IFERROR(__xludf.DUMMYFUNCTION("""COMPUTED_VALUE"""),"11.035.787-2")</f>
        <v>11.035.787-2</v>
      </c>
      <c r="C136" s="9" t="str">
        <f>IFERROR(__xludf.DUMMYFUNCTION("""COMPUTED_VALUE"""),"Fernanda Soto López")</f>
        <v>Fernanda Soto López</v>
      </c>
      <c r="D136" s="9" t="str">
        <f>IFERROR(__xludf.DUMMYFUNCTION("""COMPUTED_VALUE"""),"fer.soto@servicios.cl")</f>
        <v>fer.soto@servicios.cl</v>
      </c>
      <c r="E136" s="9" t="str">
        <f>IFERROR(__xludf.DUMMYFUNCTION("""COMPUTED_VALUE"""),"Maipú")</f>
        <v>Maipú</v>
      </c>
      <c r="F136" s="9" t="str">
        <f>IFERROR(__xludf.DUMMYFUNCTION("""COMPUTED_VALUE"""),"Santiago")</f>
        <v>Santiago</v>
      </c>
      <c r="G136" s="9" t="str">
        <f>IFERROR(__xludf.DUMMYFUNCTION("""COMPUTED_VALUE"""),"Región Metropolitana")</f>
        <v>Región Metropolitana</v>
      </c>
      <c r="H136" s="10">
        <f>IFERROR(__xludf.DUMMYFUNCTION("""COMPUTED_VALUE"""),1.356E7)</f>
        <v>13560000</v>
      </c>
    </row>
    <row r="137">
      <c r="A137" s="9" t="str">
        <f>IFERROR(__xludf.DUMMYFUNCTION("""COMPUTED_VALUE"""),"CLI-0412")</f>
        <v>CLI-0412</v>
      </c>
      <c r="B137" s="9" t="str">
        <f>IFERROR(__xludf.DUMMYFUNCTION("""COMPUTED_VALUE"""),"17.952.914-2")</f>
        <v>17.952.914-2</v>
      </c>
      <c r="C137" s="9" t="str">
        <f>IFERROR(__xludf.DUMMYFUNCTION("""COMPUTED_VALUE"""),"Hernán González Contreras")</f>
        <v>Hernán González Contreras</v>
      </c>
      <c r="D137" s="9" t="str">
        <f>IFERROR(__xludf.DUMMYFUNCTION("""COMPUTED_VALUE"""),"her.gonzález@gmail.com")</f>
        <v>her.gonzález@gmail.com</v>
      </c>
      <c r="E137" s="9" t="str">
        <f>IFERROR(__xludf.DUMMYFUNCTION("""COMPUTED_VALUE"""),"Maipú")</f>
        <v>Maipú</v>
      </c>
      <c r="F137" s="9" t="str">
        <f>IFERROR(__xludf.DUMMYFUNCTION("""COMPUTED_VALUE"""),"Santiago")</f>
        <v>Santiago</v>
      </c>
      <c r="G137" s="9" t="str">
        <f>IFERROR(__xludf.DUMMYFUNCTION("""COMPUTED_VALUE"""),"Región Metropolitana")</f>
        <v>Región Metropolitana</v>
      </c>
      <c r="H137" s="10">
        <f>IFERROR(__xludf.DUMMYFUNCTION("""COMPUTED_VALUE"""),1.353E7)</f>
        <v>13530000</v>
      </c>
    </row>
    <row r="138">
      <c r="A138" s="9" t="str">
        <f>IFERROR(__xludf.DUMMYFUNCTION("""COMPUTED_VALUE"""),"CLI-0554")</f>
        <v>CLI-0554</v>
      </c>
      <c r="B138" s="9" t="str">
        <f>IFERROR(__xludf.DUMMYFUNCTION("""COMPUTED_VALUE"""),"18349367-1")</f>
        <v>18349367-1</v>
      </c>
      <c r="C138" s="9" t="str">
        <f>IFERROR(__xludf.DUMMYFUNCTION("""COMPUTED_VALUE"""),"Mauricio Rodríguez Sepúlveda")</f>
        <v>Mauricio Rodríguez Sepúlveda</v>
      </c>
      <c r="D138" s="9" t="str">
        <f>IFERROR(__xludf.DUMMYFUNCTION("""COMPUTED_VALUE"""),"mau.rodríguez@consultora.cl")</f>
        <v>mau.rodríguez@consultora.cl</v>
      </c>
      <c r="E138" s="9" t="str">
        <f>IFERROR(__xludf.DUMMYFUNCTION("""COMPUTED_VALUE"""),"Providencia")</f>
        <v>Providencia</v>
      </c>
      <c r="F138" s="9" t="str">
        <f>IFERROR(__xludf.DUMMYFUNCTION("""COMPUTED_VALUE"""),"Santiago")</f>
        <v>Santiago</v>
      </c>
      <c r="G138" s="9" t="str">
        <f>IFERROR(__xludf.DUMMYFUNCTION("""COMPUTED_VALUE"""),"Región Metropolitana")</f>
        <v>Región Metropolitana</v>
      </c>
      <c r="H138" s="10">
        <f>IFERROR(__xludf.DUMMYFUNCTION("""COMPUTED_VALUE"""),1.346E7)</f>
        <v>13460000</v>
      </c>
    </row>
    <row r="139">
      <c r="A139" s="9" t="str">
        <f>IFERROR(__xludf.DUMMYFUNCTION("""COMPUTED_VALUE"""),"CLI-0679")</f>
        <v>CLI-0679</v>
      </c>
      <c r="B139" s="9" t="str">
        <f>IFERROR(__xludf.DUMMYFUNCTION("""COMPUTED_VALUE"""),"16.870.633-5")</f>
        <v>16.870.633-5</v>
      </c>
      <c r="C139" s="9" t="str">
        <f>IFERROR(__xludf.DUMMYFUNCTION("""COMPUTED_VALUE"""),"Loreto Morales Díaz")</f>
        <v>Loreto Morales Díaz</v>
      </c>
      <c r="D139" s="9" t="str">
        <f>IFERROR(__xludf.DUMMYFUNCTION("""COMPUTED_VALUE"""),"lor.morales@gmail.com")</f>
        <v>lor.morales@gmail.com</v>
      </c>
      <c r="E139" s="9" t="str">
        <f>IFERROR(__xludf.DUMMYFUNCTION("""COMPUTED_VALUE"""),"Santiago Centro")</f>
        <v>Santiago Centro</v>
      </c>
      <c r="F139" s="9" t="str">
        <f>IFERROR(__xludf.DUMMYFUNCTION("""COMPUTED_VALUE"""),"Santiago")</f>
        <v>Santiago</v>
      </c>
      <c r="G139" s="9" t="str">
        <f>IFERROR(__xludf.DUMMYFUNCTION("""COMPUTED_VALUE"""),"Región Metropolitana")</f>
        <v>Región Metropolitana</v>
      </c>
      <c r="H139" s="10">
        <f>IFERROR(__xludf.DUMMYFUNCTION("""COMPUTED_VALUE"""),1.325E7)</f>
        <v>13250000</v>
      </c>
    </row>
    <row r="140">
      <c r="A140" s="9" t="str">
        <f>IFERROR(__xludf.DUMMYFUNCTION("""COMPUTED_VALUE"""),"CLI-0345")</f>
        <v>CLI-0345</v>
      </c>
      <c r="B140" s="9" t="str">
        <f>IFERROR(__xludf.DUMMYFUNCTION("""COMPUTED_VALUE"""),"11.664.625-K")</f>
        <v>11.664.625-K</v>
      </c>
      <c r="C140" s="9" t="str">
        <f>IFERROR(__xludf.DUMMYFUNCTION("""COMPUTED_VALUE"""),"Sofia Espinoza González")</f>
        <v>Sofia Espinoza González</v>
      </c>
      <c r="D140" s="9" t="str">
        <f>IFERROR(__xludf.DUMMYFUNCTION("""COMPUTED_VALUE"""),"sof.espinoza@outlook.cl")</f>
        <v>sof.espinoza@outlook.cl</v>
      </c>
      <c r="E140" s="9" t="str">
        <f>IFERROR(__xludf.DUMMYFUNCTION("""COMPUTED_VALUE"""),"Maipú")</f>
        <v>Maipú</v>
      </c>
      <c r="F140" s="9" t="str">
        <f>IFERROR(__xludf.DUMMYFUNCTION("""COMPUTED_VALUE"""),"Santiago")</f>
        <v>Santiago</v>
      </c>
      <c r="G140" s="9" t="str">
        <f>IFERROR(__xludf.DUMMYFUNCTION("""COMPUTED_VALUE"""),"Región Metropolitana")</f>
        <v>Región Metropolitana</v>
      </c>
      <c r="H140" s="10">
        <f>IFERROR(__xludf.DUMMYFUNCTION("""COMPUTED_VALUE"""),1.323E7)</f>
        <v>13230000</v>
      </c>
    </row>
    <row r="141">
      <c r="A141" s="9" t="str">
        <f>IFERROR(__xludf.DUMMYFUNCTION("""COMPUTED_VALUE"""),"CLI-0862")</f>
        <v>CLI-0862</v>
      </c>
      <c r="B141" s="9" t="str">
        <f>IFERROR(__xludf.DUMMYFUNCTION("""COMPUTED_VALUE"""),"13.398.324-7")</f>
        <v>13.398.324-7</v>
      </c>
      <c r="C141" s="9" t="str">
        <f>IFERROR(__xludf.DUMMYFUNCTION("""COMPUTED_VALUE"""),"Hernán Rojas Vergara")</f>
        <v>Hernán Rojas Vergara</v>
      </c>
      <c r="D141" s="9" t="str">
        <f>IFERROR(__xludf.DUMMYFUNCTION("""COMPUTED_VALUE"""),"her.rojas@consultora.cl")</f>
        <v>her.rojas@consultora.cl</v>
      </c>
      <c r="E141" s="9" t="str">
        <f>IFERROR(__xludf.DUMMYFUNCTION("""COMPUTED_VALUE"""),"Santiago Centro")</f>
        <v>Santiago Centro</v>
      </c>
      <c r="F141" s="9" t="str">
        <f>IFERROR(__xludf.DUMMYFUNCTION("""COMPUTED_VALUE"""),"Santiago")</f>
        <v>Santiago</v>
      </c>
      <c r="G141" s="9" t="str">
        <f>IFERROR(__xludf.DUMMYFUNCTION("""COMPUTED_VALUE"""),"Región Metropolitana")</f>
        <v>Región Metropolitana</v>
      </c>
      <c r="H141" s="10">
        <f>IFERROR(__xludf.DUMMYFUNCTION("""COMPUTED_VALUE"""),1.321E7)</f>
        <v>13210000</v>
      </c>
    </row>
    <row r="142">
      <c r="A142" s="9" t="str">
        <f>IFERROR(__xludf.DUMMYFUNCTION("""COMPUTED_VALUE"""),"CLI-0037")</f>
        <v>CLI-0037</v>
      </c>
      <c r="B142" s="9" t="str">
        <f>IFERROR(__xludf.DUMMYFUNCTION("""COMPUTED_VALUE"""),"15.325.544-5")</f>
        <v>15.325.544-5</v>
      </c>
      <c r="C142" s="9" t="str">
        <f>IFERROR(__xludf.DUMMYFUNCTION("""COMPUTED_VALUE"""),"Fernanda Morales Vergara")</f>
        <v>Fernanda Morales Vergara</v>
      </c>
      <c r="D142" s="9" t="str">
        <f>IFERROR(__xludf.DUMMYFUNCTION("""COMPUTED_VALUE"""),"fer.morales@sura.cl")</f>
        <v>fer.morales@sura.cl</v>
      </c>
      <c r="E142" s="9" t="str">
        <f>IFERROR(__xludf.DUMMYFUNCTION("""COMPUTED_VALUE"""),"Maipú")</f>
        <v>Maipú</v>
      </c>
      <c r="F142" s="9" t="str">
        <f>IFERROR(__xludf.DUMMYFUNCTION("""COMPUTED_VALUE"""),"Santiago")</f>
        <v>Santiago</v>
      </c>
      <c r="G142" s="9" t="str">
        <f>IFERROR(__xludf.DUMMYFUNCTION("""COMPUTED_VALUE"""),"Región Metropolitana")</f>
        <v>Región Metropolitana</v>
      </c>
      <c r="H142" s="10">
        <f>IFERROR(__xludf.DUMMYFUNCTION("""COMPUTED_VALUE"""),1.315E7)</f>
        <v>13150000</v>
      </c>
    </row>
    <row r="143">
      <c r="A143" s="9" t="str">
        <f>IFERROR(__xludf.DUMMYFUNCTION("""COMPUTED_VALUE"""),"CLI-0401")</f>
        <v>CLI-0401</v>
      </c>
      <c r="B143" s="9" t="str">
        <f>IFERROR(__xludf.DUMMYFUNCTION("""COMPUTED_VALUE"""),"19.452.816-9")</f>
        <v>19.452.816-9</v>
      </c>
      <c r="C143" s="9" t="str">
        <f>IFERROR(__xludf.DUMMYFUNCTION("""COMPUTED_VALUE"""),"Paula Sepúlveda Sepúlveda")</f>
        <v>Paula Sepúlveda Sepúlveda</v>
      </c>
      <c r="D143" s="9" t="str">
        <f>IFERROR(__xludf.DUMMYFUNCTION("""COMPUTED_VALUE"""),"pau.sepúlveda@sura.cl")</f>
        <v>pau.sepúlveda@sura.cl</v>
      </c>
      <c r="E143" s="9" t="str">
        <f>IFERROR(__xludf.DUMMYFUNCTION("""COMPUTED_VALUE"""),"Providencia")</f>
        <v>Providencia</v>
      </c>
      <c r="F143" s="9" t="str">
        <f>IFERROR(__xludf.DUMMYFUNCTION("""COMPUTED_VALUE"""),"Santiago")</f>
        <v>Santiago</v>
      </c>
      <c r="G143" s="9" t="str">
        <f>IFERROR(__xludf.DUMMYFUNCTION("""COMPUTED_VALUE"""),"Región Metropolitana")</f>
        <v>Región Metropolitana</v>
      </c>
      <c r="H143" s="10">
        <f>IFERROR(__xludf.DUMMYFUNCTION("""COMPUTED_VALUE"""),1.306E7)</f>
        <v>13060000</v>
      </c>
    </row>
    <row r="144">
      <c r="A144" s="9" t="str">
        <f>IFERROR(__xludf.DUMMYFUNCTION("""COMPUTED_VALUE"""),"CLI-0539")</f>
        <v>CLI-0539</v>
      </c>
      <c r="B144" s="9" t="str">
        <f>IFERROR(__xludf.DUMMYFUNCTION("""COMPUTED_VALUE"""),"19.734.827-9")</f>
        <v>19.734.827-9</v>
      </c>
      <c r="C144" s="9" t="str">
        <f>IFERROR(__xludf.DUMMYFUNCTION("""COMPUTED_VALUE"""),"Francisca Valenzuela Valenzuela")</f>
        <v>Francisca Valenzuela Valenzuela</v>
      </c>
      <c r="D144" s="9" t="str">
        <f>IFERROR(__xludf.DUMMYFUNCTION("""COMPUTED_VALUE"""),"fra.valenzuela@servicios.cl")</f>
        <v>fra.valenzuela@servicios.cl</v>
      </c>
      <c r="E144" s="9" t="str">
        <f>IFERROR(__xludf.DUMMYFUNCTION("""COMPUTED_VALUE"""),"Santiago Centro")</f>
        <v>Santiago Centro</v>
      </c>
      <c r="F144" s="9" t="str">
        <f>IFERROR(__xludf.DUMMYFUNCTION("""COMPUTED_VALUE"""),"Santiago")</f>
        <v>Santiago</v>
      </c>
      <c r="G144" s="9" t="str">
        <f>IFERROR(__xludf.DUMMYFUNCTION("""COMPUTED_VALUE"""),"Región Metropolitana")</f>
        <v>Región Metropolitana</v>
      </c>
      <c r="H144" s="10">
        <f>IFERROR(__xludf.DUMMYFUNCTION("""COMPUTED_VALUE"""),1.301E7)</f>
        <v>13010000</v>
      </c>
    </row>
    <row r="145">
      <c r="A145" s="9" t="str">
        <f>IFERROR(__xludf.DUMMYFUNCTION("""COMPUTED_VALUE"""),"CLI-0955")</f>
        <v>CLI-0955</v>
      </c>
      <c r="B145" s="9" t="str">
        <f>IFERROR(__xludf.DUMMYFUNCTION("""COMPUTED_VALUE"""),"16333000-K")</f>
        <v>16333000-K</v>
      </c>
      <c r="C145" s="9" t="str">
        <f>IFERROR(__xludf.DUMMYFUNCTION("""COMPUTED_VALUE"""),"Daniela Soto Vergara")</f>
        <v>Daniela Soto Vergara</v>
      </c>
      <c r="D145" s="9" t="str">
        <f>IFERROR(__xludf.DUMMYFUNCTION("""COMPUTED_VALUE"""),"dan.soto@consultora.cl")</f>
        <v>dan.soto@consultora.cl</v>
      </c>
      <c r="E145" s="9" t="str">
        <f>IFERROR(__xludf.DUMMYFUNCTION("""COMPUTED_VALUE"""),"Ñuñoa")</f>
        <v>Ñuñoa</v>
      </c>
      <c r="F145" s="9" t="str">
        <f>IFERROR(__xludf.DUMMYFUNCTION("""COMPUTED_VALUE"""),"Santiago")</f>
        <v>Santiago</v>
      </c>
      <c r="G145" s="9" t="str">
        <f>IFERROR(__xludf.DUMMYFUNCTION("""COMPUTED_VALUE"""),"Región Metropolitana")</f>
        <v>Región Metropolitana</v>
      </c>
      <c r="H145" s="10">
        <f>IFERROR(__xludf.DUMMYFUNCTION("""COMPUTED_VALUE"""),1.3E7)</f>
        <v>13000000</v>
      </c>
    </row>
    <row r="146">
      <c r="A146" s="9" t="str">
        <f>IFERROR(__xludf.DUMMYFUNCTION("""COMPUTED_VALUE"""),"CLI-0751")</f>
        <v>CLI-0751</v>
      </c>
      <c r="B146" s="9" t="str">
        <f>IFERROR(__xludf.DUMMYFUNCTION("""COMPUTED_VALUE"""),"13.978.939-6")</f>
        <v>13.978.939-6</v>
      </c>
      <c r="C146" s="9" t="str">
        <f>IFERROR(__xludf.DUMMYFUNCTION("""COMPUTED_VALUE"""),"Sofia Silva Vergara")</f>
        <v>Sofia Silva Vergara</v>
      </c>
      <c r="D146" s="9" t="str">
        <f>IFERROR(__xludf.DUMMYFUNCTION("""COMPUTED_VALUE"""),"sof.silva@gmail.com")</f>
        <v>sof.silva@gmail.com</v>
      </c>
      <c r="E146" s="9" t="str">
        <f>IFERROR(__xludf.DUMMYFUNCTION("""COMPUTED_VALUE"""),"Santiago Centro")</f>
        <v>Santiago Centro</v>
      </c>
      <c r="F146" s="9" t="str">
        <f>IFERROR(__xludf.DUMMYFUNCTION("""COMPUTED_VALUE"""),"Santiago")</f>
        <v>Santiago</v>
      </c>
      <c r="G146" s="9" t="str">
        <f>IFERROR(__xludf.DUMMYFUNCTION("""COMPUTED_VALUE"""),"Región Metropolitana")</f>
        <v>Región Metropolitana</v>
      </c>
      <c r="H146" s="10">
        <f>IFERROR(__xludf.DUMMYFUNCTION("""COMPUTED_VALUE"""),1.295E7)</f>
        <v>12950000</v>
      </c>
    </row>
    <row r="147">
      <c r="A147" s="9" t="str">
        <f>IFERROR(__xludf.DUMMYFUNCTION("""COMPUTED_VALUE"""),"CLI-0920")</f>
        <v>CLI-0920</v>
      </c>
      <c r="B147" s="9" t="str">
        <f>IFERROR(__xludf.DUMMYFUNCTION("""COMPUTED_VALUE"""),"21.392.014-3")</f>
        <v>21.392.014-3</v>
      </c>
      <c r="C147" s="9" t="str">
        <f>IFERROR(__xludf.DUMMYFUNCTION("""COMPUTED_VALUE"""),"Gabriel González Tapia")</f>
        <v>Gabriel González Tapia</v>
      </c>
      <c r="D147" s="9" t="str">
        <f>IFERROR(__xludf.DUMMYFUNCTION("""COMPUTED_VALUE"""),"gab.gonzález@empresa.cl")</f>
        <v>gab.gonzález@empresa.cl</v>
      </c>
      <c r="E147" s="9" t="str">
        <f>IFERROR(__xludf.DUMMYFUNCTION("""COMPUTED_VALUE"""),"Santiago Centro")</f>
        <v>Santiago Centro</v>
      </c>
      <c r="F147" s="9" t="str">
        <f>IFERROR(__xludf.DUMMYFUNCTION("""COMPUTED_VALUE"""),"Santiago")</f>
        <v>Santiago</v>
      </c>
      <c r="G147" s="9" t="str">
        <f>IFERROR(__xludf.DUMMYFUNCTION("""COMPUTED_VALUE"""),"Región Metropolitana")</f>
        <v>Región Metropolitana</v>
      </c>
      <c r="H147" s="10">
        <f>IFERROR(__xludf.DUMMYFUNCTION("""COMPUTED_VALUE"""),1.291E7)</f>
        <v>12910000</v>
      </c>
    </row>
    <row r="148">
      <c r="A148" s="9" t="str">
        <f>IFERROR(__xludf.DUMMYFUNCTION("""COMPUTED_VALUE"""),"CLI-0501")</f>
        <v>CLI-0501</v>
      </c>
      <c r="B148" s="9" t="str">
        <f>IFERROR(__xludf.DUMMYFUNCTION("""COMPUTED_VALUE"""),"19.855.454-8")</f>
        <v>19.855.454-8</v>
      </c>
      <c r="C148" s="9" t="str">
        <f>IFERROR(__xludf.DUMMYFUNCTION("""COMPUTED_VALUE"""),"Camila Díaz Fuentes")</f>
        <v>Camila Díaz Fuentes</v>
      </c>
      <c r="D148" s="9" t="str">
        <f>IFERROR(__xludf.DUMMYFUNCTION("""COMPUTED_VALUE"""),"cam.díaz@empresa.cl")</f>
        <v>cam.díaz@empresa.cl</v>
      </c>
      <c r="E148" s="9" t="str">
        <f>IFERROR(__xludf.DUMMYFUNCTION("""COMPUTED_VALUE"""),"Santiago Centro")</f>
        <v>Santiago Centro</v>
      </c>
      <c r="F148" s="9" t="str">
        <f>IFERROR(__xludf.DUMMYFUNCTION("""COMPUTED_VALUE"""),"Santiago")</f>
        <v>Santiago</v>
      </c>
      <c r="G148" s="9" t="str">
        <f>IFERROR(__xludf.DUMMYFUNCTION("""COMPUTED_VALUE"""),"Región Metropolitana")</f>
        <v>Región Metropolitana</v>
      </c>
      <c r="H148" s="10">
        <f>IFERROR(__xludf.DUMMYFUNCTION("""COMPUTED_VALUE"""),1.29E7)</f>
        <v>12900000</v>
      </c>
    </row>
    <row r="149">
      <c r="A149" s="9" t="str">
        <f>IFERROR(__xludf.DUMMYFUNCTION("""COMPUTED_VALUE"""),"CLI-0698")</f>
        <v>CLI-0698</v>
      </c>
      <c r="B149" s="9" t="str">
        <f>IFERROR(__xludf.DUMMYFUNCTION("""COMPUTED_VALUE"""),"19.008.702-7")</f>
        <v>19.008.702-7</v>
      </c>
      <c r="C149" s="9" t="str">
        <f>IFERROR(__xludf.DUMMYFUNCTION("""COMPUTED_VALUE"""),"Claudio Vergara Espinoza")</f>
        <v>Claudio Vergara Espinoza</v>
      </c>
      <c r="D149" s="9" t="str">
        <f>IFERROR(__xludf.DUMMYFUNCTION("""COMPUTED_VALUE"""),"cla.vergara@gmail.com")</f>
        <v>cla.vergara@gmail.com</v>
      </c>
      <c r="E149" s="9" t="str">
        <f>IFERROR(__xludf.DUMMYFUNCTION("""COMPUTED_VALUE"""),"Santiago Centro")</f>
        <v>Santiago Centro</v>
      </c>
      <c r="F149" s="9" t="str">
        <f>IFERROR(__xludf.DUMMYFUNCTION("""COMPUTED_VALUE"""),"Santiago")</f>
        <v>Santiago</v>
      </c>
      <c r="G149" s="9" t="str">
        <f>IFERROR(__xludf.DUMMYFUNCTION("""COMPUTED_VALUE"""),"Región Metropolitana")</f>
        <v>Región Metropolitana</v>
      </c>
      <c r="H149" s="10">
        <f>IFERROR(__xludf.DUMMYFUNCTION("""COMPUTED_VALUE"""),1.281E7)</f>
        <v>12810000</v>
      </c>
    </row>
    <row r="150">
      <c r="A150" s="9" t="str">
        <f>IFERROR(__xludf.DUMMYFUNCTION("""COMPUTED_VALUE"""),"CLI-0694")</f>
        <v>CLI-0694</v>
      </c>
      <c r="B150" s="9" t="str">
        <f>IFERROR(__xludf.DUMMYFUNCTION("""COMPUTED_VALUE"""),"16050608-1")</f>
        <v>16050608-1</v>
      </c>
      <c r="C150" s="9" t="str">
        <f>IFERROR(__xludf.DUMMYFUNCTION("""COMPUTED_VALUE"""),"Sebastián Valenzuela Rojas")</f>
        <v>Sebastián Valenzuela Rojas</v>
      </c>
      <c r="D150" s="9" t="str">
        <f>IFERROR(__xludf.DUMMYFUNCTION("""COMPUTED_VALUE"""),"seb.valenzuela@gmail.com")</f>
        <v>seb.valenzuela@gmail.com</v>
      </c>
      <c r="E150" s="9" t="str">
        <f>IFERROR(__xludf.DUMMYFUNCTION("""COMPUTED_VALUE"""),"Ñuñoa")</f>
        <v>Ñuñoa</v>
      </c>
      <c r="F150" s="9" t="str">
        <f>IFERROR(__xludf.DUMMYFUNCTION("""COMPUTED_VALUE"""),"Santiago")</f>
        <v>Santiago</v>
      </c>
      <c r="G150" s="9" t="str">
        <f>IFERROR(__xludf.DUMMYFUNCTION("""COMPUTED_VALUE"""),"Región Metropolitana")</f>
        <v>Región Metropolitana</v>
      </c>
      <c r="H150" s="10">
        <f>IFERROR(__xludf.DUMMYFUNCTION("""COMPUTED_VALUE"""),1.266E7)</f>
        <v>12660000</v>
      </c>
    </row>
    <row r="151">
      <c r="A151" s="9" t="str">
        <f>IFERROR(__xludf.DUMMYFUNCTION("""COMPUTED_VALUE"""),"CLI-0691")</f>
        <v>CLI-0691</v>
      </c>
      <c r="B151" s="9" t="str">
        <f>IFERROR(__xludf.DUMMYFUNCTION("""COMPUTED_VALUE"""),"16286124-6")</f>
        <v>16286124-6</v>
      </c>
      <c r="C151" s="9" t="str">
        <f>IFERROR(__xludf.DUMMYFUNCTION("""COMPUTED_VALUE"""),"Javiera Muñoz Rodríguez")</f>
        <v>Javiera Muñoz Rodríguez</v>
      </c>
      <c r="D151" s="9" t="str">
        <f>IFERROR(__xludf.DUMMYFUNCTION("""COMPUTED_VALUE"""),"jav.muñoz@gmail.com")</f>
        <v>jav.muñoz@gmail.com</v>
      </c>
      <c r="E151" s="9" t="str">
        <f>IFERROR(__xludf.DUMMYFUNCTION("""COMPUTED_VALUE"""),"Providencia")</f>
        <v>Providencia</v>
      </c>
      <c r="F151" s="9" t="str">
        <f>IFERROR(__xludf.DUMMYFUNCTION("""COMPUTED_VALUE"""),"Santiago")</f>
        <v>Santiago</v>
      </c>
      <c r="G151" s="9" t="str">
        <f>IFERROR(__xludf.DUMMYFUNCTION("""COMPUTED_VALUE"""),"Región Metropolitana")</f>
        <v>Región Metropolitana</v>
      </c>
      <c r="H151" s="10">
        <f>IFERROR(__xludf.DUMMYFUNCTION("""COMPUTED_VALUE"""),1.26E7)</f>
        <v>12600000</v>
      </c>
    </row>
    <row r="152">
      <c r="A152" s="9" t="str">
        <f>IFERROR(__xludf.DUMMYFUNCTION("""COMPUTED_VALUE"""),"CLI-0801")</f>
        <v>CLI-0801</v>
      </c>
      <c r="B152" s="9" t="str">
        <f>IFERROR(__xludf.DUMMYFUNCTION("""COMPUTED_VALUE"""),"13.023.527-6")</f>
        <v>13.023.527-6</v>
      </c>
      <c r="C152" s="9" t="str">
        <f>IFERROR(__xludf.DUMMYFUNCTION("""COMPUTED_VALUE"""),"Francisca Rojas Valenzuela")</f>
        <v>Francisca Rojas Valenzuela</v>
      </c>
      <c r="D152" s="9" t="str">
        <f>IFERROR(__xludf.DUMMYFUNCTION("""COMPUTED_VALUE"""),"fra.rojas@sura.cl")</f>
        <v>fra.rojas@sura.cl</v>
      </c>
      <c r="E152" s="9" t="str">
        <f>IFERROR(__xludf.DUMMYFUNCTION("""COMPUTED_VALUE"""),"Las Condes")</f>
        <v>Las Condes</v>
      </c>
      <c r="F152" s="9" t="str">
        <f>IFERROR(__xludf.DUMMYFUNCTION("""COMPUTED_VALUE"""),"Santiago")</f>
        <v>Santiago</v>
      </c>
      <c r="G152" s="9" t="str">
        <f>IFERROR(__xludf.DUMMYFUNCTION("""COMPUTED_VALUE"""),"Región Metropolitana")</f>
        <v>Región Metropolitana</v>
      </c>
      <c r="H152" s="10">
        <f>IFERROR(__xludf.DUMMYFUNCTION("""COMPUTED_VALUE"""),1.258E7)</f>
        <v>12580000</v>
      </c>
    </row>
    <row r="153">
      <c r="A153" s="9" t="str">
        <f>IFERROR(__xludf.DUMMYFUNCTION("""COMPUTED_VALUE"""),"CLI-0665")</f>
        <v>CLI-0665</v>
      </c>
      <c r="B153" s="9" t="str">
        <f>IFERROR(__xludf.DUMMYFUNCTION("""COMPUTED_VALUE"""),"16674344-9")</f>
        <v>16674344-9</v>
      </c>
      <c r="C153" s="9" t="str">
        <f>IFERROR(__xludf.DUMMYFUNCTION("""COMPUTED_VALUE"""),"Catalina Silva Rodríguez")</f>
        <v>Catalina Silva Rodríguez</v>
      </c>
      <c r="D153" s="9" t="str">
        <f>IFERROR(__xludf.DUMMYFUNCTION("""COMPUTED_VALUE"""),"cat.silva@sura.cl")</f>
        <v>cat.silva@sura.cl</v>
      </c>
      <c r="E153" s="9" t="str">
        <f>IFERROR(__xludf.DUMMYFUNCTION("""COMPUTED_VALUE"""),"Santiago Centro")</f>
        <v>Santiago Centro</v>
      </c>
      <c r="F153" s="9" t="str">
        <f>IFERROR(__xludf.DUMMYFUNCTION("""COMPUTED_VALUE"""),"Santiago")</f>
        <v>Santiago</v>
      </c>
      <c r="G153" s="9" t="str">
        <f>IFERROR(__xludf.DUMMYFUNCTION("""COMPUTED_VALUE"""),"Región Metropolitana")</f>
        <v>Región Metropolitana</v>
      </c>
      <c r="H153" s="10">
        <f>IFERROR(__xludf.DUMMYFUNCTION("""COMPUTED_VALUE"""),1.247E7)</f>
        <v>12470000</v>
      </c>
    </row>
    <row r="154">
      <c r="A154" s="9" t="str">
        <f>IFERROR(__xludf.DUMMYFUNCTION("""COMPUTED_VALUE"""),"CLI-0771")</f>
        <v>CLI-0771</v>
      </c>
      <c r="B154" s="9" t="str">
        <f>IFERROR(__xludf.DUMMYFUNCTION("""COMPUTED_VALUE"""),"20978853-9")</f>
        <v>20978853-9</v>
      </c>
      <c r="C154" s="9" t="str">
        <f>IFERROR(__xludf.DUMMYFUNCTION("""COMPUTED_VALUE"""),"Catalina Espinoza González")</f>
        <v>Catalina Espinoza González</v>
      </c>
      <c r="D154" s="9" t="str">
        <f>IFERROR(__xludf.DUMMYFUNCTION("""COMPUTED_VALUE"""),"cat.espinoza@consultora.cl")</f>
        <v>cat.espinoza@consultora.cl</v>
      </c>
      <c r="E154" s="9" t="str">
        <f>IFERROR(__xludf.DUMMYFUNCTION("""COMPUTED_VALUE"""),"Providencia")</f>
        <v>Providencia</v>
      </c>
      <c r="F154" s="9" t="str">
        <f>IFERROR(__xludf.DUMMYFUNCTION("""COMPUTED_VALUE"""),"Santiago")</f>
        <v>Santiago</v>
      </c>
      <c r="G154" s="9" t="str">
        <f>IFERROR(__xludf.DUMMYFUNCTION("""COMPUTED_VALUE"""),"Región Metropolitana")</f>
        <v>Región Metropolitana</v>
      </c>
      <c r="H154" s="10">
        <f>IFERROR(__xludf.DUMMYFUNCTION("""COMPUTED_VALUE"""),1.237E7)</f>
        <v>12370000</v>
      </c>
    </row>
    <row r="155">
      <c r="A155" s="9" t="str">
        <f>IFERROR(__xludf.DUMMYFUNCTION("""COMPUTED_VALUE"""),"CLI-0575")</f>
        <v>CLI-0575</v>
      </c>
      <c r="B155" s="9" t="str">
        <f>IFERROR(__xludf.DUMMYFUNCTION("""COMPUTED_VALUE"""),"14042889-8")</f>
        <v>14042889-8</v>
      </c>
      <c r="C155" s="9" t="str">
        <f>IFERROR(__xludf.DUMMYFUNCTION("""COMPUTED_VALUE"""),"Beatriz Silva Díaz")</f>
        <v>Beatriz Silva Díaz</v>
      </c>
      <c r="D155" s="9" t="str">
        <f>IFERROR(__xludf.DUMMYFUNCTION("""COMPUTED_VALUE"""),"bea.silva@empresa.cl")</f>
        <v>bea.silva@empresa.cl</v>
      </c>
      <c r="E155" s="9" t="str">
        <f>IFERROR(__xludf.DUMMYFUNCTION("""COMPUTED_VALUE"""),"Ñuñoa")</f>
        <v>Ñuñoa</v>
      </c>
      <c r="F155" s="9" t="str">
        <f>IFERROR(__xludf.DUMMYFUNCTION("""COMPUTED_VALUE"""),"Santiago")</f>
        <v>Santiago</v>
      </c>
      <c r="G155" s="9" t="str">
        <f>IFERROR(__xludf.DUMMYFUNCTION("""COMPUTED_VALUE"""),"Región Metropolitana")</f>
        <v>Región Metropolitana</v>
      </c>
      <c r="H155" s="10">
        <f>IFERROR(__xludf.DUMMYFUNCTION("""COMPUTED_VALUE"""),1.236E7)</f>
        <v>12360000</v>
      </c>
    </row>
    <row r="156">
      <c r="A156" s="9" t="str">
        <f>IFERROR(__xludf.DUMMYFUNCTION("""COMPUTED_VALUE"""),"CLI-0707")</f>
        <v>CLI-0707</v>
      </c>
      <c r="B156" s="9" t="str">
        <f>IFERROR(__xludf.DUMMYFUNCTION("""COMPUTED_VALUE"""),"21.668.331-2")</f>
        <v>21.668.331-2</v>
      </c>
      <c r="C156" s="9" t="str">
        <f>IFERROR(__xludf.DUMMYFUNCTION("""COMPUTED_VALUE"""),"Macarena Tapia Rodríguez")</f>
        <v>Macarena Tapia Rodríguez</v>
      </c>
      <c r="D156" s="9" t="str">
        <f>IFERROR(__xludf.DUMMYFUNCTION("""COMPUTED_VALUE"""),"mac.tapia@servicios.cl")</f>
        <v>mac.tapia@servicios.cl</v>
      </c>
      <c r="E156" s="9" t="str">
        <f>IFERROR(__xludf.DUMMYFUNCTION("""COMPUTED_VALUE"""),"Santiago Centro")</f>
        <v>Santiago Centro</v>
      </c>
      <c r="F156" s="9" t="str">
        <f>IFERROR(__xludf.DUMMYFUNCTION("""COMPUTED_VALUE"""),"Santiago")</f>
        <v>Santiago</v>
      </c>
      <c r="G156" s="9" t="str">
        <f>IFERROR(__xludf.DUMMYFUNCTION("""COMPUTED_VALUE"""),"Región Metropolitana")</f>
        <v>Región Metropolitana</v>
      </c>
      <c r="H156" s="10">
        <f>IFERROR(__xludf.DUMMYFUNCTION("""COMPUTED_VALUE"""),1.236E7)</f>
        <v>12360000</v>
      </c>
    </row>
    <row r="157">
      <c r="A157" s="9" t="str">
        <f>IFERROR(__xludf.DUMMYFUNCTION("""COMPUTED_VALUE"""),"CLI-0936")</f>
        <v>CLI-0936</v>
      </c>
      <c r="B157" s="9" t="str">
        <f>IFERROR(__xludf.DUMMYFUNCTION("""COMPUTED_VALUE"""),"21654314-7")</f>
        <v>21654314-7</v>
      </c>
      <c r="C157" s="9" t="str">
        <f>IFERROR(__xludf.DUMMYFUNCTION("""COMPUTED_VALUE"""),"Diego Sepúlveda Araya")</f>
        <v>Diego Sepúlveda Araya</v>
      </c>
      <c r="D157" s="9" t="str">
        <f>IFERROR(__xludf.DUMMYFUNCTION("""COMPUTED_VALUE"""),"die.sepúlveda@sura.cl")</f>
        <v>die.sepúlveda@sura.cl</v>
      </c>
      <c r="E157" s="9" t="str">
        <f>IFERROR(__xludf.DUMMYFUNCTION("""COMPUTED_VALUE"""),"Maipú")</f>
        <v>Maipú</v>
      </c>
      <c r="F157" s="9" t="str">
        <f>IFERROR(__xludf.DUMMYFUNCTION("""COMPUTED_VALUE"""),"Santiago")</f>
        <v>Santiago</v>
      </c>
      <c r="G157" s="9" t="str">
        <f>IFERROR(__xludf.DUMMYFUNCTION("""COMPUTED_VALUE"""),"Región Metropolitana")</f>
        <v>Región Metropolitana</v>
      </c>
      <c r="H157" s="10">
        <f>IFERROR(__xludf.DUMMYFUNCTION("""COMPUTED_VALUE"""),1.234E7)</f>
        <v>12340000</v>
      </c>
    </row>
    <row r="158">
      <c r="A158" s="9" t="str">
        <f>IFERROR(__xludf.DUMMYFUNCTION("""COMPUTED_VALUE"""),"CLI-0623")</f>
        <v>CLI-0623</v>
      </c>
      <c r="B158" s="9" t="str">
        <f>IFERROR(__xludf.DUMMYFUNCTION("""COMPUTED_VALUE"""),"19.349.246-8")</f>
        <v>19.349.246-8</v>
      </c>
      <c r="C158" s="9" t="str">
        <f>IFERROR(__xludf.DUMMYFUNCTION("""COMPUTED_VALUE"""),"Andrea Silva Silva")</f>
        <v>Andrea Silva Silva</v>
      </c>
      <c r="D158" s="9" t="str">
        <f>IFERROR(__xludf.DUMMYFUNCTION("""COMPUTED_VALUE"""),"and.silva@empresa.cl")</f>
        <v>and.silva@empresa.cl</v>
      </c>
      <c r="E158" s="9" t="str">
        <f>IFERROR(__xludf.DUMMYFUNCTION("""COMPUTED_VALUE"""),"Ñuñoa")</f>
        <v>Ñuñoa</v>
      </c>
      <c r="F158" s="9" t="str">
        <f>IFERROR(__xludf.DUMMYFUNCTION("""COMPUTED_VALUE"""),"Santiago")</f>
        <v>Santiago</v>
      </c>
      <c r="G158" s="9" t="str">
        <f>IFERROR(__xludf.DUMMYFUNCTION("""COMPUTED_VALUE"""),"Región Metropolitana")</f>
        <v>Región Metropolitana</v>
      </c>
      <c r="H158" s="10">
        <f>IFERROR(__xludf.DUMMYFUNCTION("""COMPUTED_VALUE"""),1.221E7)</f>
        <v>12210000</v>
      </c>
    </row>
    <row r="159">
      <c r="A159" s="9" t="str">
        <f>IFERROR(__xludf.DUMMYFUNCTION("""COMPUTED_VALUE"""),"CLI-0314")</f>
        <v>CLI-0314</v>
      </c>
      <c r="B159" s="9" t="str">
        <f>IFERROR(__xludf.DUMMYFUNCTION("""COMPUTED_VALUE"""),"14.754.313-4")</f>
        <v>14.754.313-4</v>
      </c>
      <c r="C159" s="9" t="str">
        <f>IFERROR(__xludf.DUMMYFUNCTION("""COMPUTED_VALUE"""),"Matías Fuentes Espinoza")</f>
        <v>Matías Fuentes Espinoza</v>
      </c>
      <c r="D159" s="9" t="str">
        <f>IFERROR(__xludf.DUMMYFUNCTION("""COMPUTED_VALUE"""),"mat.fuentes@outlook.cl")</f>
        <v>mat.fuentes@outlook.cl</v>
      </c>
      <c r="E159" s="9" t="str">
        <f>IFERROR(__xludf.DUMMYFUNCTION("""COMPUTED_VALUE"""),"Providencia")</f>
        <v>Providencia</v>
      </c>
      <c r="F159" s="9" t="str">
        <f>IFERROR(__xludf.DUMMYFUNCTION("""COMPUTED_VALUE"""),"Santiago")</f>
        <v>Santiago</v>
      </c>
      <c r="G159" s="9" t="str">
        <f>IFERROR(__xludf.DUMMYFUNCTION("""COMPUTED_VALUE"""),"Región Metropolitana")</f>
        <v>Región Metropolitana</v>
      </c>
      <c r="H159" s="10">
        <f>IFERROR(__xludf.DUMMYFUNCTION("""COMPUTED_VALUE"""),1.217E7)</f>
        <v>12170000</v>
      </c>
    </row>
    <row r="160">
      <c r="A160" s="9" t="str">
        <f>IFERROR(__xludf.DUMMYFUNCTION("""COMPUTED_VALUE"""),"CLI-0847")</f>
        <v>CLI-0847</v>
      </c>
      <c r="B160" s="9" t="str">
        <f>IFERROR(__xludf.DUMMYFUNCTION("""COMPUTED_VALUE"""),"12983533-4")</f>
        <v>12983533-4</v>
      </c>
      <c r="C160" s="9" t="str">
        <f>IFERROR(__xludf.DUMMYFUNCTION("""COMPUTED_VALUE"""),"Camila Tapia Sepúlveda")</f>
        <v>Camila Tapia Sepúlveda</v>
      </c>
      <c r="D160" s="9" t="str">
        <f>IFERROR(__xludf.DUMMYFUNCTION("""COMPUTED_VALUE"""),"cam.tapia@gmail.com")</f>
        <v>cam.tapia@gmail.com</v>
      </c>
      <c r="E160" s="9" t="str">
        <f>IFERROR(__xludf.DUMMYFUNCTION("""COMPUTED_VALUE"""),"Ñuñoa")</f>
        <v>Ñuñoa</v>
      </c>
      <c r="F160" s="9" t="str">
        <f>IFERROR(__xludf.DUMMYFUNCTION("""COMPUTED_VALUE"""),"Santiago")</f>
        <v>Santiago</v>
      </c>
      <c r="G160" s="9" t="str">
        <f>IFERROR(__xludf.DUMMYFUNCTION("""COMPUTED_VALUE"""),"Región Metropolitana")</f>
        <v>Región Metropolitana</v>
      </c>
      <c r="H160" s="10">
        <f>IFERROR(__xludf.DUMMYFUNCTION("""COMPUTED_VALUE"""),1.211E7)</f>
        <v>12110000</v>
      </c>
    </row>
    <row r="161">
      <c r="A161" s="9" t="str">
        <f>IFERROR(__xludf.DUMMYFUNCTION("""COMPUTED_VALUE"""),"CLI-0333")</f>
        <v>CLI-0333</v>
      </c>
      <c r="B161" s="9" t="str">
        <f>IFERROR(__xludf.DUMMYFUNCTION("""COMPUTED_VALUE"""),"14.781.887-6")</f>
        <v>14.781.887-6</v>
      </c>
      <c r="C161" s="9" t="str">
        <f>IFERROR(__xludf.DUMMYFUNCTION("""COMPUTED_VALUE"""),"Macarena Fuentes Sepúlveda")</f>
        <v>Macarena Fuentes Sepúlveda</v>
      </c>
      <c r="D161" s="9" t="str">
        <f>IFERROR(__xludf.DUMMYFUNCTION("""COMPUTED_VALUE"""),"mac.fuentes@sura.cl")</f>
        <v>mac.fuentes@sura.cl</v>
      </c>
      <c r="E161" s="9" t="str">
        <f>IFERROR(__xludf.DUMMYFUNCTION("""COMPUTED_VALUE"""),"Maipú")</f>
        <v>Maipú</v>
      </c>
      <c r="F161" s="9" t="str">
        <f>IFERROR(__xludf.DUMMYFUNCTION("""COMPUTED_VALUE"""),"Santiago")</f>
        <v>Santiago</v>
      </c>
      <c r="G161" s="9" t="str">
        <f>IFERROR(__xludf.DUMMYFUNCTION("""COMPUTED_VALUE"""),"Región Metropolitana")</f>
        <v>Región Metropolitana</v>
      </c>
      <c r="H161" s="10">
        <f>IFERROR(__xludf.DUMMYFUNCTION("""COMPUTED_VALUE"""),1.209E7)</f>
        <v>12090000</v>
      </c>
    </row>
    <row r="162">
      <c r="A162" s="9" t="str">
        <f>IFERROR(__xludf.DUMMYFUNCTION("""COMPUTED_VALUE"""),"CLI-0877")</f>
        <v>CLI-0877</v>
      </c>
      <c r="B162" s="9" t="str">
        <f>IFERROR(__xludf.DUMMYFUNCTION("""COMPUTED_VALUE"""),"20.055.540-8")</f>
        <v>20.055.540-8</v>
      </c>
      <c r="C162" s="9" t="str">
        <f>IFERROR(__xludf.DUMMYFUNCTION("""COMPUTED_VALUE"""),"Daniela Araya Díaz")</f>
        <v>Daniela Araya Díaz</v>
      </c>
      <c r="D162" s="9" t="str">
        <f>IFERROR(__xludf.DUMMYFUNCTION("""COMPUTED_VALUE"""),"dan.araya@sura.cl")</f>
        <v>dan.araya@sura.cl</v>
      </c>
      <c r="E162" s="9" t="str">
        <f>IFERROR(__xludf.DUMMYFUNCTION("""COMPUTED_VALUE"""),"Providencia")</f>
        <v>Providencia</v>
      </c>
      <c r="F162" s="9" t="str">
        <f>IFERROR(__xludf.DUMMYFUNCTION("""COMPUTED_VALUE"""),"Santiago")</f>
        <v>Santiago</v>
      </c>
      <c r="G162" s="9" t="str">
        <f>IFERROR(__xludf.DUMMYFUNCTION("""COMPUTED_VALUE"""),"Región Metropolitana")</f>
        <v>Región Metropolitana</v>
      </c>
      <c r="H162" s="10">
        <f>IFERROR(__xludf.DUMMYFUNCTION("""COMPUTED_VALUE"""),1.192E7)</f>
        <v>11920000</v>
      </c>
    </row>
    <row r="163">
      <c r="A163" s="9" t="str">
        <f>IFERROR(__xludf.DUMMYFUNCTION("""COMPUTED_VALUE"""),"CLI-0098")</f>
        <v>CLI-0098</v>
      </c>
      <c r="B163" s="9" t="str">
        <f>IFERROR(__xludf.DUMMYFUNCTION("""COMPUTED_VALUE"""),"20.597.692-K")</f>
        <v>20.597.692-K</v>
      </c>
      <c r="C163" s="9" t="str">
        <f>IFERROR(__xludf.DUMMYFUNCTION("""COMPUTED_VALUE"""),"Ignacio Fuentes Sepúlveda")</f>
        <v>Ignacio Fuentes Sepúlveda</v>
      </c>
      <c r="D163" s="9" t="str">
        <f>IFERROR(__xludf.DUMMYFUNCTION("""COMPUTED_VALUE"""),"ign.fuentes@consultora.cl")</f>
        <v>ign.fuentes@consultora.cl</v>
      </c>
      <c r="E163" s="9" t="str">
        <f>IFERROR(__xludf.DUMMYFUNCTION("""COMPUTED_VALUE"""),"Santiago Centro")</f>
        <v>Santiago Centro</v>
      </c>
      <c r="F163" s="9" t="str">
        <f>IFERROR(__xludf.DUMMYFUNCTION("""COMPUTED_VALUE"""),"Santiago")</f>
        <v>Santiago</v>
      </c>
      <c r="G163" s="9" t="str">
        <f>IFERROR(__xludf.DUMMYFUNCTION("""COMPUTED_VALUE"""),"Región Metropolitana")</f>
        <v>Región Metropolitana</v>
      </c>
      <c r="H163" s="10">
        <f>IFERROR(__xludf.DUMMYFUNCTION("""COMPUTED_VALUE"""),1.189E7)</f>
        <v>11890000</v>
      </c>
    </row>
    <row r="164">
      <c r="A164" s="9" t="str">
        <f>IFERROR(__xludf.DUMMYFUNCTION("""COMPUTED_VALUE"""),"CLI-0621")</f>
        <v>CLI-0621</v>
      </c>
      <c r="B164" s="9" t="str">
        <f>IFERROR(__xludf.DUMMYFUNCTION("""COMPUTED_VALUE"""),"17.415.100-2")</f>
        <v>17.415.100-2</v>
      </c>
      <c r="C164" s="9" t="str">
        <f>IFERROR(__xludf.DUMMYFUNCTION("""COMPUTED_VALUE"""),"Marcela Valenzuela González")</f>
        <v>Marcela Valenzuela González</v>
      </c>
      <c r="D164" s="9" t="str">
        <f>IFERROR(__xludf.DUMMYFUNCTION("""COMPUTED_VALUE"""),"mar.valenzuela@sura.cl")</f>
        <v>mar.valenzuela@sura.cl</v>
      </c>
      <c r="E164" s="9" t="str">
        <f>IFERROR(__xludf.DUMMYFUNCTION("""COMPUTED_VALUE"""),"Santiago Centro")</f>
        <v>Santiago Centro</v>
      </c>
      <c r="F164" s="9" t="str">
        <f>IFERROR(__xludf.DUMMYFUNCTION("""COMPUTED_VALUE"""),"Santiago")</f>
        <v>Santiago</v>
      </c>
      <c r="G164" s="9" t="str">
        <f>IFERROR(__xludf.DUMMYFUNCTION("""COMPUTED_VALUE"""),"Región Metropolitana")</f>
        <v>Región Metropolitana</v>
      </c>
      <c r="H164" s="10">
        <f>IFERROR(__xludf.DUMMYFUNCTION("""COMPUTED_VALUE"""),1.187E7)</f>
        <v>11870000</v>
      </c>
    </row>
    <row r="165">
      <c r="A165" s="9" t="str">
        <f>IFERROR(__xludf.DUMMYFUNCTION("""COMPUTED_VALUE"""),"CLI-0064")</f>
        <v>CLI-0064</v>
      </c>
      <c r="B165" s="9" t="str">
        <f>IFERROR(__xludf.DUMMYFUNCTION("""COMPUTED_VALUE"""),"15748097-K")</f>
        <v>15748097-K</v>
      </c>
      <c r="C165" s="9" t="str">
        <f>IFERROR(__xludf.DUMMYFUNCTION("""COMPUTED_VALUE"""),"Felipe González López")</f>
        <v>Felipe González López</v>
      </c>
      <c r="D165" s="9" t="str">
        <f>IFERROR(__xludf.DUMMYFUNCTION("""COMPUTED_VALUE"""),"fel.gonzález@consultora.cl")</f>
        <v>fel.gonzález@consultora.cl</v>
      </c>
      <c r="E165" s="9" t="str">
        <f>IFERROR(__xludf.DUMMYFUNCTION("""COMPUTED_VALUE"""),"Santiago Centro")</f>
        <v>Santiago Centro</v>
      </c>
      <c r="F165" s="9" t="str">
        <f>IFERROR(__xludf.DUMMYFUNCTION("""COMPUTED_VALUE"""),"Santiago")</f>
        <v>Santiago</v>
      </c>
      <c r="G165" s="9" t="str">
        <f>IFERROR(__xludf.DUMMYFUNCTION("""COMPUTED_VALUE"""),"Región Metropolitana")</f>
        <v>Región Metropolitana</v>
      </c>
      <c r="H165" s="10">
        <f>IFERROR(__xludf.DUMMYFUNCTION("""COMPUTED_VALUE"""),1.186E7)</f>
        <v>11860000</v>
      </c>
    </row>
    <row r="166">
      <c r="A166" s="9" t="str">
        <f>IFERROR(__xludf.DUMMYFUNCTION("""COMPUTED_VALUE"""),"CLI-0351")</f>
        <v>CLI-0351</v>
      </c>
      <c r="B166" s="9" t="str">
        <f>IFERROR(__xludf.DUMMYFUNCTION("""COMPUTED_VALUE"""),"11.996.907-K")</f>
        <v>11.996.907-K</v>
      </c>
      <c r="C166" s="9" t="str">
        <f>IFERROR(__xludf.DUMMYFUNCTION("""COMPUTED_VALUE"""),"Francisca López Díaz")</f>
        <v>Francisca López Díaz</v>
      </c>
      <c r="D166" s="9" t="str">
        <f>IFERROR(__xludf.DUMMYFUNCTION("""COMPUTED_VALUE"""),"fra.lópez@servicios.cl")</f>
        <v>fra.lópez@servicios.cl</v>
      </c>
      <c r="E166" s="9" t="str">
        <f>IFERROR(__xludf.DUMMYFUNCTION("""COMPUTED_VALUE"""),"Providencia")</f>
        <v>Providencia</v>
      </c>
      <c r="F166" s="9" t="str">
        <f>IFERROR(__xludf.DUMMYFUNCTION("""COMPUTED_VALUE"""),"Santiago")</f>
        <v>Santiago</v>
      </c>
      <c r="G166" s="9" t="str">
        <f>IFERROR(__xludf.DUMMYFUNCTION("""COMPUTED_VALUE"""),"Región Metropolitana")</f>
        <v>Región Metropolitana</v>
      </c>
      <c r="H166" s="10">
        <f>IFERROR(__xludf.DUMMYFUNCTION("""COMPUTED_VALUE"""),1.182E7)</f>
        <v>11820000</v>
      </c>
    </row>
    <row r="167">
      <c r="A167" s="9" t="str">
        <f>IFERROR(__xludf.DUMMYFUNCTION("""COMPUTED_VALUE"""),"CLI-0826")</f>
        <v>CLI-0826</v>
      </c>
      <c r="B167" s="9" t="str">
        <f>IFERROR(__xludf.DUMMYFUNCTION("""COMPUTED_VALUE"""),"18.309.696-0")</f>
        <v>18.309.696-0</v>
      </c>
      <c r="C167" s="9" t="str">
        <f>IFERROR(__xludf.DUMMYFUNCTION("""COMPUTED_VALUE"""),"Diego Soto Soto")</f>
        <v>Diego Soto Soto</v>
      </c>
      <c r="D167" s="9" t="str">
        <f>IFERROR(__xludf.DUMMYFUNCTION("""COMPUTED_VALUE"""),"die.soto@sura.cl")</f>
        <v>die.soto@sura.cl</v>
      </c>
      <c r="E167" s="9" t="str">
        <f>IFERROR(__xludf.DUMMYFUNCTION("""COMPUTED_VALUE"""),"Las Condes")</f>
        <v>Las Condes</v>
      </c>
      <c r="F167" s="9" t="str">
        <f>IFERROR(__xludf.DUMMYFUNCTION("""COMPUTED_VALUE"""),"Santiago")</f>
        <v>Santiago</v>
      </c>
      <c r="G167" s="9" t="str">
        <f>IFERROR(__xludf.DUMMYFUNCTION("""COMPUTED_VALUE"""),"Región Metropolitana")</f>
        <v>Región Metropolitana</v>
      </c>
      <c r="H167" s="10">
        <f>IFERROR(__xludf.DUMMYFUNCTION("""COMPUTED_VALUE"""),1.177E7)</f>
        <v>11770000</v>
      </c>
    </row>
    <row r="168">
      <c r="A168" s="9" t="str">
        <f>IFERROR(__xludf.DUMMYFUNCTION("""COMPUTED_VALUE"""),"CLI-0462")</f>
        <v>CLI-0462</v>
      </c>
      <c r="B168" s="9" t="str">
        <f>IFERROR(__xludf.DUMMYFUNCTION("""COMPUTED_VALUE"""),"22.496.173-1")</f>
        <v>22.496.173-1</v>
      </c>
      <c r="C168" s="9" t="str">
        <f>IFERROR(__xludf.DUMMYFUNCTION("""COMPUTED_VALUE"""),"Claudio Contreras Rodríguez")</f>
        <v>Claudio Contreras Rodríguez</v>
      </c>
      <c r="D168" s="9" t="str">
        <f>IFERROR(__xludf.DUMMYFUNCTION("""COMPUTED_VALUE"""),"cla.contreras@sura.cl")</f>
        <v>cla.contreras@sura.cl</v>
      </c>
      <c r="E168" s="9" t="str">
        <f>IFERROR(__xludf.DUMMYFUNCTION("""COMPUTED_VALUE"""),"Providencia")</f>
        <v>Providencia</v>
      </c>
      <c r="F168" s="9" t="str">
        <f>IFERROR(__xludf.DUMMYFUNCTION("""COMPUTED_VALUE"""),"Santiago")</f>
        <v>Santiago</v>
      </c>
      <c r="G168" s="9" t="str">
        <f>IFERROR(__xludf.DUMMYFUNCTION("""COMPUTED_VALUE"""),"Región Metropolitana")</f>
        <v>Región Metropolitana</v>
      </c>
      <c r="H168" s="10">
        <f>IFERROR(__xludf.DUMMYFUNCTION("""COMPUTED_VALUE"""),1.173E7)</f>
        <v>11730000</v>
      </c>
    </row>
    <row r="169">
      <c r="A169" s="9" t="str">
        <f>IFERROR(__xludf.DUMMYFUNCTION("""COMPUTED_VALUE"""),"CLI-0557")</f>
        <v>CLI-0557</v>
      </c>
      <c r="B169" s="9" t="str">
        <f>IFERROR(__xludf.DUMMYFUNCTION("""COMPUTED_VALUE"""),"21409726-8")</f>
        <v>21409726-8</v>
      </c>
      <c r="C169" s="9" t="str">
        <f>IFERROR(__xludf.DUMMYFUNCTION("""COMPUTED_VALUE"""),"Andrea Contreras Morales")</f>
        <v>Andrea Contreras Morales</v>
      </c>
      <c r="D169" s="9" t="str">
        <f>IFERROR(__xludf.DUMMYFUNCTION("""COMPUTED_VALUE"""),"and.contreras@gmail.com")</f>
        <v>and.contreras@gmail.com</v>
      </c>
      <c r="E169" s="9" t="str">
        <f>IFERROR(__xludf.DUMMYFUNCTION("""COMPUTED_VALUE"""),"Las Condes")</f>
        <v>Las Condes</v>
      </c>
      <c r="F169" s="9" t="str">
        <f>IFERROR(__xludf.DUMMYFUNCTION("""COMPUTED_VALUE"""),"Santiago")</f>
        <v>Santiago</v>
      </c>
      <c r="G169" s="9" t="str">
        <f>IFERROR(__xludf.DUMMYFUNCTION("""COMPUTED_VALUE"""),"Región Metropolitana")</f>
        <v>Región Metropolitana</v>
      </c>
      <c r="H169" s="10">
        <f>IFERROR(__xludf.DUMMYFUNCTION("""COMPUTED_VALUE"""),1.171E7)</f>
        <v>11710000</v>
      </c>
    </row>
    <row r="170">
      <c r="A170" s="9" t="str">
        <f>IFERROR(__xludf.DUMMYFUNCTION("""COMPUTED_VALUE"""),"CLI-0041")</f>
        <v>CLI-0041</v>
      </c>
      <c r="B170" s="9" t="str">
        <f>IFERROR(__xludf.DUMMYFUNCTION("""COMPUTED_VALUE"""),"15.068.981-8")</f>
        <v>15.068.981-8</v>
      </c>
      <c r="C170" s="9" t="str">
        <f>IFERROR(__xludf.DUMMYFUNCTION("""COMPUTED_VALUE"""),"Catalina Fuentes Espinoza")</f>
        <v>Catalina Fuentes Espinoza</v>
      </c>
      <c r="D170" s="9" t="str">
        <f>IFERROR(__xludf.DUMMYFUNCTION("""COMPUTED_VALUE"""),"cat.fuentes@consultora.cl")</f>
        <v>cat.fuentes@consultora.cl</v>
      </c>
      <c r="E170" s="9" t="str">
        <f>IFERROR(__xludf.DUMMYFUNCTION("""COMPUTED_VALUE"""),"Ñuñoa")</f>
        <v>Ñuñoa</v>
      </c>
      <c r="F170" s="9" t="str">
        <f>IFERROR(__xludf.DUMMYFUNCTION("""COMPUTED_VALUE"""),"Santiago")</f>
        <v>Santiago</v>
      </c>
      <c r="G170" s="9" t="str">
        <f>IFERROR(__xludf.DUMMYFUNCTION("""COMPUTED_VALUE"""),"Región Metropolitana")</f>
        <v>Región Metropolitana</v>
      </c>
      <c r="H170" s="10">
        <f>IFERROR(__xludf.DUMMYFUNCTION("""COMPUTED_VALUE"""),1.165E7)</f>
        <v>11650000</v>
      </c>
    </row>
    <row r="171">
      <c r="A171" s="9" t="str">
        <f>IFERROR(__xludf.DUMMYFUNCTION("""COMPUTED_VALUE"""),"CLI-0495")</f>
        <v>CLI-0495</v>
      </c>
      <c r="B171" s="9" t="str">
        <f>IFERROR(__xludf.DUMMYFUNCTION("""COMPUTED_VALUE"""),"20.881.696-6")</f>
        <v>20.881.696-6</v>
      </c>
      <c r="C171" s="9" t="str">
        <f>IFERROR(__xludf.DUMMYFUNCTION("""COMPUTED_VALUE"""),"Andrea López Rojas")</f>
        <v>Andrea López Rojas</v>
      </c>
      <c r="D171" s="9" t="str">
        <f>IFERROR(__xludf.DUMMYFUNCTION("""COMPUTED_VALUE"""),"and.lópez@servicios.cl")</f>
        <v>and.lópez@servicios.cl</v>
      </c>
      <c r="E171" s="9" t="str">
        <f>IFERROR(__xludf.DUMMYFUNCTION("""COMPUTED_VALUE"""),"Ñuñoa")</f>
        <v>Ñuñoa</v>
      </c>
      <c r="F171" s="9" t="str">
        <f>IFERROR(__xludf.DUMMYFUNCTION("""COMPUTED_VALUE"""),"Santiago")</f>
        <v>Santiago</v>
      </c>
      <c r="G171" s="9" t="str">
        <f>IFERROR(__xludf.DUMMYFUNCTION("""COMPUTED_VALUE"""),"Región Metropolitana")</f>
        <v>Región Metropolitana</v>
      </c>
      <c r="H171" s="10">
        <f>IFERROR(__xludf.DUMMYFUNCTION("""COMPUTED_VALUE"""),1.159E7)</f>
        <v>11590000</v>
      </c>
    </row>
    <row r="172">
      <c r="A172" s="9" t="str">
        <f>IFERROR(__xludf.DUMMYFUNCTION("""COMPUTED_VALUE"""),"CLI-0293")</f>
        <v>CLI-0293</v>
      </c>
      <c r="B172" s="9" t="str">
        <f>IFERROR(__xludf.DUMMYFUNCTION("""COMPUTED_VALUE"""),"11702055-6")</f>
        <v>11702055-6</v>
      </c>
      <c r="C172" s="9" t="str">
        <f>IFERROR(__xludf.DUMMYFUNCTION("""COMPUTED_VALUE"""),"Sofia Muñoz Muñoz")</f>
        <v>Sofia Muñoz Muñoz</v>
      </c>
      <c r="D172" s="9" t="str">
        <f>IFERROR(__xludf.DUMMYFUNCTION("""COMPUTED_VALUE"""),"sof.muñoz@servicios.cl")</f>
        <v>sof.muñoz@servicios.cl</v>
      </c>
      <c r="E172" s="9" t="str">
        <f>IFERROR(__xludf.DUMMYFUNCTION("""COMPUTED_VALUE"""),"Providencia")</f>
        <v>Providencia</v>
      </c>
      <c r="F172" s="9" t="str">
        <f>IFERROR(__xludf.DUMMYFUNCTION("""COMPUTED_VALUE"""),"Santiago")</f>
        <v>Santiago</v>
      </c>
      <c r="G172" s="9" t="str">
        <f>IFERROR(__xludf.DUMMYFUNCTION("""COMPUTED_VALUE"""),"Región Metropolitana")</f>
        <v>Región Metropolitana</v>
      </c>
      <c r="H172" s="10">
        <f>IFERROR(__xludf.DUMMYFUNCTION("""COMPUTED_VALUE"""),1.157E7)</f>
        <v>11570000</v>
      </c>
    </row>
    <row r="173">
      <c r="A173" s="9" t="str">
        <f>IFERROR(__xludf.DUMMYFUNCTION("""COMPUTED_VALUE"""),"CLI-0499")</f>
        <v>CLI-0499</v>
      </c>
      <c r="B173" s="9" t="str">
        <f>IFERROR(__xludf.DUMMYFUNCTION("""COMPUTED_VALUE"""),"19.819.983-0")</f>
        <v>19.819.983-0</v>
      </c>
      <c r="C173" s="9" t="str">
        <f>IFERROR(__xludf.DUMMYFUNCTION("""COMPUTED_VALUE"""),"Daniela Muñoz Araya")</f>
        <v>Daniela Muñoz Araya</v>
      </c>
      <c r="D173" s="9" t="str">
        <f>IFERROR(__xludf.DUMMYFUNCTION("""COMPUTED_VALUE"""),"dan.muñoz@gmail.com")</f>
        <v>dan.muñoz@gmail.com</v>
      </c>
      <c r="E173" s="9" t="str">
        <f>IFERROR(__xludf.DUMMYFUNCTION("""COMPUTED_VALUE"""),"Santiago Centro")</f>
        <v>Santiago Centro</v>
      </c>
      <c r="F173" s="9" t="str">
        <f>IFERROR(__xludf.DUMMYFUNCTION("""COMPUTED_VALUE"""),"Santiago")</f>
        <v>Santiago</v>
      </c>
      <c r="G173" s="9" t="str">
        <f>IFERROR(__xludf.DUMMYFUNCTION("""COMPUTED_VALUE"""),"Región Metropolitana")</f>
        <v>Región Metropolitana</v>
      </c>
      <c r="H173" s="10">
        <f>IFERROR(__xludf.DUMMYFUNCTION("""COMPUTED_VALUE"""),1.154E7)</f>
        <v>11540000</v>
      </c>
    </row>
    <row r="174">
      <c r="A174" s="9" t="str">
        <f>IFERROR(__xludf.DUMMYFUNCTION("""COMPUTED_VALUE"""),"CLI-0137")</f>
        <v>CLI-0137</v>
      </c>
      <c r="B174" s="9" t="str">
        <f>IFERROR(__xludf.DUMMYFUNCTION("""COMPUTED_VALUE"""),"12619604-1")</f>
        <v>12619604-1</v>
      </c>
      <c r="C174" s="9" t="str">
        <f>IFERROR(__xludf.DUMMYFUNCTION("""COMPUTED_VALUE"""),"Paula Pérez Araya")</f>
        <v>Paula Pérez Araya</v>
      </c>
      <c r="D174" s="9" t="str">
        <f>IFERROR(__xludf.DUMMYFUNCTION("""COMPUTED_VALUE"""),"pau.pérez@consultora.cl")</f>
        <v>pau.pérez@consultora.cl</v>
      </c>
      <c r="E174" s="9" t="str">
        <f>IFERROR(__xludf.DUMMYFUNCTION("""COMPUTED_VALUE"""),"Ñuñoa")</f>
        <v>Ñuñoa</v>
      </c>
      <c r="F174" s="9" t="str">
        <f>IFERROR(__xludf.DUMMYFUNCTION("""COMPUTED_VALUE"""),"Santiago")</f>
        <v>Santiago</v>
      </c>
      <c r="G174" s="9" t="str">
        <f>IFERROR(__xludf.DUMMYFUNCTION("""COMPUTED_VALUE"""),"Región Metropolitana")</f>
        <v>Región Metropolitana</v>
      </c>
      <c r="H174" s="10">
        <f>IFERROR(__xludf.DUMMYFUNCTION("""COMPUTED_VALUE"""),1.154E7)</f>
        <v>11540000</v>
      </c>
    </row>
    <row r="175">
      <c r="A175" s="9" t="str">
        <f>IFERROR(__xludf.DUMMYFUNCTION("""COMPUTED_VALUE"""),"CLI-0922")</f>
        <v>CLI-0922</v>
      </c>
      <c r="B175" s="9" t="str">
        <f>IFERROR(__xludf.DUMMYFUNCTION("""COMPUTED_VALUE"""),"12.321.728-6")</f>
        <v>12.321.728-6</v>
      </c>
      <c r="C175" s="9" t="str">
        <f>IFERROR(__xludf.DUMMYFUNCTION("""COMPUTED_VALUE"""),"Felipe Tapia Pérez")</f>
        <v>Felipe Tapia Pérez</v>
      </c>
      <c r="D175" s="9" t="str">
        <f>IFERROR(__xludf.DUMMYFUNCTION("""COMPUTED_VALUE"""),"fel.tapia@servicios.cl")</f>
        <v>fel.tapia@servicios.cl</v>
      </c>
      <c r="E175" s="9" t="str">
        <f>IFERROR(__xludf.DUMMYFUNCTION("""COMPUTED_VALUE"""),"Providencia")</f>
        <v>Providencia</v>
      </c>
      <c r="F175" s="9" t="str">
        <f>IFERROR(__xludf.DUMMYFUNCTION("""COMPUTED_VALUE"""),"Santiago")</f>
        <v>Santiago</v>
      </c>
      <c r="G175" s="9" t="str">
        <f>IFERROR(__xludf.DUMMYFUNCTION("""COMPUTED_VALUE"""),"Región Metropolitana")</f>
        <v>Región Metropolitana</v>
      </c>
      <c r="H175" s="10">
        <f>IFERROR(__xludf.DUMMYFUNCTION("""COMPUTED_VALUE"""),1.152E7)</f>
        <v>11520000</v>
      </c>
    </row>
    <row r="176">
      <c r="A176" s="9" t="str">
        <f>IFERROR(__xludf.DUMMYFUNCTION("""COMPUTED_VALUE"""),"CLI-0399")</f>
        <v>CLI-0399</v>
      </c>
      <c r="B176" s="9" t="str">
        <f>IFERROR(__xludf.DUMMYFUNCTION("""COMPUTED_VALUE"""),"22.392.295-7")</f>
        <v>22.392.295-7</v>
      </c>
      <c r="C176" s="9" t="str">
        <f>IFERROR(__xludf.DUMMYFUNCTION("""COMPUTED_VALUE"""),"Macarena Muñoz Morales")</f>
        <v>Macarena Muñoz Morales</v>
      </c>
      <c r="D176" s="9" t="str">
        <f>IFERROR(__xludf.DUMMYFUNCTION("""COMPUTED_VALUE"""),"mac.muñoz@consultora.cl")</f>
        <v>mac.muñoz@consultora.cl</v>
      </c>
      <c r="E176" s="9" t="str">
        <f>IFERROR(__xludf.DUMMYFUNCTION("""COMPUTED_VALUE"""),"Providencia")</f>
        <v>Providencia</v>
      </c>
      <c r="F176" s="9" t="str">
        <f>IFERROR(__xludf.DUMMYFUNCTION("""COMPUTED_VALUE"""),"Santiago")</f>
        <v>Santiago</v>
      </c>
      <c r="G176" s="9" t="str">
        <f>IFERROR(__xludf.DUMMYFUNCTION("""COMPUTED_VALUE"""),"Región Metropolitana")</f>
        <v>Región Metropolitana</v>
      </c>
      <c r="H176" s="10">
        <f>IFERROR(__xludf.DUMMYFUNCTION("""COMPUTED_VALUE"""),1.151E7)</f>
        <v>11510000</v>
      </c>
    </row>
    <row r="177">
      <c r="A177" s="9" t="str">
        <f>IFERROR(__xludf.DUMMYFUNCTION("""COMPUTED_VALUE"""),"CLI-0535")</f>
        <v>CLI-0535</v>
      </c>
      <c r="B177" s="9" t="str">
        <f>IFERROR(__xludf.DUMMYFUNCTION("""COMPUTED_VALUE"""),"21204928-8")</f>
        <v>21204928-8</v>
      </c>
      <c r="C177" s="9" t="str">
        <f>IFERROR(__xludf.DUMMYFUNCTION("""COMPUTED_VALUE"""),"Andrea López Fuentes")</f>
        <v>Andrea López Fuentes</v>
      </c>
      <c r="D177" s="9" t="str">
        <f>IFERROR(__xludf.DUMMYFUNCTION("""COMPUTED_VALUE"""),"and.lópez@sura.cl")</f>
        <v>and.lópez@sura.cl</v>
      </c>
      <c r="E177" s="9" t="str">
        <f>IFERROR(__xludf.DUMMYFUNCTION("""COMPUTED_VALUE"""),"Ñuñoa")</f>
        <v>Ñuñoa</v>
      </c>
      <c r="F177" s="9" t="str">
        <f>IFERROR(__xludf.DUMMYFUNCTION("""COMPUTED_VALUE"""),"Santiago")</f>
        <v>Santiago</v>
      </c>
      <c r="G177" s="9" t="str">
        <f>IFERROR(__xludf.DUMMYFUNCTION("""COMPUTED_VALUE"""),"Región Metropolitana")</f>
        <v>Región Metropolitana</v>
      </c>
      <c r="H177" s="10">
        <f>IFERROR(__xludf.DUMMYFUNCTION("""COMPUTED_VALUE"""),1.147E7)</f>
        <v>11470000</v>
      </c>
    </row>
    <row r="178">
      <c r="A178" s="9" t="str">
        <f>IFERROR(__xludf.DUMMYFUNCTION("""COMPUTED_VALUE"""),"CLI-0654")</f>
        <v>CLI-0654</v>
      </c>
      <c r="B178" s="9" t="str">
        <f>IFERROR(__xludf.DUMMYFUNCTION("""COMPUTED_VALUE"""),"15.566.692-2")</f>
        <v>15.566.692-2</v>
      </c>
      <c r="C178" s="9" t="str">
        <f>IFERROR(__xludf.DUMMYFUNCTION("""COMPUTED_VALUE"""),"Ignacio Díaz Contreras")</f>
        <v>Ignacio Díaz Contreras</v>
      </c>
      <c r="D178" s="9" t="str">
        <f>IFERROR(__xludf.DUMMYFUNCTION("""COMPUTED_VALUE"""),"ign.díaz@sura.cl")</f>
        <v>ign.díaz@sura.cl</v>
      </c>
      <c r="E178" s="9" t="str">
        <f>IFERROR(__xludf.DUMMYFUNCTION("""COMPUTED_VALUE"""),"Providencia")</f>
        <v>Providencia</v>
      </c>
      <c r="F178" s="9" t="str">
        <f>IFERROR(__xludf.DUMMYFUNCTION("""COMPUTED_VALUE"""),"Santiago")</f>
        <v>Santiago</v>
      </c>
      <c r="G178" s="9" t="str">
        <f>IFERROR(__xludf.DUMMYFUNCTION("""COMPUTED_VALUE"""),"Región Metropolitana")</f>
        <v>Región Metropolitana</v>
      </c>
      <c r="H178" s="10">
        <f>IFERROR(__xludf.DUMMYFUNCTION("""COMPUTED_VALUE"""),1.126E7)</f>
        <v>11260000</v>
      </c>
    </row>
    <row r="179">
      <c r="A179" s="9" t="str">
        <f>IFERROR(__xludf.DUMMYFUNCTION("""COMPUTED_VALUE"""),"CLI-0042")</f>
        <v>CLI-0042</v>
      </c>
      <c r="B179" s="9" t="str">
        <f>IFERROR(__xludf.DUMMYFUNCTION("""COMPUTED_VALUE"""),"22.280.617-7")</f>
        <v>22.280.617-7</v>
      </c>
      <c r="C179" s="9" t="str">
        <f>IFERROR(__xludf.DUMMYFUNCTION("""COMPUTED_VALUE"""),"Hernán Muñoz Valenzuela")</f>
        <v>Hernán Muñoz Valenzuela</v>
      </c>
      <c r="D179" s="9" t="str">
        <f>IFERROR(__xludf.DUMMYFUNCTION("""COMPUTED_VALUE"""),"her.muñoz@outlook.cl")</f>
        <v>her.muñoz@outlook.cl</v>
      </c>
      <c r="E179" s="9" t="str">
        <f>IFERROR(__xludf.DUMMYFUNCTION("""COMPUTED_VALUE"""),"Maipú")</f>
        <v>Maipú</v>
      </c>
      <c r="F179" s="9" t="str">
        <f>IFERROR(__xludf.DUMMYFUNCTION("""COMPUTED_VALUE"""),"Santiago")</f>
        <v>Santiago</v>
      </c>
      <c r="G179" s="9" t="str">
        <f>IFERROR(__xludf.DUMMYFUNCTION("""COMPUTED_VALUE"""),"Región Metropolitana")</f>
        <v>Región Metropolitana</v>
      </c>
      <c r="H179" s="10">
        <f>IFERROR(__xludf.DUMMYFUNCTION("""COMPUTED_VALUE"""),1.124E7)</f>
        <v>11240000</v>
      </c>
    </row>
    <row r="180">
      <c r="A180" s="9" t="str">
        <f>IFERROR(__xludf.DUMMYFUNCTION("""COMPUTED_VALUE"""),"CLI-0150")</f>
        <v>CLI-0150</v>
      </c>
      <c r="B180" s="9" t="str">
        <f>IFERROR(__xludf.DUMMYFUNCTION("""COMPUTED_VALUE"""),"12.793.884-2")</f>
        <v>12.793.884-2</v>
      </c>
      <c r="C180" s="9" t="str">
        <f>IFERROR(__xludf.DUMMYFUNCTION("""COMPUTED_VALUE"""),"Esteban Fuentes Araya")</f>
        <v>Esteban Fuentes Araya</v>
      </c>
      <c r="D180" s="9" t="str">
        <f>IFERROR(__xludf.DUMMYFUNCTION("""COMPUTED_VALUE"""),"est.fuentes@outlook.cl")</f>
        <v>est.fuentes@outlook.cl</v>
      </c>
      <c r="E180" s="9" t="str">
        <f>IFERROR(__xludf.DUMMYFUNCTION("""COMPUTED_VALUE"""),"Ñuñoa")</f>
        <v>Ñuñoa</v>
      </c>
      <c r="F180" s="9" t="str">
        <f>IFERROR(__xludf.DUMMYFUNCTION("""COMPUTED_VALUE"""),"Santiago")</f>
        <v>Santiago</v>
      </c>
      <c r="G180" s="9" t="str">
        <f>IFERROR(__xludf.DUMMYFUNCTION("""COMPUTED_VALUE"""),"Región Metropolitana")</f>
        <v>Región Metropolitana</v>
      </c>
      <c r="H180" s="10">
        <f>IFERROR(__xludf.DUMMYFUNCTION("""COMPUTED_VALUE"""),1.121E7)</f>
        <v>11210000</v>
      </c>
    </row>
    <row r="181">
      <c r="A181" s="9" t="str">
        <f>IFERROR(__xludf.DUMMYFUNCTION("""COMPUTED_VALUE"""),"CLI-0672")</f>
        <v>CLI-0672</v>
      </c>
      <c r="B181" s="9" t="str">
        <f>IFERROR(__xludf.DUMMYFUNCTION("""COMPUTED_VALUE"""),"22.117.907-7")</f>
        <v>22.117.907-7</v>
      </c>
      <c r="C181" s="9" t="str">
        <f>IFERROR(__xludf.DUMMYFUNCTION("""COMPUTED_VALUE"""),"Rodrigo Contreras Sepúlveda")</f>
        <v>Rodrigo Contreras Sepúlveda</v>
      </c>
      <c r="D181" s="9" t="str">
        <f>IFERROR(__xludf.DUMMYFUNCTION("""COMPUTED_VALUE"""),"rod.contreras@consultora.cl")</f>
        <v>rod.contreras@consultora.cl</v>
      </c>
      <c r="E181" s="9" t="str">
        <f>IFERROR(__xludf.DUMMYFUNCTION("""COMPUTED_VALUE"""),"Ñuñoa")</f>
        <v>Ñuñoa</v>
      </c>
      <c r="F181" s="9" t="str">
        <f>IFERROR(__xludf.DUMMYFUNCTION("""COMPUTED_VALUE"""),"Santiago")</f>
        <v>Santiago</v>
      </c>
      <c r="G181" s="9" t="str">
        <f>IFERROR(__xludf.DUMMYFUNCTION("""COMPUTED_VALUE"""),"Región Metropolitana")</f>
        <v>Región Metropolitana</v>
      </c>
      <c r="H181" s="10">
        <f>IFERROR(__xludf.DUMMYFUNCTION("""COMPUTED_VALUE"""),1.119E7)</f>
        <v>11190000</v>
      </c>
    </row>
    <row r="182">
      <c r="A182" s="9" t="str">
        <f>IFERROR(__xludf.DUMMYFUNCTION("""COMPUTED_VALUE"""),"CLI-0864")</f>
        <v>CLI-0864</v>
      </c>
      <c r="B182" s="9" t="str">
        <f>IFERROR(__xludf.DUMMYFUNCTION("""COMPUTED_VALUE"""),"15405499-K")</f>
        <v>15405499-K</v>
      </c>
      <c r="C182" s="9" t="str">
        <f>IFERROR(__xludf.DUMMYFUNCTION("""COMPUTED_VALUE"""),"Sebastián Fuentes Silva")</f>
        <v>Sebastián Fuentes Silva</v>
      </c>
      <c r="D182" s="9" t="str">
        <f>IFERROR(__xludf.DUMMYFUNCTION("""COMPUTED_VALUE"""),"seb.fuentes@servicios.cl")</f>
        <v>seb.fuentes@servicios.cl</v>
      </c>
      <c r="E182" s="9" t="str">
        <f>IFERROR(__xludf.DUMMYFUNCTION("""COMPUTED_VALUE"""),"Maipú")</f>
        <v>Maipú</v>
      </c>
      <c r="F182" s="9" t="str">
        <f>IFERROR(__xludf.DUMMYFUNCTION("""COMPUTED_VALUE"""),"Santiago")</f>
        <v>Santiago</v>
      </c>
      <c r="G182" s="9" t="str">
        <f>IFERROR(__xludf.DUMMYFUNCTION("""COMPUTED_VALUE"""),"Región Metropolitana")</f>
        <v>Región Metropolitana</v>
      </c>
      <c r="H182" s="10">
        <f>IFERROR(__xludf.DUMMYFUNCTION("""COMPUTED_VALUE"""),1.118E7)</f>
        <v>11180000</v>
      </c>
    </row>
    <row r="183">
      <c r="A183" s="9" t="str">
        <f>IFERROR(__xludf.DUMMYFUNCTION("""COMPUTED_VALUE"""),"CLI-0167")</f>
        <v>CLI-0167</v>
      </c>
      <c r="B183" s="9" t="str">
        <f>IFERROR(__xludf.DUMMYFUNCTION("""COMPUTED_VALUE"""),"19.714.207-1")</f>
        <v>19.714.207-1</v>
      </c>
      <c r="C183" s="9" t="str">
        <f>IFERROR(__xludf.DUMMYFUNCTION("""COMPUTED_VALUE"""),"Beatriz Muñoz Díaz")</f>
        <v>Beatriz Muñoz Díaz</v>
      </c>
      <c r="D183" s="9" t="str">
        <f>IFERROR(__xludf.DUMMYFUNCTION("""COMPUTED_VALUE"""),"bea.muñoz@outlook.cl")</f>
        <v>bea.muñoz@outlook.cl</v>
      </c>
      <c r="E183" s="9" t="str">
        <f>IFERROR(__xludf.DUMMYFUNCTION("""COMPUTED_VALUE"""),"Providencia")</f>
        <v>Providencia</v>
      </c>
      <c r="F183" s="9" t="str">
        <f>IFERROR(__xludf.DUMMYFUNCTION("""COMPUTED_VALUE"""),"Santiago")</f>
        <v>Santiago</v>
      </c>
      <c r="G183" s="9" t="str">
        <f>IFERROR(__xludf.DUMMYFUNCTION("""COMPUTED_VALUE"""),"Región Metropolitana")</f>
        <v>Región Metropolitana</v>
      </c>
      <c r="H183" s="10">
        <f>IFERROR(__xludf.DUMMYFUNCTION("""COMPUTED_VALUE"""),1.1E7)</f>
        <v>11000000</v>
      </c>
    </row>
    <row r="184">
      <c r="A184" s="9" t="str">
        <f>IFERROR(__xludf.DUMMYFUNCTION("""COMPUTED_VALUE"""),"CLI-0693")</f>
        <v>CLI-0693</v>
      </c>
      <c r="B184" s="9" t="str">
        <f>IFERROR(__xludf.DUMMYFUNCTION("""COMPUTED_VALUE"""),"20087213-1")</f>
        <v>20087213-1</v>
      </c>
      <c r="C184" s="9" t="str">
        <f>IFERROR(__xludf.DUMMYFUNCTION("""COMPUTED_VALUE"""),"Constanza Rojas Vergara")</f>
        <v>Constanza Rojas Vergara</v>
      </c>
      <c r="D184" s="9" t="str">
        <f>IFERROR(__xludf.DUMMYFUNCTION("""COMPUTED_VALUE"""),"con.rojas@servicios.cl")</f>
        <v>con.rojas@servicios.cl</v>
      </c>
      <c r="E184" s="9" t="str">
        <f>IFERROR(__xludf.DUMMYFUNCTION("""COMPUTED_VALUE"""),"Ñuñoa")</f>
        <v>Ñuñoa</v>
      </c>
      <c r="F184" s="9" t="str">
        <f>IFERROR(__xludf.DUMMYFUNCTION("""COMPUTED_VALUE"""),"Santiago")</f>
        <v>Santiago</v>
      </c>
      <c r="G184" s="9" t="str">
        <f>IFERROR(__xludf.DUMMYFUNCTION("""COMPUTED_VALUE"""),"Región Metropolitana")</f>
        <v>Región Metropolitana</v>
      </c>
      <c r="H184" s="10">
        <f>IFERROR(__xludf.DUMMYFUNCTION("""COMPUTED_VALUE"""),1.099E7)</f>
        <v>10990000</v>
      </c>
    </row>
    <row r="185">
      <c r="A185" s="9" t="str">
        <f>IFERROR(__xludf.DUMMYFUNCTION("""COMPUTED_VALUE"""),"CLI-0418")</f>
        <v>CLI-0418</v>
      </c>
      <c r="B185" s="9" t="str">
        <f>IFERROR(__xludf.DUMMYFUNCTION("""COMPUTED_VALUE"""),"15956189-5")</f>
        <v>15956189-5</v>
      </c>
      <c r="C185" s="9" t="str">
        <f>IFERROR(__xludf.DUMMYFUNCTION("""COMPUTED_VALUE"""),"Sebastián Contreras Silva")</f>
        <v>Sebastián Contreras Silva</v>
      </c>
      <c r="D185" s="9" t="str">
        <f>IFERROR(__xludf.DUMMYFUNCTION("""COMPUTED_VALUE"""),"seb.contreras@empresa.cl")</f>
        <v>seb.contreras@empresa.cl</v>
      </c>
      <c r="E185" s="9" t="str">
        <f>IFERROR(__xludf.DUMMYFUNCTION("""COMPUTED_VALUE"""),"Santiago Centro")</f>
        <v>Santiago Centro</v>
      </c>
      <c r="F185" s="9" t="str">
        <f>IFERROR(__xludf.DUMMYFUNCTION("""COMPUTED_VALUE"""),"Santiago")</f>
        <v>Santiago</v>
      </c>
      <c r="G185" s="9" t="str">
        <f>IFERROR(__xludf.DUMMYFUNCTION("""COMPUTED_VALUE"""),"Región Metropolitana")</f>
        <v>Región Metropolitana</v>
      </c>
      <c r="H185" s="10">
        <f>IFERROR(__xludf.DUMMYFUNCTION("""COMPUTED_VALUE"""),1.097E7)</f>
        <v>10970000</v>
      </c>
    </row>
    <row r="186">
      <c r="A186" s="9" t="str">
        <f>IFERROR(__xludf.DUMMYFUNCTION("""COMPUTED_VALUE"""),"CLI-0138")</f>
        <v>CLI-0138</v>
      </c>
      <c r="B186" s="9" t="str">
        <f>IFERROR(__xludf.DUMMYFUNCTION("""COMPUTED_VALUE"""),"15.894.833-4")</f>
        <v>15.894.833-4</v>
      </c>
      <c r="C186" s="9" t="str">
        <f>IFERROR(__xludf.DUMMYFUNCTION("""COMPUTED_VALUE"""),"Cristián Fuentes López")</f>
        <v>Cristián Fuentes López</v>
      </c>
      <c r="D186" s="9" t="str">
        <f>IFERROR(__xludf.DUMMYFUNCTION("""COMPUTED_VALUE"""),"cri.fuentes@empresa.cl")</f>
        <v>cri.fuentes@empresa.cl</v>
      </c>
      <c r="E186" s="9" t="str">
        <f>IFERROR(__xludf.DUMMYFUNCTION("""COMPUTED_VALUE"""),"Las Condes")</f>
        <v>Las Condes</v>
      </c>
      <c r="F186" s="9" t="str">
        <f>IFERROR(__xludf.DUMMYFUNCTION("""COMPUTED_VALUE"""),"Santiago")</f>
        <v>Santiago</v>
      </c>
      <c r="G186" s="9" t="str">
        <f>IFERROR(__xludf.DUMMYFUNCTION("""COMPUTED_VALUE"""),"Región Metropolitana")</f>
        <v>Región Metropolitana</v>
      </c>
      <c r="H186" s="10">
        <f>IFERROR(__xludf.DUMMYFUNCTION("""COMPUTED_VALUE"""),1.078E7)</f>
        <v>10780000</v>
      </c>
    </row>
    <row r="187">
      <c r="A187" s="9" t="str">
        <f>IFERROR(__xludf.DUMMYFUNCTION("""COMPUTED_VALUE"""),"CLI-0327")</f>
        <v>CLI-0327</v>
      </c>
      <c r="B187" s="9" t="str">
        <f>IFERROR(__xludf.DUMMYFUNCTION("""COMPUTED_VALUE"""),"21.528.661-4")</f>
        <v>21.528.661-4</v>
      </c>
      <c r="C187" s="9" t="str">
        <f>IFERROR(__xludf.DUMMYFUNCTION("""COMPUTED_VALUE"""),"Sofia Silva Rojas")</f>
        <v>Sofia Silva Rojas</v>
      </c>
      <c r="D187" s="9" t="str">
        <f>IFERROR(__xludf.DUMMYFUNCTION("""COMPUTED_VALUE"""),"sof.silva@gmail.com")</f>
        <v>sof.silva@gmail.com</v>
      </c>
      <c r="E187" s="9" t="str">
        <f>IFERROR(__xludf.DUMMYFUNCTION("""COMPUTED_VALUE"""),"Maipú")</f>
        <v>Maipú</v>
      </c>
      <c r="F187" s="9" t="str">
        <f>IFERROR(__xludf.DUMMYFUNCTION("""COMPUTED_VALUE"""),"Santiago")</f>
        <v>Santiago</v>
      </c>
      <c r="G187" s="9" t="str">
        <f>IFERROR(__xludf.DUMMYFUNCTION("""COMPUTED_VALUE"""),"Región Metropolitana")</f>
        <v>Región Metropolitana</v>
      </c>
      <c r="H187" s="10">
        <f>IFERROR(__xludf.DUMMYFUNCTION("""COMPUTED_VALUE"""),1.071E7)</f>
        <v>10710000</v>
      </c>
    </row>
    <row r="188">
      <c r="A188" s="9" t="str">
        <f>IFERROR(__xludf.DUMMYFUNCTION("""COMPUTED_VALUE"""),"CLI-0454")</f>
        <v>CLI-0454</v>
      </c>
      <c r="B188" s="9" t="str">
        <f>IFERROR(__xludf.DUMMYFUNCTION("""COMPUTED_VALUE"""),"16.780.298-1")</f>
        <v>16.780.298-1</v>
      </c>
      <c r="C188" s="9" t="str">
        <f>IFERROR(__xludf.DUMMYFUNCTION("""COMPUTED_VALUE"""),"Claudio Vergara González")</f>
        <v>Claudio Vergara González</v>
      </c>
      <c r="D188" s="9" t="str">
        <f>IFERROR(__xludf.DUMMYFUNCTION("""COMPUTED_VALUE"""),"cla.vergara@consultora.cl")</f>
        <v>cla.vergara@consultora.cl</v>
      </c>
      <c r="E188" s="9" t="str">
        <f>IFERROR(__xludf.DUMMYFUNCTION("""COMPUTED_VALUE"""),"Maipú")</f>
        <v>Maipú</v>
      </c>
      <c r="F188" s="9" t="str">
        <f>IFERROR(__xludf.DUMMYFUNCTION("""COMPUTED_VALUE"""),"Santiago")</f>
        <v>Santiago</v>
      </c>
      <c r="G188" s="9" t="str">
        <f>IFERROR(__xludf.DUMMYFUNCTION("""COMPUTED_VALUE"""),"Región Metropolitana")</f>
        <v>Región Metropolitana</v>
      </c>
      <c r="H188" s="10">
        <f>IFERROR(__xludf.DUMMYFUNCTION("""COMPUTED_VALUE"""),1.063E7)</f>
        <v>10630000</v>
      </c>
    </row>
    <row r="189">
      <c r="A189" s="9" t="str">
        <f>IFERROR(__xludf.DUMMYFUNCTION("""COMPUTED_VALUE"""),"CLI-0662")</f>
        <v>CLI-0662</v>
      </c>
      <c r="B189" s="9" t="str">
        <f>IFERROR(__xludf.DUMMYFUNCTION("""COMPUTED_VALUE"""),"11.347.095-9")</f>
        <v>11.347.095-9</v>
      </c>
      <c r="C189" s="9" t="str">
        <f>IFERROR(__xludf.DUMMYFUNCTION("""COMPUTED_VALUE"""),"Ignacio Silva Díaz")</f>
        <v>Ignacio Silva Díaz</v>
      </c>
      <c r="D189" s="9" t="str">
        <f>IFERROR(__xludf.DUMMYFUNCTION("""COMPUTED_VALUE"""),"ign.silva@gmail.com")</f>
        <v>ign.silva@gmail.com</v>
      </c>
      <c r="E189" s="9" t="str">
        <f>IFERROR(__xludf.DUMMYFUNCTION("""COMPUTED_VALUE"""),"Maipú")</f>
        <v>Maipú</v>
      </c>
      <c r="F189" s="9" t="str">
        <f>IFERROR(__xludf.DUMMYFUNCTION("""COMPUTED_VALUE"""),"Santiago")</f>
        <v>Santiago</v>
      </c>
      <c r="G189" s="9" t="str">
        <f>IFERROR(__xludf.DUMMYFUNCTION("""COMPUTED_VALUE"""),"Región Metropolitana")</f>
        <v>Región Metropolitana</v>
      </c>
      <c r="H189" s="10">
        <f>IFERROR(__xludf.DUMMYFUNCTION("""COMPUTED_VALUE"""),1.056E7)</f>
        <v>10560000</v>
      </c>
    </row>
    <row r="190">
      <c r="A190" s="9" t="str">
        <f>IFERROR(__xludf.DUMMYFUNCTION("""COMPUTED_VALUE"""),"CLI-0853")</f>
        <v>CLI-0853</v>
      </c>
      <c r="B190" s="9" t="str">
        <f>IFERROR(__xludf.DUMMYFUNCTION("""COMPUTED_VALUE"""),"17.550.135-7")</f>
        <v>17.550.135-7</v>
      </c>
      <c r="C190" s="9" t="str">
        <f>IFERROR(__xludf.DUMMYFUNCTION("""COMPUTED_VALUE"""),"Andrea Soto Rodríguez")</f>
        <v>Andrea Soto Rodríguez</v>
      </c>
      <c r="D190" s="9" t="str">
        <f>IFERROR(__xludf.DUMMYFUNCTION("""COMPUTED_VALUE"""),"and.soto@servicios.cl")</f>
        <v>and.soto@servicios.cl</v>
      </c>
      <c r="E190" s="9" t="str">
        <f>IFERROR(__xludf.DUMMYFUNCTION("""COMPUTED_VALUE"""),"Santiago Centro")</f>
        <v>Santiago Centro</v>
      </c>
      <c r="F190" s="9" t="str">
        <f>IFERROR(__xludf.DUMMYFUNCTION("""COMPUTED_VALUE"""),"Santiago")</f>
        <v>Santiago</v>
      </c>
      <c r="G190" s="9" t="str">
        <f>IFERROR(__xludf.DUMMYFUNCTION("""COMPUTED_VALUE"""),"Región Metropolitana")</f>
        <v>Región Metropolitana</v>
      </c>
      <c r="H190" s="10">
        <f>IFERROR(__xludf.DUMMYFUNCTION("""COMPUTED_VALUE"""),1.055E7)</f>
        <v>10550000</v>
      </c>
    </row>
    <row r="191">
      <c r="A191" s="9" t="str">
        <f>IFERROR(__xludf.DUMMYFUNCTION("""COMPUTED_VALUE"""),"CLI-0611")</f>
        <v>CLI-0611</v>
      </c>
      <c r="B191" s="9" t="str">
        <f>IFERROR(__xludf.DUMMYFUNCTION("""COMPUTED_VALUE"""),"18435178-1")</f>
        <v>18435178-1</v>
      </c>
      <c r="C191" s="9" t="str">
        <f>IFERROR(__xludf.DUMMYFUNCTION("""COMPUTED_VALUE"""),"Catalina Soto Espinoza")</f>
        <v>Catalina Soto Espinoza</v>
      </c>
      <c r="D191" s="9" t="str">
        <f>IFERROR(__xludf.DUMMYFUNCTION("""COMPUTED_VALUE"""),"cat.soto@sura.cl")</f>
        <v>cat.soto@sura.cl</v>
      </c>
      <c r="E191" s="9" t="str">
        <f>IFERROR(__xludf.DUMMYFUNCTION("""COMPUTED_VALUE"""),"Providencia")</f>
        <v>Providencia</v>
      </c>
      <c r="F191" s="9" t="str">
        <f>IFERROR(__xludf.DUMMYFUNCTION("""COMPUTED_VALUE"""),"Santiago")</f>
        <v>Santiago</v>
      </c>
      <c r="G191" s="9" t="str">
        <f>IFERROR(__xludf.DUMMYFUNCTION("""COMPUTED_VALUE"""),"Región Metropolitana")</f>
        <v>Región Metropolitana</v>
      </c>
      <c r="H191" s="10">
        <f>IFERROR(__xludf.DUMMYFUNCTION("""COMPUTED_VALUE"""),1.052E7)</f>
        <v>10520000</v>
      </c>
    </row>
    <row r="192">
      <c r="A192" s="9" t="str">
        <f>IFERROR(__xludf.DUMMYFUNCTION("""COMPUTED_VALUE"""),"CLI-0146")</f>
        <v>CLI-0146</v>
      </c>
      <c r="B192" s="9" t="str">
        <f>IFERROR(__xludf.DUMMYFUNCTION("""COMPUTED_VALUE"""),"21.587.796-6")</f>
        <v>21.587.796-6</v>
      </c>
      <c r="C192" s="9" t="str">
        <f>IFERROR(__xludf.DUMMYFUNCTION("""COMPUTED_VALUE"""),"Hernán Tapia Muñoz")</f>
        <v>Hernán Tapia Muñoz</v>
      </c>
      <c r="D192" s="9" t="str">
        <f>IFERROR(__xludf.DUMMYFUNCTION("""COMPUTED_VALUE"""),"her.tapia@sura.cl")</f>
        <v>her.tapia@sura.cl</v>
      </c>
      <c r="E192" s="9" t="str">
        <f>IFERROR(__xludf.DUMMYFUNCTION("""COMPUTED_VALUE"""),"Ñuñoa")</f>
        <v>Ñuñoa</v>
      </c>
      <c r="F192" s="9" t="str">
        <f>IFERROR(__xludf.DUMMYFUNCTION("""COMPUTED_VALUE"""),"Santiago")</f>
        <v>Santiago</v>
      </c>
      <c r="G192" s="9" t="str">
        <f>IFERROR(__xludf.DUMMYFUNCTION("""COMPUTED_VALUE"""),"Región Metropolitana")</f>
        <v>Región Metropolitana</v>
      </c>
      <c r="H192" s="10">
        <f>IFERROR(__xludf.DUMMYFUNCTION("""COMPUTED_VALUE"""),1.052E7)</f>
        <v>10520000</v>
      </c>
    </row>
    <row r="193">
      <c r="A193" s="9" t="str">
        <f>IFERROR(__xludf.DUMMYFUNCTION("""COMPUTED_VALUE"""),"CLI-0193")</f>
        <v>CLI-0193</v>
      </c>
      <c r="B193" s="9" t="str">
        <f>IFERROR(__xludf.DUMMYFUNCTION("""COMPUTED_VALUE"""),"20230848-3")</f>
        <v>20230848-3</v>
      </c>
      <c r="C193" s="9" t="str">
        <f>IFERROR(__xludf.DUMMYFUNCTION("""COMPUTED_VALUE"""),"Valentina Silva Muñoz")</f>
        <v>Valentina Silva Muñoz</v>
      </c>
      <c r="D193" s="9" t="str">
        <f>IFERROR(__xludf.DUMMYFUNCTION("""COMPUTED_VALUE"""),"val.silva@gmail.com")</f>
        <v>val.silva@gmail.com</v>
      </c>
      <c r="E193" s="9" t="str">
        <f>IFERROR(__xludf.DUMMYFUNCTION("""COMPUTED_VALUE"""),"Maipú")</f>
        <v>Maipú</v>
      </c>
      <c r="F193" s="9" t="str">
        <f>IFERROR(__xludf.DUMMYFUNCTION("""COMPUTED_VALUE"""),"Santiago")</f>
        <v>Santiago</v>
      </c>
      <c r="G193" s="9" t="str">
        <f>IFERROR(__xludf.DUMMYFUNCTION("""COMPUTED_VALUE"""),"Región Metropolitana")</f>
        <v>Región Metropolitana</v>
      </c>
      <c r="H193" s="10">
        <f>IFERROR(__xludf.DUMMYFUNCTION("""COMPUTED_VALUE"""),1.051E7)</f>
        <v>10510000</v>
      </c>
    </row>
    <row r="194">
      <c r="A194" s="9" t="str">
        <f>IFERROR(__xludf.DUMMYFUNCTION("""COMPUTED_VALUE"""),"CLI-0294")</f>
        <v>CLI-0294</v>
      </c>
      <c r="B194" s="9" t="str">
        <f>IFERROR(__xludf.DUMMYFUNCTION("""COMPUTED_VALUE"""),"20.890.986-K")</f>
        <v>20.890.986-K</v>
      </c>
      <c r="C194" s="9" t="str">
        <f>IFERROR(__xludf.DUMMYFUNCTION("""COMPUTED_VALUE"""),"Cristián Silva Araya")</f>
        <v>Cristián Silva Araya</v>
      </c>
      <c r="D194" s="9" t="str">
        <f>IFERROR(__xludf.DUMMYFUNCTION("""COMPUTED_VALUE"""),"cri.silva@empresa.cl")</f>
        <v>cri.silva@empresa.cl</v>
      </c>
      <c r="E194" s="9" t="str">
        <f>IFERROR(__xludf.DUMMYFUNCTION("""COMPUTED_VALUE"""),"Maipú")</f>
        <v>Maipú</v>
      </c>
      <c r="F194" s="9" t="str">
        <f>IFERROR(__xludf.DUMMYFUNCTION("""COMPUTED_VALUE"""),"Santiago")</f>
        <v>Santiago</v>
      </c>
      <c r="G194" s="9" t="str">
        <f>IFERROR(__xludf.DUMMYFUNCTION("""COMPUTED_VALUE"""),"Región Metropolitana")</f>
        <v>Región Metropolitana</v>
      </c>
      <c r="H194" s="10">
        <f>IFERROR(__xludf.DUMMYFUNCTION("""COMPUTED_VALUE"""),1.05E7)</f>
        <v>10500000</v>
      </c>
    </row>
    <row r="195">
      <c r="A195" s="9" t="str">
        <f>IFERROR(__xludf.DUMMYFUNCTION("""COMPUTED_VALUE"""),"CLI-0217")</f>
        <v>CLI-0217</v>
      </c>
      <c r="B195" s="9" t="str">
        <f>IFERROR(__xludf.DUMMYFUNCTION("""COMPUTED_VALUE"""),"15.357.005-K")</f>
        <v>15.357.005-K</v>
      </c>
      <c r="C195" s="9" t="str">
        <f>IFERROR(__xludf.DUMMYFUNCTION("""COMPUTED_VALUE"""),"Fernanda Muñoz López")</f>
        <v>Fernanda Muñoz López</v>
      </c>
      <c r="D195" s="9" t="str">
        <f>IFERROR(__xludf.DUMMYFUNCTION("""COMPUTED_VALUE"""),"fer.muñoz@consultora.cl")</f>
        <v>fer.muñoz@consultora.cl</v>
      </c>
      <c r="E195" s="9" t="str">
        <f>IFERROR(__xludf.DUMMYFUNCTION("""COMPUTED_VALUE"""),"Santiago Centro")</f>
        <v>Santiago Centro</v>
      </c>
      <c r="F195" s="9" t="str">
        <f>IFERROR(__xludf.DUMMYFUNCTION("""COMPUTED_VALUE"""),"Santiago")</f>
        <v>Santiago</v>
      </c>
      <c r="G195" s="9" t="str">
        <f>IFERROR(__xludf.DUMMYFUNCTION("""COMPUTED_VALUE"""),"Región Metropolitana")</f>
        <v>Región Metropolitana</v>
      </c>
      <c r="H195" s="10">
        <f>IFERROR(__xludf.DUMMYFUNCTION("""COMPUTED_VALUE"""),1.038E7)</f>
        <v>10380000</v>
      </c>
    </row>
    <row r="196">
      <c r="A196" s="9" t="str">
        <f>IFERROR(__xludf.DUMMYFUNCTION("""COMPUTED_VALUE"""),"CLI-0034")</f>
        <v>CLI-0034</v>
      </c>
      <c r="B196" s="9" t="str">
        <f>IFERROR(__xludf.DUMMYFUNCTION("""COMPUTED_VALUE"""),"17840614-1")</f>
        <v>17840614-1</v>
      </c>
      <c r="C196" s="9" t="str">
        <f>IFERROR(__xludf.DUMMYFUNCTION("""COMPUTED_VALUE"""),"Mauricio Espinoza Muñoz")</f>
        <v>Mauricio Espinoza Muñoz</v>
      </c>
      <c r="D196" s="9" t="str">
        <f>IFERROR(__xludf.DUMMYFUNCTION("""COMPUTED_VALUE"""),"mau.espinoza@servicios.cl")</f>
        <v>mau.espinoza@servicios.cl</v>
      </c>
      <c r="E196" s="9" t="str">
        <f>IFERROR(__xludf.DUMMYFUNCTION("""COMPUTED_VALUE"""),"Providencia")</f>
        <v>Providencia</v>
      </c>
      <c r="F196" s="9" t="str">
        <f>IFERROR(__xludf.DUMMYFUNCTION("""COMPUTED_VALUE"""),"Santiago")</f>
        <v>Santiago</v>
      </c>
      <c r="G196" s="9" t="str">
        <f>IFERROR(__xludf.DUMMYFUNCTION("""COMPUTED_VALUE"""),"Región Metropolitana")</f>
        <v>Región Metropolitana</v>
      </c>
      <c r="H196" s="10">
        <f>IFERROR(__xludf.DUMMYFUNCTION("""COMPUTED_VALUE"""),1.037E7)</f>
        <v>10370000</v>
      </c>
    </row>
    <row r="197">
      <c r="A197" s="9" t="str">
        <f>IFERROR(__xludf.DUMMYFUNCTION("""COMPUTED_VALUE"""),"CLI-0300")</f>
        <v>CLI-0300</v>
      </c>
      <c r="B197" s="9" t="str">
        <f>IFERROR(__xludf.DUMMYFUNCTION("""COMPUTED_VALUE"""),"11.750.826-1")</f>
        <v>11.750.826-1</v>
      </c>
      <c r="C197" s="9" t="str">
        <f>IFERROR(__xludf.DUMMYFUNCTION("""COMPUTED_VALUE"""),"Sebastián Soto Rojas")</f>
        <v>Sebastián Soto Rojas</v>
      </c>
      <c r="D197" s="9" t="str">
        <f>IFERROR(__xludf.DUMMYFUNCTION("""COMPUTED_VALUE"""),"seb.soto@sura.cl")</f>
        <v>seb.soto@sura.cl</v>
      </c>
      <c r="E197" s="9" t="str">
        <f>IFERROR(__xludf.DUMMYFUNCTION("""COMPUTED_VALUE"""),"Santiago Centro")</f>
        <v>Santiago Centro</v>
      </c>
      <c r="F197" s="9" t="str">
        <f>IFERROR(__xludf.DUMMYFUNCTION("""COMPUTED_VALUE"""),"Santiago")</f>
        <v>Santiago</v>
      </c>
      <c r="G197" s="9" t="str">
        <f>IFERROR(__xludf.DUMMYFUNCTION("""COMPUTED_VALUE"""),"Región Metropolitana")</f>
        <v>Región Metropolitana</v>
      </c>
      <c r="H197" s="10">
        <f>IFERROR(__xludf.DUMMYFUNCTION("""COMPUTED_VALUE"""),1.028E7)</f>
        <v>10280000</v>
      </c>
    </row>
    <row r="198">
      <c r="A198" s="9" t="str">
        <f>IFERROR(__xludf.DUMMYFUNCTION("""COMPUTED_VALUE"""),"CLI-0569")</f>
        <v>CLI-0569</v>
      </c>
      <c r="B198" s="9" t="str">
        <f>IFERROR(__xludf.DUMMYFUNCTION("""COMPUTED_VALUE"""),"12.592.312-3")</f>
        <v>12.592.312-3</v>
      </c>
      <c r="C198" s="9" t="str">
        <f>IFERROR(__xludf.DUMMYFUNCTION("""COMPUTED_VALUE"""),"Marcela Morales Rodríguez")</f>
        <v>Marcela Morales Rodríguez</v>
      </c>
      <c r="D198" s="9" t="str">
        <f>IFERROR(__xludf.DUMMYFUNCTION("""COMPUTED_VALUE"""),"mar.morales@empresa.cl")</f>
        <v>mar.morales@empresa.cl</v>
      </c>
      <c r="E198" s="9" t="str">
        <f>IFERROR(__xludf.DUMMYFUNCTION("""COMPUTED_VALUE"""),"Ñuñoa")</f>
        <v>Ñuñoa</v>
      </c>
      <c r="F198" s="9" t="str">
        <f>IFERROR(__xludf.DUMMYFUNCTION("""COMPUTED_VALUE"""),"Santiago")</f>
        <v>Santiago</v>
      </c>
      <c r="G198" s="9" t="str">
        <f>IFERROR(__xludf.DUMMYFUNCTION("""COMPUTED_VALUE"""),"Región Metropolitana")</f>
        <v>Región Metropolitana</v>
      </c>
      <c r="H198" s="10">
        <f>IFERROR(__xludf.DUMMYFUNCTION("""COMPUTED_VALUE"""),1.027E7)</f>
        <v>10270000</v>
      </c>
    </row>
    <row r="199">
      <c r="A199" s="9" t="str">
        <f>IFERROR(__xludf.DUMMYFUNCTION("""COMPUTED_VALUE"""),"CLI-0697")</f>
        <v>CLI-0697</v>
      </c>
      <c r="B199" s="9" t="str">
        <f>IFERROR(__xludf.DUMMYFUNCTION("""COMPUTED_VALUE"""),"17.104.224-5")</f>
        <v>17.104.224-5</v>
      </c>
      <c r="C199" s="9" t="str">
        <f>IFERROR(__xludf.DUMMYFUNCTION("""COMPUTED_VALUE"""),"Carolina Fuentes Valenzuela")</f>
        <v>Carolina Fuentes Valenzuela</v>
      </c>
      <c r="D199" s="9" t="str">
        <f>IFERROR(__xludf.DUMMYFUNCTION("""COMPUTED_VALUE"""),"car.fuentes@empresa.cl")</f>
        <v>car.fuentes@empresa.cl</v>
      </c>
      <c r="E199" s="9" t="str">
        <f>IFERROR(__xludf.DUMMYFUNCTION("""COMPUTED_VALUE"""),"Santiago Centro")</f>
        <v>Santiago Centro</v>
      </c>
      <c r="F199" s="9" t="str">
        <f>IFERROR(__xludf.DUMMYFUNCTION("""COMPUTED_VALUE"""),"Santiago")</f>
        <v>Santiago</v>
      </c>
      <c r="G199" s="9" t="str">
        <f>IFERROR(__xludf.DUMMYFUNCTION("""COMPUTED_VALUE"""),"Región Metropolitana")</f>
        <v>Región Metropolitana</v>
      </c>
      <c r="H199" s="10">
        <f>IFERROR(__xludf.DUMMYFUNCTION("""COMPUTED_VALUE"""),1.025E7)</f>
        <v>10250000</v>
      </c>
    </row>
    <row r="200">
      <c r="A200" s="9" t="str">
        <f>IFERROR(__xludf.DUMMYFUNCTION("""COMPUTED_VALUE"""),"CLI-0667")</f>
        <v>CLI-0667</v>
      </c>
      <c r="B200" s="9" t="str">
        <f>IFERROR(__xludf.DUMMYFUNCTION("""COMPUTED_VALUE"""),"19125938-9")</f>
        <v>19125938-9</v>
      </c>
      <c r="C200" s="9" t="str">
        <f>IFERROR(__xludf.DUMMYFUNCTION("""COMPUTED_VALUE"""),"Macarena Pérez Díaz")</f>
        <v>Macarena Pérez Díaz</v>
      </c>
      <c r="D200" s="9" t="str">
        <f>IFERROR(__xludf.DUMMYFUNCTION("""COMPUTED_VALUE"""),"mac.pérez@servicios.cl")</f>
        <v>mac.pérez@servicios.cl</v>
      </c>
      <c r="E200" s="9" t="str">
        <f>IFERROR(__xludf.DUMMYFUNCTION("""COMPUTED_VALUE"""),"Providencia")</f>
        <v>Providencia</v>
      </c>
      <c r="F200" s="9" t="str">
        <f>IFERROR(__xludf.DUMMYFUNCTION("""COMPUTED_VALUE"""),"Santiago")</f>
        <v>Santiago</v>
      </c>
      <c r="G200" s="9" t="str">
        <f>IFERROR(__xludf.DUMMYFUNCTION("""COMPUTED_VALUE"""),"Región Metropolitana")</f>
        <v>Región Metropolitana</v>
      </c>
      <c r="H200" s="10">
        <f>IFERROR(__xludf.DUMMYFUNCTION("""COMPUTED_VALUE"""),1.01E7)</f>
        <v>10100000</v>
      </c>
    </row>
    <row r="201">
      <c r="A201" s="9" t="str">
        <f>IFERROR(__xludf.DUMMYFUNCTION("""COMPUTED_VALUE"""),"CLI-0688")</f>
        <v>CLI-0688</v>
      </c>
      <c r="B201" s="9" t="str">
        <f>IFERROR(__xludf.DUMMYFUNCTION("""COMPUTED_VALUE"""),"13155270-5")</f>
        <v>13155270-5</v>
      </c>
      <c r="C201" s="9" t="str">
        <f>IFERROR(__xludf.DUMMYFUNCTION("""COMPUTED_VALUE"""),"Felipe Vergara Silva")</f>
        <v>Felipe Vergara Silva</v>
      </c>
      <c r="D201" s="9" t="str">
        <f>IFERROR(__xludf.DUMMYFUNCTION("""COMPUTED_VALUE"""),"fel.vergara@gmail.com")</f>
        <v>fel.vergara@gmail.com</v>
      </c>
      <c r="E201" s="9" t="str">
        <f>IFERROR(__xludf.DUMMYFUNCTION("""COMPUTED_VALUE"""),"Las Condes")</f>
        <v>Las Condes</v>
      </c>
      <c r="F201" s="9" t="str">
        <f>IFERROR(__xludf.DUMMYFUNCTION("""COMPUTED_VALUE"""),"Santiago")</f>
        <v>Santiago</v>
      </c>
      <c r="G201" s="9" t="str">
        <f>IFERROR(__xludf.DUMMYFUNCTION("""COMPUTED_VALUE"""),"Región Metropolitana")</f>
        <v>Región Metropolitana</v>
      </c>
      <c r="H201" s="10">
        <f>IFERROR(__xludf.DUMMYFUNCTION("""COMPUTED_VALUE"""),1.005E7)</f>
        <v>10050000</v>
      </c>
    </row>
    <row r="202">
      <c r="A202" s="9" t="str">
        <f>IFERROR(__xludf.DUMMYFUNCTION("""COMPUTED_VALUE"""),"CLI-0630")</f>
        <v>CLI-0630</v>
      </c>
      <c r="B202" s="9" t="str">
        <f>IFERROR(__xludf.DUMMYFUNCTION("""COMPUTED_VALUE"""),"11748830-1")</f>
        <v>11748830-1</v>
      </c>
      <c r="C202" s="9" t="str">
        <f>IFERROR(__xludf.DUMMYFUNCTION("""COMPUTED_VALUE"""),"Cristián Espinoza Muñoz")</f>
        <v>Cristián Espinoza Muñoz</v>
      </c>
      <c r="D202" s="9" t="str">
        <f>IFERROR(__xludf.DUMMYFUNCTION("""COMPUTED_VALUE"""),"cri.espinoza@consultora.cl")</f>
        <v>cri.espinoza@consultora.cl</v>
      </c>
      <c r="E202" s="9" t="str">
        <f>IFERROR(__xludf.DUMMYFUNCTION("""COMPUTED_VALUE"""),"Las Condes")</f>
        <v>Las Condes</v>
      </c>
      <c r="F202" s="9" t="str">
        <f>IFERROR(__xludf.DUMMYFUNCTION("""COMPUTED_VALUE"""),"Santiago")</f>
        <v>Santiago</v>
      </c>
      <c r="G202" s="9" t="str">
        <f>IFERROR(__xludf.DUMMYFUNCTION("""COMPUTED_VALUE"""),"Región Metropolitana")</f>
        <v>Región Metropolitana</v>
      </c>
      <c r="H202" s="10">
        <f>IFERROR(__xludf.DUMMYFUNCTION("""COMPUTED_VALUE"""),9990000.0)</f>
        <v>9990000</v>
      </c>
    </row>
    <row r="203">
      <c r="A203" s="9" t="str">
        <f>IFERROR(__xludf.DUMMYFUNCTION("""COMPUTED_VALUE"""),"CLI-0948")</f>
        <v>CLI-0948</v>
      </c>
      <c r="B203" s="9" t="str">
        <f>IFERROR(__xludf.DUMMYFUNCTION("""COMPUTED_VALUE"""),"20.909.324-5")</f>
        <v>20.909.324-5</v>
      </c>
      <c r="C203" s="9" t="str">
        <f>IFERROR(__xludf.DUMMYFUNCTION("""COMPUTED_VALUE"""),"Mauricio González Rojas")</f>
        <v>Mauricio González Rojas</v>
      </c>
      <c r="D203" s="9" t="str">
        <f>IFERROR(__xludf.DUMMYFUNCTION("""COMPUTED_VALUE"""),"mau.gonzález@empresa.cl")</f>
        <v>mau.gonzález@empresa.cl</v>
      </c>
      <c r="E203" s="9" t="str">
        <f>IFERROR(__xludf.DUMMYFUNCTION("""COMPUTED_VALUE"""),"Las Condes")</f>
        <v>Las Condes</v>
      </c>
      <c r="F203" s="9" t="str">
        <f>IFERROR(__xludf.DUMMYFUNCTION("""COMPUTED_VALUE"""),"Santiago")</f>
        <v>Santiago</v>
      </c>
      <c r="G203" s="9" t="str">
        <f>IFERROR(__xludf.DUMMYFUNCTION("""COMPUTED_VALUE"""),"Región Metropolitana")</f>
        <v>Región Metropolitana</v>
      </c>
      <c r="H203" s="10">
        <f>IFERROR(__xludf.DUMMYFUNCTION("""COMPUTED_VALUE"""),9980000.0)</f>
        <v>9980000</v>
      </c>
    </row>
    <row r="204">
      <c r="A204" s="9" t="str">
        <f>IFERROR(__xludf.DUMMYFUNCTION("""COMPUTED_VALUE"""),"CLI-0159")</f>
        <v>CLI-0159</v>
      </c>
      <c r="B204" s="9" t="str">
        <f>IFERROR(__xludf.DUMMYFUNCTION("""COMPUTED_VALUE"""),"14.288.735-9")</f>
        <v>14.288.735-9</v>
      </c>
      <c r="C204" s="9" t="str">
        <f>IFERROR(__xludf.DUMMYFUNCTION("""COMPUTED_VALUE"""),"Daniela Espinoza González")</f>
        <v>Daniela Espinoza González</v>
      </c>
      <c r="D204" s="9" t="str">
        <f>IFERROR(__xludf.DUMMYFUNCTION("""COMPUTED_VALUE"""),"dan.espinoza@empresa.cl")</f>
        <v>dan.espinoza@empresa.cl</v>
      </c>
      <c r="E204" s="9" t="str">
        <f>IFERROR(__xludf.DUMMYFUNCTION("""COMPUTED_VALUE"""),"Ñuñoa")</f>
        <v>Ñuñoa</v>
      </c>
      <c r="F204" s="9" t="str">
        <f>IFERROR(__xludf.DUMMYFUNCTION("""COMPUTED_VALUE"""),"Santiago")</f>
        <v>Santiago</v>
      </c>
      <c r="G204" s="9" t="str">
        <f>IFERROR(__xludf.DUMMYFUNCTION("""COMPUTED_VALUE"""),"Región Metropolitana")</f>
        <v>Región Metropolitana</v>
      </c>
      <c r="H204" s="10">
        <f>IFERROR(__xludf.DUMMYFUNCTION("""COMPUTED_VALUE"""),9910000.0)</f>
        <v>9910000</v>
      </c>
    </row>
    <row r="205">
      <c r="A205" s="9" t="str">
        <f>IFERROR(__xludf.DUMMYFUNCTION("""COMPUTED_VALUE"""),"CLI-0215")</f>
        <v>CLI-0215</v>
      </c>
      <c r="B205" s="9" t="str">
        <f>IFERROR(__xludf.DUMMYFUNCTION("""COMPUTED_VALUE"""),"16288328-4")</f>
        <v>16288328-4</v>
      </c>
      <c r="C205" s="9" t="str">
        <f>IFERROR(__xludf.DUMMYFUNCTION("""COMPUTED_VALUE"""),"Daniela Contreras Díaz")</f>
        <v>Daniela Contreras Díaz</v>
      </c>
      <c r="D205" s="9" t="str">
        <f>IFERROR(__xludf.DUMMYFUNCTION("""COMPUTED_VALUE"""),"dan.contreras@empresa.cl")</f>
        <v>dan.contreras@empresa.cl</v>
      </c>
      <c r="E205" s="9" t="str">
        <f>IFERROR(__xludf.DUMMYFUNCTION("""COMPUTED_VALUE"""),"Maipú")</f>
        <v>Maipú</v>
      </c>
      <c r="F205" s="9" t="str">
        <f>IFERROR(__xludf.DUMMYFUNCTION("""COMPUTED_VALUE"""),"Santiago")</f>
        <v>Santiago</v>
      </c>
      <c r="G205" s="9" t="str">
        <f>IFERROR(__xludf.DUMMYFUNCTION("""COMPUTED_VALUE"""),"Región Metropolitana")</f>
        <v>Región Metropolitana</v>
      </c>
      <c r="H205" s="10">
        <f>IFERROR(__xludf.DUMMYFUNCTION("""COMPUTED_VALUE"""),9890000.0)</f>
        <v>9890000</v>
      </c>
    </row>
    <row r="206">
      <c r="A206" s="9" t="str">
        <f>IFERROR(__xludf.DUMMYFUNCTION("""COMPUTED_VALUE"""),"CLI-0397")</f>
        <v>CLI-0397</v>
      </c>
      <c r="B206" s="9" t="str">
        <f>IFERROR(__xludf.DUMMYFUNCTION("""COMPUTED_VALUE"""),"11.947.956-9")</f>
        <v>11.947.956-9</v>
      </c>
      <c r="C206" s="9" t="str">
        <f>IFERROR(__xludf.DUMMYFUNCTION("""COMPUTED_VALUE"""),"Marcela Sepúlveda Pérez")</f>
        <v>Marcela Sepúlveda Pérez</v>
      </c>
      <c r="D206" s="9" t="str">
        <f>IFERROR(__xludf.DUMMYFUNCTION("""COMPUTED_VALUE"""),"mar.sepúlveda@gmail.com")</f>
        <v>mar.sepúlveda@gmail.com</v>
      </c>
      <c r="E206" s="9" t="str">
        <f>IFERROR(__xludf.DUMMYFUNCTION("""COMPUTED_VALUE"""),"Santiago Centro")</f>
        <v>Santiago Centro</v>
      </c>
      <c r="F206" s="9" t="str">
        <f>IFERROR(__xludf.DUMMYFUNCTION("""COMPUTED_VALUE"""),"Santiago")</f>
        <v>Santiago</v>
      </c>
      <c r="G206" s="9" t="str">
        <f>IFERROR(__xludf.DUMMYFUNCTION("""COMPUTED_VALUE"""),"Región Metropolitana")</f>
        <v>Región Metropolitana</v>
      </c>
      <c r="H206" s="10">
        <f>IFERROR(__xludf.DUMMYFUNCTION("""COMPUTED_VALUE"""),9840000.0)</f>
        <v>9840000</v>
      </c>
    </row>
    <row r="207">
      <c r="A207" s="9" t="str">
        <f>IFERROR(__xludf.DUMMYFUNCTION("""COMPUTED_VALUE"""),"CLI-0671")</f>
        <v>CLI-0671</v>
      </c>
      <c r="B207" s="9" t="str">
        <f>IFERROR(__xludf.DUMMYFUNCTION("""COMPUTED_VALUE"""),"20.269.552-1")</f>
        <v>20.269.552-1</v>
      </c>
      <c r="C207" s="9" t="str">
        <f>IFERROR(__xludf.DUMMYFUNCTION("""COMPUTED_VALUE"""),"Daniela Morales Valenzuela")</f>
        <v>Daniela Morales Valenzuela</v>
      </c>
      <c r="D207" s="9" t="str">
        <f>IFERROR(__xludf.DUMMYFUNCTION("""COMPUTED_VALUE"""),"dan.morales@consultora.cl")</f>
        <v>dan.morales@consultora.cl</v>
      </c>
      <c r="E207" s="9" t="str">
        <f>IFERROR(__xludf.DUMMYFUNCTION("""COMPUTED_VALUE"""),"Providencia")</f>
        <v>Providencia</v>
      </c>
      <c r="F207" s="9" t="str">
        <f>IFERROR(__xludf.DUMMYFUNCTION("""COMPUTED_VALUE"""),"Santiago")</f>
        <v>Santiago</v>
      </c>
      <c r="G207" s="9" t="str">
        <f>IFERROR(__xludf.DUMMYFUNCTION("""COMPUTED_VALUE"""),"Región Metropolitana")</f>
        <v>Región Metropolitana</v>
      </c>
      <c r="H207" s="10">
        <f>IFERROR(__xludf.DUMMYFUNCTION("""COMPUTED_VALUE"""),9830000.0)</f>
        <v>9830000</v>
      </c>
    </row>
    <row r="208">
      <c r="A208" s="9" t="str">
        <f>IFERROR(__xludf.DUMMYFUNCTION("""COMPUTED_VALUE"""),"CLI-0952")</f>
        <v>CLI-0952</v>
      </c>
      <c r="B208" s="9" t="str">
        <f>IFERROR(__xludf.DUMMYFUNCTION("""COMPUTED_VALUE"""),"12.256.687-3")</f>
        <v>12.256.687-3</v>
      </c>
      <c r="C208" s="9" t="str">
        <f>IFERROR(__xludf.DUMMYFUNCTION("""COMPUTED_VALUE"""),"Tomas Soto Rojas")</f>
        <v>Tomas Soto Rojas</v>
      </c>
      <c r="D208" s="9" t="str">
        <f>IFERROR(__xludf.DUMMYFUNCTION("""COMPUTED_VALUE"""),"tom.soto@consultora.cl")</f>
        <v>tom.soto@consultora.cl</v>
      </c>
      <c r="E208" s="9" t="str">
        <f>IFERROR(__xludf.DUMMYFUNCTION("""COMPUTED_VALUE"""),"Santiago Centro")</f>
        <v>Santiago Centro</v>
      </c>
      <c r="F208" s="9" t="str">
        <f>IFERROR(__xludf.DUMMYFUNCTION("""COMPUTED_VALUE"""),"Santiago")</f>
        <v>Santiago</v>
      </c>
      <c r="G208" s="9" t="str">
        <f>IFERROR(__xludf.DUMMYFUNCTION("""COMPUTED_VALUE"""),"Región Metropolitana")</f>
        <v>Región Metropolitana</v>
      </c>
      <c r="H208" s="10">
        <f>IFERROR(__xludf.DUMMYFUNCTION("""COMPUTED_VALUE"""),9820000.0)</f>
        <v>9820000</v>
      </c>
    </row>
    <row r="209">
      <c r="A209" s="9" t="str">
        <f>IFERROR(__xludf.DUMMYFUNCTION("""COMPUTED_VALUE"""),"CLI-0471")</f>
        <v>CLI-0471</v>
      </c>
      <c r="B209" s="9" t="str">
        <f>IFERROR(__xludf.DUMMYFUNCTION("""COMPUTED_VALUE"""),"19.083.668-6")</f>
        <v>19.083.668-6</v>
      </c>
      <c r="C209" s="9" t="str">
        <f>IFERROR(__xludf.DUMMYFUNCTION("""COMPUTED_VALUE"""),"Beatriz González Sepúlveda")</f>
        <v>Beatriz González Sepúlveda</v>
      </c>
      <c r="D209" s="9" t="str">
        <f>IFERROR(__xludf.DUMMYFUNCTION("""COMPUTED_VALUE"""),"bea.gonzález@servicios.cl")</f>
        <v>bea.gonzález@servicios.cl</v>
      </c>
      <c r="E209" s="9" t="str">
        <f>IFERROR(__xludf.DUMMYFUNCTION("""COMPUTED_VALUE"""),"Las Condes")</f>
        <v>Las Condes</v>
      </c>
      <c r="F209" s="9" t="str">
        <f>IFERROR(__xludf.DUMMYFUNCTION("""COMPUTED_VALUE"""),"Santiago")</f>
        <v>Santiago</v>
      </c>
      <c r="G209" s="9" t="str">
        <f>IFERROR(__xludf.DUMMYFUNCTION("""COMPUTED_VALUE"""),"Región Metropolitana")</f>
        <v>Región Metropolitana</v>
      </c>
      <c r="H209" s="10">
        <f>IFERROR(__xludf.DUMMYFUNCTION("""COMPUTED_VALUE"""),9790000.0)</f>
        <v>9790000</v>
      </c>
    </row>
    <row r="210">
      <c r="A210" s="9" t="str">
        <f>IFERROR(__xludf.DUMMYFUNCTION("""COMPUTED_VALUE"""),"CLI-0252")</f>
        <v>CLI-0252</v>
      </c>
      <c r="B210" s="9" t="str">
        <f>IFERROR(__xludf.DUMMYFUNCTION("""COMPUTED_VALUE"""),"15.944.823-1")</f>
        <v>15.944.823-1</v>
      </c>
      <c r="C210" s="9" t="str">
        <f>IFERROR(__xludf.DUMMYFUNCTION("""COMPUTED_VALUE"""),"Gonzalo Fuentes Tapia")</f>
        <v>Gonzalo Fuentes Tapia</v>
      </c>
      <c r="D210" s="9" t="str">
        <f>IFERROR(__xludf.DUMMYFUNCTION("""COMPUTED_VALUE"""),"gon.fuentes@servicios.cl")</f>
        <v>gon.fuentes@servicios.cl</v>
      </c>
      <c r="E210" s="9" t="str">
        <f>IFERROR(__xludf.DUMMYFUNCTION("""COMPUTED_VALUE"""),"Las Condes")</f>
        <v>Las Condes</v>
      </c>
      <c r="F210" s="9" t="str">
        <f>IFERROR(__xludf.DUMMYFUNCTION("""COMPUTED_VALUE"""),"Santiago")</f>
        <v>Santiago</v>
      </c>
      <c r="G210" s="9" t="str">
        <f>IFERROR(__xludf.DUMMYFUNCTION("""COMPUTED_VALUE"""),"Región Metropolitana")</f>
        <v>Región Metropolitana</v>
      </c>
      <c r="H210" s="10">
        <f>IFERROR(__xludf.DUMMYFUNCTION("""COMPUTED_VALUE"""),9630000.0)</f>
        <v>9630000</v>
      </c>
    </row>
    <row r="211">
      <c r="A211" s="9" t="str">
        <f>IFERROR(__xludf.DUMMYFUNCTION("""COMPUTED_VALUE"""),"CLI-0923")</f>
        <v>CLI-0923</v>
      </c>
      <c r="B211" s="9" t="str">
        <f>IFERROR(__xludf.DUMMYFUNCTION("""COMPUTED_VALUE"""),"12.065.869-K")</f>
        <v>12.065.869-K</v>
      </c>
      <c r="C211" s="9" t="str">
        <f>IFERROR(__xludf.DUMMYFUNCTION("""COMPUTED_VALUE"""),"Francisca Tapia González")</f>
        <v>Francisca Tapia González</v>
      </c>
      <c r="D211" s="9" t="str">
        <f>IFERROR(__xludf.DUMMYFUNCTION("""COMPUTED_VALUE"""),"fra.tapia@servicios.cl")</f>
        <v>fra.tapia@servicios.cl</v>
      </c>
      <c r="E211" s="9" t="str">
        <f>IFERROR(__xludf.DUMMYFUNCTION("""COMPUTED_VALUE"""),"Ñuñoa")</f>
        <v>Ñuñoa</v>
      </c>
      <c r="F211" s="9" t="str">
        <f>IFERROR(__xludf.DUMMYFUNCTION("""COMPUTED_VALUE"""),"Santiago")</f>
        <v>Santiago</v>
      </c>
      <c r="G211" s="9" t="str">
        <f>IFERROR(__xludf.DUMMYFUNCTION("""COMPUTED_VALUE"""),"Región Metropolitana")</f>
        <v>Región Metropolitana</v>
      </c>
      <c r="H211" s="10">
        <f>IFERROR(__xludf.DUMMYFUNCTION("""COMPUTED_VALUE"""),9610000.0)</f>
        <v>9610000</v>
      </c>
    </row>
    <row r="212">
      <c r="A212" s="9" t="str">
        <f>IFERROR(__xludf.DUMMYFUNCTION("""COMPUTED_VALUE"""),"CLI-0228")</f>
        <v>CLI-0228</v>
      </c>
      <c r="B212" s="9" t="str">
        <f>IFERROR(__xludf.DUMMYFUNCTION("""COMPUTED_VALUE"""),"15.297.059-5")</f>
        <v>15.297.059-5</v>
      </c>
      <c r="C212" s="9" t="str">
        <f>IFERROR(__xludf.DUMMYFUNCTION("""COMPUTED_VALUE"""),"Javier Silva Vergara")</f>
        <v>Javier Silva Vergara</v>
      </c>
      <c r="D212" s="9" t="str">
        <f>IFERROR(__xludf.DUMMYFUNCTION("""COMPUTED_VALUE"""),"jav.silva@outlook.cl")</f>
        <v>jav.silva@outlook.cl</v>
      </c>
      <c r="E212" s="9" t="str">
        <f>IFERROR(__xludf.DUMMYFUNCTION("""COMPUTED_VALUE"""),"Santiago Centro")</f>
        <v>Santiago Centro</v>
      </c>
      <c r="F212" s="9" t="str">
        <f>IFERROR(__xludf.DUMMYFUNCTION("""COMPUTED_VALUE"""),"Santiago")</f>
        <v>Santiago</v>
      </c>
      <c r="G212" s="9" t="str">
        <f>IFERROR(__xludf.DUMMYFUNCTION("""COMPUTED_VALUE"""),"Región Metropolitana")</f>
        <v>Región Metropolitana</v>
      </c>
      <c r="H212" s="10">
        <f>IFERROR(__xludf.DUMMYFUNCTION("""COMPUTED_VALUE"""),9610000.0)</f>
        <v>9610000</v>
      </c>
    </row>
    <row r="213">
      <c r="A213" s="9" t="str">
        <f>IFERROR(__xludf.DUMMYFUNCTION("""COMPUTED_VALUE"""),"CLI-0295")</f>
        <v>CLI-0295</v>
      </c>
      <c r="B213" s="9" t="str">
        <f>IFERROR(__xludf.DUMMYFUNCTION("""COMPUTED_VALUE"""),"18658986-5")</f>
        <v>18658986-5</v>
      </c>
      <c r="C213" s="9" t="str">
        <f>IFERROR(__xludf.DUMMYFUNCTION("""COMPUTED_VALUE"""),"Constanza Contreras González")</f>
        <v>Constanza Contreras González</v>
      </c>
      <c r="D213" s="9" t="str">
        <f>IFERROR(__xludf.DUMMYFUNCTION("""COMPUTED_VALUE"""),"con.contreras@empresa.cl")</f>
        <v>con.contreras@empresa.cl</v>
      </c>
      <c r="E213" s="9" t="str">
        <f>IFERROR(__xludf.DUMMYFUNCTION("""COMPUTED_VALUE"""),"Maipú")</f>
        <v>Maipú</v>
      </c>
      <c r="F213" s="9" t="str">
        <f>IFERROR(__xludf.DUMMYFUNCTION("""COMPUTED_VALUE"""),"Santiago")</f>
        <v>Santiago</v>
      </c>
      <c r="G213" s="9" t="str">
        <f>IFERROR(__xludf.DUMMYFUNCTION("""COMPUTED_VALUE"""),"Región Metropolitana")</f>
        <v>Región Metropolitana</v>
      </c>
      <c r="H213" s="10">
        <f>IFERROR(__xludf.DUMMYFUNCTION("""COMPUTED_VALUE"""),9560000.0)</f>
        <v>9560000</v>
      </c>
    </row>
    <row r="214">
      <c r="A214" s="9" t="str">
        <f>IFERROR(__xludf.DUMMYFUNCTION("""COMPUTED_VALUE"""),"CLI-0255")</f>
        <v>CLI-0255</v>
      </c>
      <c r="B214" s="9" t="str">
        <f>IFERROR(__xludf.DUMMYFUNCTION("""COMPUTED_VALUE"""),"19.148.073-2")</f>
        <v>19.148.073-2</v>
      </c>
      <c r="C214" s="9" t="str">
        <f>IFERROR(__xludf.DUMMYFUNCTION("""COMPUTED_VALUE"""),"Constanza Vergara Valenzuela")</f>
        <v>Constanza Vergara Valenzuela</v>
      </c>
      <c r="D214" s="9" t="str">
        <f>IFERROR(__xludf.DUMMYFUNCTION("""COMPUTED_VALUE"""),"con.vergara@outlook.cl")</f>
        <v>con.vergara@outlook.cl</v>
      </c>
      <c r="E214" s="9" t="str">
        <f>IFERROR(__xludf.DUMMYFUNCTION("""COMPUTED_VALUE"""),"Ñuñoa")</f>
        <v>Ñuñoa</v>
      </c>
      <c r="F214" s="9" t="str">
        <f>IFERROR(__xludf.DUMMYFUNCTION("""COMPUTED_VALUE"""),"Santiago")</f>
        <v>Santiago</v>
      </c>
      <c r="G214" s="9" t="str">
        <f>IFERROR(__xludf.DUMMYFUNCTION("""COMPUTED_VALUE"""),"Región Metropolitana")</f>
        <v>Región Metropolitana</v>
      </c>
      <c r="H214" s="10">
        <f>IFERROR(__xludf.DUMMYFUNCTION("""COMPUTED_VALUE"""),9520000.0)</f>
        <v>9520000</v>
      </c>
    </row>
    <row r="215">
      <c r="A215" s="9" t="str">
        <f>IFERROR(__xludf.DUMMYFUNCTION("""COMPUTED_VALUE"""),"CLI-0115")</f>
        <v>CLI-0115</v>
      </c>
      <c r="B215" s="9" t="str">
        <f>IFERROR(__xludf.DUMMYFUNCTION("""COMPUTED_VALUE"""),"19.580.611-4")</f>
        <v>19.580.611-4</v>
      </c>
      <c r="C215" s="9" t="str">
        <f>IFERROR(__xludf.DUMMYFUNCTION("""COMPUTED_VALUE"""),"Beatriz Espinoza Silva")</f>
        <v>Beatriz Espinoza Silva</v>
      </c>
      <c r="D215" s="9" t="str">
        <f>IFERROR(__xludf.DUMMYFUNCTION("""COMPUTED_VALUE"""),"bea.espinoza@consultora.cl")</f>
        <v>bea.espinoza@consultora.cl</v>
      </c>
      <c r="E215" s="9" t="str">
        <f>IFERROR(__xludf.DUMMYFUNCTION("""COMPUTED_VALUE"""),"Providencia")</f>
        <v>Providencia</v>
      </c>
      <c r="F215" s="9" t="str">
        <f>IFERROR(__xludf.DUMMYFUNCTION("""COMPUTED_VALUE"""),"Santiago")</f>
        <v>Santiago</v>
      </c>
      <c r="G215" s="9" t="str">
        <f>IFERROR(__xludf.DUMMYFUNCTION("""COMPUTED_VALUE"""),"Región Metropolitana")</f>
        <v>Región Metropolitana</v>
      </c>
      <c r="H215" s="10">
        <f>IFERROR(__xludf.DUMMYFUNCTION("""COMPUTED_VALUE"""),9450000.0)</f>
        <v>9450000</v>
      </c>
    </row>
    <row r="216">
      <c r="A216" s="9" t="str">
        <f>IFERROR(__xludf.DUMMYFUNCTION("""COMPUTED_VALUE"""),"CLI-0354")</f>
        <v>CLI-0354</v>
      </c>
      <c r="B216" s="9" t="str">
        <f>IFERROR(__xludf.DUMMYFUNCTION("""COMPUTED_VALUE"""),"14.134.648-9")</f>
        <v>14.134.648-9</v>
      </c>
      <c r="C216" s="9" t="str">
        <f>IFERROR(__xludf.DUMMYFUNCTION("""COMPUTED_VALUE"""),"Ignacio Pérez Vergara")</f>
        <v>Ignacio Pérez Vergara</v>
      </c>
      <c r="D216" s="9" t="str">
        <f>IFERROR(__xludf.DUMMYFUNCTION("""COMPUTED_VALUE"""),"ign.pérez@sura.cl")</f>
        <v>ign.pérez@sura.cl</v>
      </c>
      <c r="E216" s="9" t="str">
        <f>IFERROR(__xludf.DUMMYFUNCTION("""COMPUTED_VALUE"""),"Maipú")</f>
        <v>Maipú</v>
      </c>
      <c r="F216" s="9" t="str">
        <f>IFERROR(__xludf.DUMMYFUNCTION("""COMPUTED_VALUE"""),"Santiago")</f>
        <v>Santiago</v>
      </c>
      <c r="G216" s="9" t="str">
        <f>IFERROR(__xludf.DUMMYFUNCTION("""COMPUTED_VALUE"""),"Región Metropolitana")</f>
        <v>Región Metropolitana</v>
      </c>
      <c r="H216" s="10">
        <f>IFERROR(__xludf.DUMMYFUNCTION("""COMPUTED_VALUE"""),9380000.0)</f>
        <v>9380000</v>
      </c>
    </row>
    <row r="217">
      <c r="A217" s="9" t="str">
        <f>IFERROR(__xludf.DUMMYFUNCTION("""COMPUTED_VALUE"""),"CLI-0310")</f>
        <v>CLI-0310</v>
      </c>
      <c r="B217" s="9" t="str">
        <f>IFERROR(__xludf.DUMMYFUNCTION("""COMPUTED_VALUE"""),"11.920.183-K")</f>
        <v>11.920.183-K</v>
      </c>
      <c r="C217" s="9" t="str">
        <f>IFERROR(__xludf.DUMMYFUNCTION("""COMPUTED_VALUE"""),"Ignacio Contreras Pérez")</f>
        <v>Ignacio Contreras Pérez</v>
      </c>
      <c r="D217" s="9" t="str">
        <f>IFERROR(__xludf.DUMMYFUNCTION("""COMPUTED_VALUE"""),"ign.contreras@gmail.com")</f>
        <v>ign.contreras@gmail.com</v>
      </c>
      <c r="E217" s="9" t="str">
        <f>IFERROR(__xludf.DUMMYFUNCTION("""COMPUTED_VALUE"""),"Santiago Centro")</f>
        <v>Santiago Centro</v>
      </c>
      <c r="F217" s="9" t="str">
        <f>IFERROR(__xludf.DUMMYFUNCTION("""COMPUTED_VALUE"""),"Santiago")</f>
        <v>Santiago</v>
      </c>
      <c r="G217" s="9" t="str">
        <f>IFERROR(__xludf.DUMMYFUNCTION("""COMPUTED_VALUE"""),"Región Metropolitana")</f>
        <v>Región Metropolitana</v>
      </c>
      <c r="H217" s="10">
        <f>IFERROR(__xludf.DUMMYFUNCTION("""COMPUTED_VALUE"""),9310000.0)</f>
        <v>9310000</v>
      </c>
    </row>
    <row r="218">
      <c r="A218" s="9" t="str">
        <f>IFERROR(__xludf.DUMMYFUNCTION("""COMPUTED_VALUE"""),"CLI-0382")</f>
        <v>CLI-0382</v>
      </c>
      <c r="B218" s="9" t="str">
        <f>IFERROR(__xludf.DUMMYFUNCTION("""COMPUTED_VALUE"""),"13.686.668-5")</f>
        <v>13.686.668-5</v>
      </c>
      <c r="C218" s="9" t="str">
        <f>IFERROR(__xludf.DUMMYFUNCTION("""COMPUTED_VALUE"""),"Ignacio Pérez Vergara")</f>
        <v>Ignacio Pérez Vergara</v>
      </c>
      <c r="D218" s="9" t="str">
        <f>IFERROR(__xludf.DUMMYFUNCTION("""COMPUTED_VALUE"""),"ign.pérez@gmail.com")</f>
        <v>ign.pérez@gmail.com</v>
      </c>
      <c r="E218" s="9" t="str">
        <f>IFERROR(__xludf.DUMMYFUNCTION("""COMPUTED_VALUE"""),"Ñuñoa")</f>
        <v>Ñuñoa</v>
      </c>
      <c r="F218" s="9" t="str">
        <f>IFERROR(__xludf.DUMMYFUNCTION("""COMPUTED_VALUE"""),"Santiago")</f>
        <v>Santiago</v>
      </c>
      <c r="G218" s="9" t="str">
        <f>IFERROR(__xludf.DUMMYFUNCTION("""COMPUTED_VALUE"""),"Región Metropolitana")</f>
        <v>Región Metropolitana</v>
      </c>
      <c r="H218" s="10">
        <f>IFERROR(__xludf.DUMMYFUNCTION("""COMPUTED_VALUE"""),9310000.0)</f>
        <v>9310000</v>
      </c>
    </row>
    <row r="219">
      <c r="A219" s="9" t="str">
        <f>IFERROR(__xludf.DUMMYFUNCTION("""COMPUTED_VALUE"""),"CLI-0881")</f>
        <v>CLI-0881</v>
      </c>
      <c r="B219" s="9" t="str">
        <f>IFERROR(__xludf.DUMMYFUNCTION("""COMPUTED_VALUE"""),"18.247.565-2")</f>
        <v>18.247.565-2</v>
      </c>
      <c r="C219" s="9" t="str">
        <f>IFERROR(__xludf.DUMMYFUNCTION("""COMPUTED_VALUE"""),"Macarena Araya Espinoza")</f>
        <v>Macarena Araya Espinoza</v>
      </c>
      <c r="D219" s="9" t="str">
        <f>IFERROR(__xludf.DUMMYFUNCTION("""COMPUTED_VALUE"""),"mac.araya@servicios.cl")</f>
        <v>mac.araya@servicios.cl</v>
      </c>
      <c r="E219" s="9" t="str">
        <f>IFERROR(__xludf.DUMMYFUNCTION("""COMPUTED_VALUE"""),"Providencia")</f>
        <v>Providencia</v>
      </c>
      <c r="F219" s="9" t="str">
        <f>IFERROR(__xludf.DUMMYFUNCTION("""COMPUTED_VALUE"""),"Santiago")</f>
        <v>Santiago</v>
      </c>
      <c r="G219" s="9" t="str">
        <f>IFERROR(__xludf.DUMMYFUNCTION("""COMPUTED_VALUE"""),"Región Metropolitana")</f>
        <v>Región Metropolitana</v>
      </c>
      <c r="H219" s="10">
        <f>IFERROR(__xludf.DUMMYFUNCTION("""COMPUTED_VALUE"""),9250000.0)</f>
        <v>9250000</v>
      </c>
    </row>
    <row r="220">
      <c r="A220" s="9" t="str">
        <f>IFERROR(__xludf.DUMMYFUNCTION("""COMPUTED_VALUE"""),"CLI-0265")</f>
        <v>CLI-0265</v>
      </c>
      <c r="B220" s="9" t="str">
        <f>IFERROR(__xludf.DUMMYFUNCTION("""COMPUTED_VALUE"""),"12.928.449-8")</f>
        <v>12.928.449-8</v>
      </c>
      <c r="C220" s="9" t="str">
        <f>IFERROR(__xludf.DUMMYFUNCTION("""COMPUTED_VALUE"""),"Macarena Espinoza López")</f>
        <v>Macarena Espinoza López</v>
      </c>
      <c r="D220" s="9" t="str">
        <f>IFERROR(__xludf.DUMMYFUNCTION("""COMPUTED_VALUE"""),"mac.espinoza@outlook.cl")</f>
        <v>mac.espinoza@outlook.cl</v>
      </c>
      <c r="E220" s="9" t="str">
        <f>IFERROR(__xludf.DUMMYFUNCTION("""COMPUTED_VALUE"""),"Las Condes")</f>
        <v>Las Condes</v>
      </c>
      <c r="F220" s="9" t="str">
        <f>IFERROR(__xludf.DUMMYFUNCTION("""COMPUTED_VALUE"""),"Santiago")</f>
        <v>Santiago</v>
      </c>
      <c r="G220" s="9" t="str">
        <f>IFERROR(__xludf.DUMMYFUNCTION("""COMPUTED_VALUE"""),"Región Metropolitana")</f>
        <v>Región Metropolitana</v>
      </c>
      <c r="H220" s="10">
        <f>IFERROR(__xludf.DUMMYFUNCTION("""COMPUTED_VALUE"""),9160000.0)</f>
        <v>9160000</v>
      </c>
    </row>
    <row r="221">
      <c r="A221" s="9" t="str">
        <f>IFERROR(__xludf.DUMMYFUNCTION("""COMPUTED_VALUE"""),"CLI-0786")</f>
        <v>CLI-0786</v>
      </c>
      <c r="B221" s="9" t="str">
        <f>IFERROR(__xludf.DUMMYFUNCTION("""COMPUTED_VALUE"""),"17404614-9")</f>
        <v>17404614-9</v>
      </c>
      <c r="C221" s="9" t="str">
        <f>IFERROR(__xludf.DUMMYFUNCTION("""COMPUTED_VALUE"""),"Mauricio Rojas Pérez")</f>
        <v>Mauricio Rojas Pérez</v>
      </c>
      <c r="D221" s="9" t="str">
        <f>IFERROR(__xludf.DUMMYFUNCTION("""COMPUTED_VALUE"""),"mau.rojas@empresa.cl")</f>
        <v>mau.rojas@empresa.cl</v>
      </c>
      <c r="E221" s="9" t="str">
        <f>IFERROR(__xludf.DUMMYFUNCTION("""COMPUTED_VALUE"""),"Providencia")</f>
        <v>Providencia</v>
      </c>
      <c r="F221" s="9" t="str">
        <f>IFERROR(__xludf.DUMMYFUNCTION("""COMPUTED_VALUE"""),"Santiago")</f>
        <v>Santiago</v>
      </c>
      <c r="G221" s="9" t="str">
        <f>IFERROR(__xludf.DUMMYFUNCTION("""COMPUTED_VALUE"""),"Región Metropolitana")</f>
        <v>Región Metropolitana</v>
      </c>
      <c r="H221" s="10">
        <f>IFERROR(__xludf.DUMMYFUNCTION("""COMPUTED_VALUE"""),9100000.0)</f>
        <v>9100000</v>
      </c>
    </row>
    <row r="222">
      <c r="A222" s="9" t="str">
        <f>IFERROR(__xludf.DUMMYFUNCTION("""COMPUTED_VALUE"""),"CLI-0589")</f>
        <v>CLI-0589</v>
      </c>
      <c r="B222" s="9" t="str">
        <f>IFERROR(__xludf.DUMMYFUNCTION("""COMPUTED_VALUE"""),"20.901.942-9")</f>
        <v>20.901.942-9</v>
      </c>
      <c r="C222" s="9" t="str">
        <f>IFERROR(__xludf.DUMMYFUNCTION("""COMPUTED_VALUE"""),"Paula Pérez Morales")</f>
        <v>Paula Pérez Morales</v>
      </c>
      <c r="D222" s="9" t="str">
        <f>IFERROR(__xludf.DUMMYFUNCTION("""COMPUTED_VALUE"""),"pau.pérez@outlook.cl")</f>
        <v>pau.pérez@outlook.cl</v>
      </c>
      <c r="E222" s="9" t="str">
        <f>IFERROR(__xludf.DUMMYFUNCTION("""COMPUTED_VALUE"""),"Santiago Centro")</f>
        <v>Santiago Centro</v>
      </c>
      <c r="F222" s="9" t="str">
        <f>IFERROR(__xludf.DUMMYFUNCTION("""COMPUTED_VALUE"""),"Santiago")</f>
        <v>Santiago</v>
      </c>
      <c r="G222" s="9" t="str">
        <f>IFERROR(__xludf.DUMMYFUNCTION("""COMPUTED_VALUE"""),"Región Metropolitana")</f>
        <v>Región Metropolitana</v>
      </c>
      <c r="H222" s="10">
        <f>IFERROR(__xludf.DUMMYFUNCTION("""COMPUTED_VALUE"""),9050000.0)</f>
        <v>9050000</v>
      </c>
    </row>
    <row r="223">
      <c r="A223" s="9" t="str">
        <f>IFERROR(__xludf.DUMMYFUNCTION("""COMPUTED_VALUE"""),"CLI-0775")</f>
        <v>CLI-0775</v>
      </c>
      <c r="B223" s="9" t="str">
        <f>IFERROR(__xludf.DUMMYFUNCTION("""COMPUTED_VALUE"""),"12.183.435-6")</f>
        <v>12.183.435-6</v>
      </c>
      <c r="C223" s="9" t="str">
        <f>IFERROR(__xludf.DUMMYFUNCTION("""COMPUTED_VALUE"""),"Javiera Soto González")</f>
        <v>Javiera Soto González</v>
      </c>
      <c r="D223" s="9" t="str">
        <f>IFERROR(__xludf.DUMMYFUNCTION("""COMPUTED_VALUE"""),"jav.soto@servicios.cl")</f>
        <v>jav.soto@servicios.cl</v>
      </c>
      <c r="E223" s="9" t="str">
        <f>IFERROR(__xludf.DUMMYFUNCTION("""COMPUTED_VALUE"""),"Ñuñoa")</f>
        <v>Ñuñoa</v>
      </c>
      <c r="F223" s="9" t="str">
        <f>IFERROR(__xludf.DUMMYFUNCTION("""COMPUTED_VALUE"""),"Santiago")</f>
        <v>Santiago</v>
      </c>
      <c r="G223" s="9" t="str">
        <f>IFERROR(__xludf.DUMMYFUNCTION("""COMPUTED_VALUE"""),"Región Metropolitana")</f>
        <v>Región Metropolitana</v>
      </c>
      <c r="H223" s="10">
        <f>IFERROR(__xludf.DUMMYFUNCTION("""COMPUTED_VALUE"""),8910000.0)</f>
        <v>8910000</v>
      </c>
    </row>
    <row r="224">
      <c r="A224" s="9" t="str">
        <f>IFERROR(__xludf.DUMMYFUNCTION("""COMPUTED_VALUE"""),"CLI-0114")</f>
        <v>CLI-0114</v>
      </c>
      <c r="B224" s="9" t="str">
        <f>IFERROR(__xludf.DUMMYFUNCTION("""COMPUTED_VALUE"""),"13.697.302-7")</f>
        <v>13.697.302-7</v>
      </c>
      <c r="C224" s="9" t="str">
        <f>IFERROR(__xludf.DUMMYFUNCTION("""COMPUTED_VALUE"""),"Hernán Contreras Vergara")</f>
        <v>Hernán Contreras Vergara</v>
      </c>
      <c r="D224" s="9" t="str">
        <f>IFERROR(__xludf.DUMMYFUNCTION("""COMPUTED_VALUE"""),"her.contreras@gmail.com")</f>
        <v>her.contreras@gmail.com</v>
      </c>
      <c r="E224" s="9" t="str">
        <f>IFERROR(__xludf.DUMMYFUNCTION("""COMPUTED_VALUE"""),"Ñuñoa")</f>
        <v>Ñuñoa</v>
      </c>
      <c r="F224" s="9" t="str">
        <f>IFERROR(__xludf.DUMMYFUNCTION("""COMPUTED_VALUE"""),"Santiago")</f>
        <v>Santiago</v>
      </c>
      <c r="G224" s="9" t="str">
        <f>IFERROR(__xludf.DUMMYFUNCTION("""COMPUTED_VALUE"""),"Región Metropolitana")</f>
        <v>Región Metropolitana</v>
      </c>
      <c r="H224" s="10">
        <f>IFERROR(__xludf.DUMMYFUNCTION("""COMPUTED_VALUE"""),8850000.0)</f>
        <v>8850000</v>
      </c>
    </row>
    <row r="225">
      <c r="A225" s="9" t="str">
        <f>IFERROR(__xludf.DUMMYFUNCTION("""COMPUTED_VALUE"""),"CLI-0954")</f>
        <v>CLI-0954</v>
      </c>
      <c r="B225" s="9" t="str">
        <f>IFERROR(__xludf.DUMMYFUNCTION("""COMPUTED_VALUE"""),"11515221-6")</f>
        <v>11515221-6</v>
      </c>
      <c r="C225" s="9" t="str">
        <f>IFERROR(__xludf.DUMMYFUNCTION("""COMPUTED_VALUE"""),"Gonzalo Soto Pérez")</f>
        <v>Gonzalo Soto Pérez</v>
      </c>
      <c r="D225" s="9" t="str">
        <f>IFERROR(__xludf.DUMMYFUNCTION("""COMPUTED_VALUE"""),"gon.soto@gmail.com")</f>
        <v>gon.soto@gmail.com</v>
      </c>
      <c r="E225" s="9" t="str">
        <f>IFERROR(__xludf.DUMMYFUNCTION("""COMPUTED_VALUE"""),"Santiago Centro")</f>
        <v>Santiago Centro</v>
      </c>
      <c r="F225" s="9" t="str">
        <f>IFERROR(__xludf.DUMMYFUNCTION("""COMPUTED_VALUE"""),"Santiago")</f>
        <v>Santiago</v>
      </c>
      <c r="G225" s="9" t="str">
        <f>IFERROR(__xludf.DUMMYFUNCTION("""COMPUTED_VALUE"""),"Región Metropolitana")</f>
        <v>Región Metropolitana</v>
      </c>
      <c r="H225" s="10">
        <f>IFERROR(__xludf.DUMMYFUNCTION("""COMPUTED_VALUE"""),8830000.0)</f>
        <v>8830000</v>
      </c>
    </row>
    <row r="226">
      <c r="A226" s="9" t="str">
        <f>IFERROR(__xludf.DUMMYFUNCTION("""COMPUTED_VALUE"""),"CLI-0126")</f>
        <v>CLI-0126</v>
      </c>
      <c r="B226" s="9" t="str">
        <f>IFERROR(__xludf.DUMMYFUNCTION("""COMPUTED_VALUE"""),"11492005-4")</f>
        <v>11492005-4</v>
      </c>
      <c r="C226" s="9" t="str">
        <f>IFERROR(__xludf.DUMMYFUNCTION("""COMPUTED_VALUE"""),"Claudio Fuentes Pérez")</f>
        <v>Claudio Fuentes Pérez</v>
      </c>
      <c r="D226" s="9" t="str">
        <f>IFERROR(__xludf.DUMMYFUNCTION("""COMPUTED_VALUE"""),"cla.fuentes@sura.cl")</f>
        <v>cla.fuentes@sura.cl</v>
      </c>
      <c r="E226" s="9" t="str">
        <f>IFERROR(__xludf.DUMMYFUNCTION("""COMPUTED_VALUE"""),"Las Condes")</f>
        <v>Las Condes</v>
      </c>
      <c r="F226" s="9" t="str">
        <f>IFERROR(__xludf.DUMMYFUNCTION("""COMPUTED_VALUE"""),"Santiago")</f>
        <v>Santiago</v>
      </c>
      <c r="G226" s="9" t="str">
        <f>IFERROR(__xludf.DUMMYFUNCTION("""COMPUTED_VALUE"""),"Región Metropolitana")</f>
        <v>Región Metropolitana</v>
      </c>
      <c r="H226" s="10">
        <f>IFERROR(__xludf.DUMMYFUNCTION("""COMPUTED_VALUE"""),8780000.0)</f>
        <v>8780000</v>
      </c>
    </row>
    <row r="227">
      <c r="A227" s="9" t="str">
        <f>IFERROR(__xludf.DUMMYFUNCTION("""COMPUTED_VALUE"""),"CLI-0574")</f>
        <v>CLI-0574</v>
      </c>
      <c r="B227" s="9" t="str">
        <f>IFERROR(__xludf.DUMMYFUNCTION("""COMPUTED_VALUE"""),"18.156.584-1")</f>
        <v>18.156.584-1</v>
      </c>
      <c r="C227" s="9" t="str">
        <f>IFERROR(__xludf.DUMMYFUNCTION("""COMPUTED_VALUE"""),"Rodrigo Soto Sepúlveda")</f>
        <v>Rodrigo Soto Sepúlveda</v>
      </c>
      <c r="D227" s="9" t="str">
        <f>IFERROR(__xludf.DUMMYFUNCTION("""COMPUTED_VALUE"""),"rod.soto@sura.cl")</f>
        <v>rod.soto@sura.cl</v>
      </c>
      <c r="E227" s="9" t="str">
        <f>IFERROR(__xludf.DUMMYFUNCTION("""COMPUTED_VALUE"""),"Maipú")</f>
        <v>Maipú</v>
      </c>
      <c r="F227" s="9" t="str">
        <f>IFERROR(__xludf.DUMMYFUNCTION("""COMPUTED_VALUE"""),"Santiago")</f>
        <v>Santiago</v>
      </c>
      <c r="G227" s="9" t="str">
        <f>IFERROR(__xludf.DUMMYFUNCTION("""COMPUTED_VALUE"""),"Región Metropolitana")</f>
        <v>Región Metropolitana</v>
      </c>
      <c r="H227" s="10">
        <f>IFERROR(__xludf.DUMMYFUNCTION("""COMPUTED_VALUE"""),8780000.0)</f>
        <v>8780000</v>
      </c>
    </row>
    <row r="228">
      <c r="A228" s="9" t="str">
        <f>IFERROR(__xludf.DUMMYFUNCTION("""COMPUTED_VALUE"""),"CLI-0120")</f>
        <v>CLI-0120</v>
      </c>
      <c r="B228" s="9" t="str">
        <f>IFERROR(__xludf.DUMMYFUNCTION("""COMPUTED_VALUE"""),"16.902.804-3")</f>
        <v>16.902.804-3</v>
      </c>
      <c r="C228" s="9" t="str">
        <f>IFERROR(__xludf.DUMMYFUNCTION("""COMPUTED_VALUE"""),"Álvaro Tapia Contreras")</f>
        <v>Álvaro Tapia Contreras</v>
      </c>
      <c r="D228" s="9" t="str">
        <f>IFERROR(__xludf.DUMMYFUNCTION("""COMPUTED_VALUE"""),"álv.tapia@gmail.com")</f>
        <v>álv.tapia@gmail.com</v>
      </c>
      <c r="E228" s="9" t="str">
        <f>IFERROR(__xludf.DUMMYFUNCTION("""COMPUTED_VALUE"""),"Maipú")</f>
        <v>Maipú</v>
      </c>
      <c r="F228" s="9" t="str">
        <f>IFERROR(__xludf.DUMMYFUNCTION("""COMPUTED_VALUE"""),"Santiago")</f>
        <v>Santiago</v>
      </c>
      <c r="G228" s="9" t="str">
        <f>IFERROR(__xludf.DUMMYFUNCTION("""COMPUTED_VALUE"""),"Región Metropolitana")</f>
        <v>Región Metropolitana</v>
      </c>
      <c r="H228" s="10">
        <f>IFERROR(__xludf.DUMMYFUNCTION("""COMPUTED_VALUE"""),8770000.0)</f>
        <v>8770000</v>
      </c>
    </row>
    <row r="229">
      <c r="A229" s="9" t="str">
        <f>IFERROR(__xludf.DUMMYFUNCTION("""COMPUTED_VALUE"""),"CLI-0100")</f>
        <v>CLI-0100</v>
      </c>
      <c r="B229" s="9" t="str">
        <f>IFERROR(__xludf.DUMMYFUNCTION("""COMPUTED_VALUE"""),"15194399-2")</f>
        <v>15194399-2</v>
      </c>
      <c r="C229" s="9" t="str">
        <f>IFERROR(__xludf.DUMMYFUNCTION("""COMPUTED_VALUE"""),"Tomas Díaz Valenzuela")</f>
        <v>Tomas Díaz Valenzuela</v>
      </c>
      <c r="D229" s="9" t="str">
        <f>IFERROR(__xludf.DUMMYFUNCTION("""COMPUTED_VALUE"""),"tom.díaz@servicios.cl")</f>
        <v>tom.díaz@servicios.cl</v>
      </c>
      <c r="E229" s="9" t="str">
        <f>IFERROR(__xludf.DUMMYFUNCTION("""COMPUTED_VALUE"""),"Providencia")</f>
        <v>Providencia</v>
      </c>
      <c r="F229" s="9" t="str">
        <f>IFERROR(__xludf.DUMMYFUNCTION("""COMPUTED_VALUE"""),"Santiago")</f>
        <v>Santiago</v>
      </c>
      <c r="G229" s="9" t="str">
        <f>IFERROR(__xludf.DUMMYFUNCTION("""COMPUTED_VALUE"""),"Región Metropolitana")</f>
        <v>Región Metropolitana</v>
      </c>
      <c r="H229" s="10">
        <f>IFERROR(__xludf.DUMMYFUNCTION("""COMPUTED_VALUE"""),8730000.0)</f>
        <v>8730000</v>
      </c>
    </row>
    <row r="230">
      <c r="A230" s="9" t="str">
        <f>IFERROR(__xludf.DUMMYFUNCTION("""COMPUTED_VALUE"""),"CLI-0171")</f>
        <v>CLI-0171</v>
      </c>
      <c r="B230" s="9" t="str">
        <f>IFERROR(__xludf.DUMMYFUNCTION("""COMPUTED_VALUE"""),"15.481.798-9")</f>
        <v>15.481.798-9</v>
      </c>
      <c r="C230" s="9" t="str">
        <f>IFERROR(__xludf.DUMMYFUNCTION("""COMPUTED_VALUE"""),"Andrea González Silva")</f>
        <v>Andrea González Silva</v>
      </c>
      <c r="D230" s="9" t="str">
        <f>IFERROR(__xludf.DUMMYFUNCTION("""COMPUTED_VALUE"""),"and.gonzález@consultora.cl")</f>
        <v>and.gonzález@consultora.cl</v>
      </c>
      <c r="E230" s="9" t="str">
        <f>IFERROR(__xludf.DUMMYFUNCTION("""COMPUTED_VALUE"""),"Santiago Centro")</f>
        <v>Santiago Centro</v>
      </c>
      <c r="F230" s="9" t="str">
        <f>IFERROR(__xludf.DUMMYFUNCTION("""COMPUTED_VALUE"""),"Santiago")</f>
        <v>Santiago</v>
      </c>
      <c r="G230" s="9" t="str">
        <f>IFERROR(__xludf.DUMMYFUNCTION("""COMPUTED_VALUE"""),"Región Metropolitana")</f>
        <v>Región Metropolitana</v>
      </c>
      <c r="H230" s="10">
        <f>IFERROR(__xludf.DUMMYFUNCTION("""COMPUTED_VALUE"""),8700000.0)</f>
        <v>8700000</v>
      </c>
    </row>
    <row r="231">
      <c r="A231" s="9" t="str">
        <f>IFERROR(__xludf.DUMMYFUNCTION("""COMPUTED_VALUE"""),"CLI-0460")</f>
        <v>CLI-0460</v>
      </c>
      <c r="B231" s="9" t="str">
        <f>IFERROR(__xludf.DUMMYFUNCTION("""COMPUTED_VALUE"""),"21.978.377-3")</f>
        <v>21.978.377-3</v>
      </c>
      <c r="C231" s="9" t="str">
        <f>IFERROR(__xludf.DUMMYFUNCTION("""COMPUTED_VALUE"""),"Javier Fuentes Vergara")</f>
        <v>Javier Fuentes Vergara</v>
      </c>
      <c r="D231" s="9" t="str">
        <f>IFERROR(__xludf.DUMMYFUNCTION("""COMPUTED_VALUE"""),"jav.fuentes@empresa.cl")</f>
        <v>jav.fuentes@empresa.cl</v>
      </c>
      <c r="E231" s="9" t="str">
        <f>IFERROR(__xludf.DUMMYFUNCTION("""COMPUTED_VALUE"""),"Providencia")</f>
        <v>Providencia</v>
      </c>
      <c r="F231" s="9" t="str">
        <f>IFERROR(__xludf.DUMMYFUNCTION("""COMPUTED_VALUE"""),"Santiago")</f>
        <v>Santiago</v>
      </c>
      <c r="G231" s="9" t="str">
        <f>IFERROR(__xludf.DUMMYFUNCTION("""COMPUTED_VALUE"""),"Región Metropolitana")</f>
        <v>Región Metropolitana</v>
      </c>
      <c r="H231" s="10">
        <f>IFERROR(__xludf.DUMMYFUNCTION("""COMPUTED_VALUE"""),8650000.0)</f>
        <v>8650000</v>
      </c>
    </row>
    <row r="232">
      <c r="A232" s="9" t="str">
        <f>IFERROR(__xludf.DUMMYFUNCTION("""COMPUTED_VALUE"""),"CLI-0823")</f>
        <v>CLI-0823</v>
      </c>
      <c r="B232" s="9" t="str">
        <f>IFERROR(__xludf.DUMMYFUNCTION("""COMPUTED_VALUE"""),"13.182.612-K")</f>
        <v>13.182.612-K</v>
      </c>
      <c r="C232" s="9" t="str">
        <f>IFERROR(__xludf.DUMMYFUNCTION("""COMPUTED_VALUE"""),"Carolina Pérez Sepúlveda")</f>
        <v>Carolina Pérez Sepúlveda</v>
      </c>
      <c r="D232" s="9" t="str">
        <f>IFERROR(__xludf.DUMMYFUNCTION("""COMPUTED_VALUE"""),"car.pérez@empresa.cl")</f>
        <v>car.pérez@empresa.cl</v>
      </c>
      <c r="E232" s="9" t="str">
        <f>IFERROR(__xludf.DUMMYFUNCTION("""COMPUTED_VALUE"""),"Ñuñoa")</f>
        <v>Ñuñoa</v>
      </c>
      <c r="F232" s="9" t="str">
        <f>IFERROR(__xludf.DUMMYFUNCTION("""COMPUTED_VALUE"""),"Santiago")</f>
        <v>Santiago</v>
      </c>
      <c r="G232" s="9" t="str">
        <f>IFERROR(__xludf.DUMMYFUNCTION("""COMPUTED_VALUE"""),"Región Metropolitana")</f>
        <v>Región Metropolitana</v>
      </c>
      <c r="H232" s="10">
        <f>IFERROR(__xludf.DUMMYFUNCTION("""COMPUTED_VALUE"""),8610000.0)</f>
        <v>8610000</v>
      </c>
    </row>
    <row r="233">
      <c r="A233" s="9" t="str">
        <f>IFERROR(__xludf.DUMMYFUNCTION("""COMPUTED_VALUE"""),"CLI-0566")</f>
        <v>CLI-0566</v>
      </c>
      <c r="B233" s="9" t="str">
        <f>IFERROR(__xludf.DUMMYFUNCTION("""COMPUTED_VALUE"""),"18.519.776-2")</f>
        <v>18.519.776-2</v>
      </c>
      <c r="C233" s="9" t="str">
        <f>IFERROR(__xludf.DUMMYFUNCTION("""COMPUTED_VALUE"""),"Ignacio Araya Rojas")</f>
        <v>Ignacio Araya Rojas</v>
      </c>
      <c r="D233" s="9" t="str">
        <f>IFERROR(__xludf.DUMMYFUNCTION("""COMPUTED_VALUE"""),"ign.araya@servicios.cl")</f>
        <v>ign.araya@servicios.cl</v>
      </c>
      <c r="E233" s="9" t="str">
        <f>IFERROR(__xludf.DUMMYFUNCTION("""COMPUTED_VALUE"""),"Providencia")</f>
        <v>Providencia</v>
      </c>
      <c r="F233" s="9" t="str">
        <f>IFERROR(__xludf.DUMMYFUNCTION("""COMPUTED_VALUE"""),"Santiago")</f>
        <v>Santiago</v>
      </c>
      <c r="G233" s="9" t="str">
        <f>IFERROR(__xludf.DUMMYFUNCTION("""COMPUTED_VALUE"""),"Región Metropolitana")</f>
        <v>Región Metropolitana</v>
      </c>
      <c r="H233" s="10">
        <f>IFERROR(__xludf.DUMMYFUNCTION("""COMPUTED_VALUE"""),8600000.0)</f>
        <v>8600000</v>
      </c>
    </row>
    <row r="234">
      <c r="A234" s="9" t="str">
        <f>IFERROR(__xludf.DUMMYFUNCTION("""COMPUTED_VALUE"""),"CLI-0871")</f>
        <v>CLI-0871</v>
      </c>
      <c r="B234" s="9" t="str">
        <f>IFERROR(__xludf.DUMMYFUNCTION("""COMPUTED_VALUE"""),"19.492.163-0")</f>
        <v>19.492.163-0</v>
      </c>
      <c r="C234" s="9" t="str">
        <f>IFERROR(__xludf.DUMMYFUNCTION("""COMPUTED_VALUE"""),"Macarena Soto Rodríguez")</f>
        <v>Macarena Soto Rodríguez</v>
      </c>
      <c r="D234" s="9" t="str">
        <f>IFERROR(__xludf.DUMMYFUNCTION("""COMPUTED_VALUE"""),"mac.soto@empresa.cl")</f>
        <v>mac.soto@empresa.cl</v>
      </c>
      <c r="E234" s="9" t="str">
        <f>IFERROR(__xludf.DUMMYFUNCTION("""COMPUTED_VALUE"""),"Maipú")</f>
        <v>Maipú</v>
      </c>
      <c r="F234" s="9" t="str">
        <f>IFERROR(__xludf.DUMMYFUNCTION("""COMPUTED_VALUE"""),"Santiago")</f>
        <v>Santiago</v>
      </c>
      <c r="G234" s="9" t="str">
        <f>IFERROR(__xludf.DUMMYFUNCTION("""COMPUTED_VALUE"""),"Región Metropolitana")</f>
        <v>Región Metropolitana</v>
      </c>
      <c r="H234" s="10">
        <f>IFERROR(__xludf.DUMMYFUNCTION("""COMPUTED_VALUE"""),8380000.0)</f>
        <v>8380000</v>
      </c>
    </row>
    <row r="235">
      <c r="A235" s="9" t="str">
        <f>IFERROR(__xludf.DUMMYFUNCTION("""COMPUTED_VALUE"""),"CLI-0367")</f>
        <v>CLI-0367</v>
      </c>
      <c r="B235" s="9" t="str">
        <f>IFERROR(__xludf.DUMMYFUNCTION("""COMPUTED_VALUE"""),"18892472-7")</f>
        <v>18892472-7</v>
      </c>
      <c r="C235" s="9" t="str">
        <f>IFERROR(__xludf.DUMMYFUNCTION("""COMPUTED_VALUE"""),"Carolina Sepúlveda Araya")</f>
        <v>Carolina Sepúlveda Araya</v>
      </c>
      <c r="D235" s="9" t="str">
        <f>IFERROR(__xludf.DUMMYFUNCTION("""COMPUTED_VALUE"""),"car.sepúlveda@sura.cl")</f>
        <v>car.sepúlveda@sura.cl</v>
      </c>
      <c r="E235" s="9" t="str">
        <f>IFERROR(__xludf.DUMMYFUNCTION("""COMPUTED_VALUE"""),"Providencia")</f>
        <v>Providencia</v>
      </c>
      <c r="F235" s="9" t="str">
        <f>IFERROR(__xludf.DUMMYFUNCTION("""COMPUTED_VALUE"""),"Santiago")</f>
        <v>Santiago</v>
      </c>
      <c r="G235" s="9" t="str">
        <f>IFERROR(__xludf.DUMMYFUNCTION("""COMPUTED_VALUE"""),"Región Metropolitana")</f>
        <v>Región Metropolitana</v>
      </c>
      <c r="H235" s="10">
        <f>IFERROR(__xludf.DUMMYFUNCTION("""COMPUTED_VALUE"""),8320000.0)</f>
        <v>8320000</v>
      </c>
    </row>
    <row r="236">
      <c r="A236" s="9" t="str">
        <f>IFERROR(__xludf.DUMMYFUNCTION("""COMPUTED_VALUE"""),"CLI-0219")</f>
        <v>CLI-0219</v>
      </c>
      <c r="B236" s="9" t="str">
        <f>IFERROR(__xludf.DUMMYFUNCTION("""COMPUTED_VALUE"""),"17610948-8")</f>
        <v>17610948-8</v>
      </c>
      <c r="C236" s="9" t="str">
        <f>IFERROR(__xludf.DUMMYFUNCTION("""COMPUTED_VALUE"""),"Sofia Silva Morales")</f>
        <v>Sofia Silva Morales</v>
      </c>
      <c r="D236" s="9" t="str">
        <f>IFERROR(__xludf.DUMMYFUNCTION("""COMPUTED_VALUE"""),"sof.silva@servicios.cl")</f>
        <v>sof.silva@servicios.cl</v>
      </c>
      <c r="E236" s="9" t="str">
        <f>IFERROR(__xludf.DUMMYFUNCTION("""COMPUTED_VALUE"""),"Santiago Centro")</f>
        <v>Santiago Centro</v>
      </c>
      <c r="F236" s="9" t="str">
        <f>IFERROR(__xludf.DUMMYFUNCTION("""COMPUTED_VALUE"""),"Santiago")</f>
        <v>Santiago</v>
      </c>
      <c r="G236" s="9" t="str">
        <f>IFERROR(__xludf.DUMMYFUNCTION("""COMPUTED_VALUE"""),"Región Metropolitana")</f>
        <v>Región Metropolitana</v>
      </c>
      <c r="H236" s="10">
        <f>IFERROR(__xludf.DUMMYFUNCTION("""COMPUTED_VALUE"""),8320000.0)</f>
        <v>8320000</v>
      </c>
    </row>
    <row r="237">
      <c r="A237" s="9" t="str">
        <f>IFERROR(__xludf.DUMMYFUNCTION("""COMPUTED_VALUE"""),"CLI-0494")</f>
        <v>CLI-0494</v>
      </c>
      <c r="B237" s="9" t="str">
        <f>IFERROR(__xludf.DUMMYFUNCTION("""COMPUTED_VALUE"""),"12.587.011-9")</f>
        <v>12.587.011-9</v>
      </c>
      <c r="C237" s="9" t="str">
        <f>IFERROR(__xludf.DUMMYFUNCTION("""COMPUTED_VALUE"""),"Javier Araya Pérez")</f>
        <v>Javier Araya Pérez</v>
      </c>
      <c r="D237" s="9" t="str">
        <f>IFERROR(__xludf.DUMMYFUNCTION("""COMPUTED_VALUE"""),"jav.araya@sura.cl")</f>
        <v>jav.araya@sura.cl</v>
      </c>
      <c r="E237" s="9" t="str">
        <f>IFERROR(__xludf.DUMMYFUNCTION("""COMPUTED_VALUE"""),"Las Condes")</f>
        <v>Las Condes</v>
      </c>
      <c r="F237" s="9" t="str">
        <f>IFERROR(__xludf.DUMMYFUNCTION("""COMPUTED_VALUE"""),"Santiago")</f>
        <v>Santiago</v>
      </c>
      <c r="G237" s="9" t="str">
        <f>IFERROR(__xludf.DUMMYFUNCTION("""COMPUTED_VALUE"""),"Región Metropolitana")</f>
        <v>Región Metropolitana</v>
      </c>
      <c r="H237" s="10">
        <f>IFERROR(__xludf.DUMMYFUNCTION("""COMPUTED_VALUE"""),8170000.0)</f>
        <v>8170000</v>
      </c>
    </row>
    <row r="238">
      <c r="A238" s="9" t="str">
        <f>IFERROR(__xludf.DUMMYFUNCTION("""COMPUTED_VALUE"""),"CLI-0254")</f>
        <v>CLI-0254</v>
      </c>
      <c r="B238" s="9" t="str">
        <f>IFERROR(__xludf.DUMMYFUNCTION("""COMPUTED_VALUE"""),"13.329.525-0")</f>
        <v>13.329.525-0</v>
      </c>
      <c r="C238" s="9" t="str">
        <f>IFERROR(__xludf.DUMMYFUNCTION("""COMPUTED_VALUE"""),"Cristián Tapia Vergara")</f>
        <v>Cristián Tapia Vergara</v>
      </c>
      <c r="D238" s="9" t="str">
        <f>IFERROR(__xludf.DUMMYFUNCTION("""COMPUTED_VALUE"""),"cri.tapia@sura.cl")</f>
        <v>cri.tapia@sura.cl</v>
      </c>
      <c r="E238" s="9" t="str">
        <f>IFERROR(__xludf.DUMMYFUNCTION("""COMPUTED_VALUE"""),"Santiago Centro")</f>
        <v>Santiago Centro</v>
      </c>
      <c r="F238" s="9" t="str">
        <f>IFERROR(__xludf.DUMMYFUNCTION("""COMPUTED_VALUE"""),"Santiago")</f>
        <v>Santiago</v>
      </c>
      <c r="G238" s="9" t="str">
        <f>IFERROR(__xludf.DUMMYFUNCTION("""COMPUTED_VALUE"""),"Región Metropolitana")</f>
        <v>Región Metropolitana</v>
      </c>
      <c r="H238" s="10">
        <f>IFERROR(__xludf.DUMMYFUNCTION("""COMPUTED_VALUE"""),8140000.0)</f>
        <v>8140000</v>
      </c>
    </row>
    <row r="239">
      <c r="A239" s="9" t="str">
        <f>IFERROR(__xludf.DUMMYFUNCTION("""COMPUTED_VALUE"""),"CLI-0162")</f>
        <v>CLI-0162</v>
      </c>
      <c r="B239" s="9" t="str">
        <f>IFERROR(__xludf.DUMMYFUNCTION("""COMPUTED_VALUE"""),"18.733.998-0")</f>
        <v>18.733.998-0</v>
      </c>
      <c r="C239" s="9" t="str">
        <f>IFERROR(__xludf.DUMMYFUNCTION("""COMPUTED_VALUE"""),"Claudio Rojas Araya")</f>
        <v>Claudio Rojas Araya</v>
      </c>
      <c r="D239" s="9" t="str">
        <f>IFERROR(__xludf.DUMMYFUNCTION("""COMPUTED_VALUE"""),"cla.rojas@servicios.cl")</f>
        <v>cla.rojas@servicios.cl</v>
      </c>
      <c r="E239" s="9" t="str">
        <f>IFERROR(__xludf.DUMMYFUNCTION("""COMPUTED_VALUE"""),"Maipú")</f>
        <v>Maipú</v>
      </c>
      <c r="F239" s="9" t="str">
        <f>IFERROR(__xludf.DUMMYFUNCTION("""COMPUTED_VALUE"""),"Santiago")</f>
        <v>Santiago</v>
      </c>
      <c r="G239" s="9" t="str">
        <f>IFERROR(__xludf.DUMMYFUNCTION("""COMPUTED_VALUE"""),"Región Metropolitana")</f>
        <v>Región Metropolitana</v>
      </c>
      <c r="H239" s="10">
        <f>IFERROR(__xludf.DUMMYFUNCTION("""COMPUTED_VALUE"""),8090000.0)</f>
        <v>8090000</v>
      </c>
    </row>
    <row r="240">
      <c r="A240" s="9" t="str">
        <f>IFERROR(__xludf.DUMMYFUNCTION("""COMPUTED_VALUE"""),"CLI-0512")</f>
        <v>CLI-0512</v>
      </c>
      <c r="B240" s="9" t="str">
        <f>IFERROR(__xludf.DUMMYFUNCTION("""COMPUTED_VALUE"""),"14.590.258-1")</f>
        <v>14.590.258-1</v>
      </c>
      <c r="C240" s="9" t="str">
        <f>IFERROR(__xludf.DUMMYFUNCTION("""COMPUTED_VALUE"""),"Javier Rojas Espinoza")</f>
        <v>Javier Rojas Espinoza</v>
      </c>
      <c r="D240" s="9" t="str">
        <f>IFERROR(__xludf.DUMMYFUNCTION("""COMPUTED_VALUE"""),"jav.rojas@empresa.cl")</f>
        <v>jav.rojas@empresa.cl</v>
      </c>
      <c r="E240" s="9" t="str">
        <f>IFERROR(__xludf.DUMMYFUNCTION("""COMPUTED_VALUE"""),"Santiago Centro")</f>
        <v>Santiago Centro</v>
      </c>
      <c r="F240" s="9" t="str">
        <f>IFERROR(__xludf.DUMMYFUNCTION("""COMPUTED_VALUE"""),"Santiago")</f>
        <v>Santiago</v>
      </c>
      <c r="G240" s="9" t="str">
        <f>IFERROR(__xludf.DUMMYFUNCTION("""COMPUTED_VALUE"""),"Región Metropolitana")</f>
        <v>Región Metropolitana</v>
      </c>
      <c r="H240" s="10">
        <f>IFERROR(__xludf.DUMMYFUNCTION("""COMPUTED_VALUE"""),7970000.0)</f>
        <v>7970000</v>
      </c>
    </row>
    <row r="241">
      <c r="A241" s="9" t="str">
        <f>IFERROR(__xludf.DUMMYFUNCTION("""COMPUTED_VALUE"""),"CLI-0914")</f>
        <v>CLI-0914</v>
      </c>
      <c r="B241" s="9" t="str">
        <f>IFERROR(__xludf.DUMMYFUNCTION("""COMPUTED_VALUE"""),"20693029-2")</f>
        <v>20693029-2</v>
      </c>
      <c r="C241" s="9" t="str">
        <f>IFERROR(__xludf.DUMMYFUNCTION("""COMPUTED_VALUE"""),"Mauricio Contreras Muñoz")</f>
        <v>Mauricio Contreras Muñoz</v>
      </c>
      <c r="D241" s="9" t="str">
        <f>IFERROR(__xludf.DUMMYFUNCTION("""COMPUTED_VALUE"""),"mau.contreras@empresa.cl")</f>
        <v>mau.contreras@empresa.cl</v>
      </c>
      <c r="E241" s="9" t="str">
        <f>IFERROR(__xludf.DUMMYFUNCTION("""COMPUTED_VALUE"""),"Providencia")</f>
        <v>Providencia</v>
      </c>
      <c r="F241" s="9" t="str">
        <f>IFERROR(__xludf.DUMMYFUNCTION("""COMPUTED_VALUE"""),"Santiago")</f>
        <v>Santiago</v>
      </c>
      <c r="G241" s="9" t="str">
        <f>IFERROR(__xludf.DUMMYFUNCTION("""COMPUTED_VALUE"""),"Región Metropolitana")</f>
        <v>Región Metropolitana</v>
      </c>
      <c r="H241" s="10">
        <f>IFERROR(__xludf.DUMMYFUNCTION("""COMPUTED_VALUE"""),7940000.0)</f>
        <v>7940000</v>
      </c>
    </row>
    <row r="242">
      <c r="A242" s="9" t="str">
        <f>IFERROR(__xludf.DUMMYFUNCTION("""COMPUTED_VALUE"""),"CLI-0715")</f>
        <v>CLI-0715</v>
      </c>
      <c r="B242" s="9" t="str">
        <f>IFERROR(__xludf.DUMMYFUNCTION("""COMPUTED_VALUE"""),"11.711.201-3")</f>
        <v>11.711.201-3</v>
      </c>
      <c r="C242" s="9" t="str">
        <f>IFERROR(__xludf.DUMMYFUNCTION("""COMPUTED_VALUE"""),"Catalina Sepúlveda Sepúlveda")</f>
        <v>Catalina Sepúlveda Sepúlveda</v>
      </c>
      <c r="D242" s="9" t="str">
        <f>IFERROR(__xludf.DUMMYFUNCTION("""COMPUTED_VALUE"""),"cat.sepúlveda@outlook.cl")</f>
        <v>cat.sepúlveda@outlook.cl</v>
      </c>
      <c r="E242" s="9" t="str">
        <f>IFERROR(__xludf.DUMMYFUNCTION("""COMPUTED_VALUE"""),"Ñuñoa")</f>
        <v>Ñuñoa</v>
      </c>
      <c r="F242" s="9" t="str">
        <f>IFERROR(__xludf.DUMMYFUNCTION("""COMPUTED_VALUE"""),"Santiago")</f>
        <v>Santiago</v>
      </c>
      <c r="G242" s="9" t="str">
        <f>IFERROR(__xludf.DUMMYFUNCTION("""COMPUTED_VALUE"""),"Región Metropolitana")</f>
        <v>Región Metropolitana</v>
      </c>
      <c r="H242" s="10">
        <f>IFERROR(__xludf.DUMMYFUNCTION("""COMPUTED_VALUE"""),7930000.0)</f>
        <v>7930000</v>
      </c>
    </row>
    <row r="243">
      <c r="A243" s="9" t="str">
        <f>IFERROR(__xludf.DUMMYFUNCTION("""COMPUTED_VALUE"""),"CLI-0450")</f>
        <v>CLI-0450</v>
      </c>
      <c r="B243" s="9" t="str">
        <f>IFERROR(__xludf.DUMMYFUNCTION("""COMPUTED_VALUE"""),"16327799-3")</f>
        <v>16327799-3</v>
      </c>
      <c r="C243" s="9" t="str">
        <f>IFERROR(__xludf.DUMMYFUNCTION("""COMPUTED_VALUE"""),"Sebastián Sepúlveda Rojas")</f>
        <v>Sebastián Sepúlveda Rojas</v>
      </c>
      <c r="D243" s="9" t="str">
        <f>IFERROR(__xludf.DUMMYFUNCTION("""COMPUTED_VALUE"""),"seb.sepúlveda@empresa.cl")</f>
        <v>seb.sepúlveda@empresa.cl</v>
      </c>
      <c r="E243" s="9" t="str">
        <f>IFERROR(__xludf.DUMMYFUNCTION("""COMPUTED_VALUE"""),"Ñuñoa")</f>
        <v>Ñuñoa</v>
      </c>
      <c r="F243" s="9" t="str">
        <f>IFERROR(__xludf.DUMMYFUNCTION("""COMPUTED_VALUE"""),"Santiago")</f>
        <v>Santiago</v>
      </c>
      <c r="G243" s="9" t="str">
        <f>IFERROR(__xludf.DUMMYFUNCTION("""COMPUTED_VALUE"""),"Región Metropolitana")</f>
        <v>Región Metropolitana</v>
      </c>
      <c r="H243" s="10">
        <f>IFERROR(__xludf.DUMMYFUNCTION("""COMPUTED_VALUE"""),7900000.0)</f>
        <v>7900000</v>
      </c>
    </row>
    <row r="244">
      <c r="A244" s="9" t="str">
        <f>IFERROR(__xludf.DUMMYFUNCTION("""COMPUTED_VALUE"""),"CLI-0890")</f>
        <v>CLI-0890</v>
      </c>
      <c r="B244" s="9" t="str">
        <f>IFERROR(__xludf.DUMMYFUNCTION("""COMPUTED_VALUE"""),"18108370-2")</f>
        <v>18108370-2</v>
      </c>
      <c r="C244" s="9" t="str">
        <f>IFERROR(__xludf.DUMMYFUNCTION("""COMPUTED_VALUE"""),"Diego Fuentes Rodríguez")</f>
        <v>Diego Fuentes Rodríguez</v>
      </c>
      <c r="D244" s="9" t="str">
        <f>IFERROR(__xludf.DUMMYFUNCTION("""COMPUTED_VALUE"""),"die.fuentes@empresa.cl")</f>
        <v>die.fuentes@empresa.cl</v>
      </c>
      <c r="E244" s="9" t="str">
        <f>IFERROR(__xludf.DUMMYFUNCTION("""COMPUTED_VALUE"""),"Las Condes")</f>
        <v>Las Condes</v>
      </c>
      <c r="F244" s="9" t="str">
        <f>IFERROR(__xludf.DUMMYFUNCTION("""COMPUTED_VALUE"""),"Santiago")</f>
        <v>Santiago</v>
      </c>
      <c r="G244" s="9" t="str">
        <f>IFERROR(__xludf.DUMMYFUNCTION("""COMPUTED_VALUE"""),"Región Metropolitana")</f>
        <v>Región Metropolitana</v>
      </c>
      <c r="H244" s="10">
        <f>IFERROR(__xludf.DUMMYFUNCTION("""COMPUTED_VALUE"""),7860000.0)</f>
        <v>7860000</v>
      </c>
    </row>
    <row r="245">
      <c r="A245" s="9" t="str">
        <f>IFERROR(__xludf.DUMMYFUNCTION("""COMPUTED_VALUE"""),"CLI-0759")</f>
        <v>CLI-0759</v>
      </c>
      <c r="B245" s="9" t="str">
        <f>IFERROR(__xludf.DUMMYFUNCTION("""COMPUTED_VALUE"""),"12923901-1")</f>
        <v>12923901-1</v>
      </c>
      <c r="C245" s="9" t="str">
        <f>IFERROR(__xludf.DUMMYFUNCTION("""COMPUTED_VALUE"""),"Carolina Rodríguez Espinoza")</f>
        <v>Carolina Rodríguez Espinoza</v>
      </c>
      <c r="D245" s="9" t="str">
        <f>IFERROR(__xludf.DUMMYFUNCTION("""COMPUTED_VALUE"""),"car.rodríguez@outlook.cl")</f>
        <v>car.rodríguez@outlook.cl</v>
      </c>
      <c r="E245" s="9" t="str">
        <f>IFERROR(__xludf.DUMMYFUNCTION("""COMPUTED_VALUE"""),"Las Condes")</f>
        <v>Las Condes</v>
      </c>
      <c r="F245" s="9" t="str">
        <f>IFERROR(__xludf.DUMMYFUNCTION("""COMPUTED_VALUE"""),"Santiago")</f>
        <v>Santiago</v>
      </c>
      <c r="G245" s="9" t="str">
        <f>IFERROR(__xludf.DUMMYFUNCTION("""COMPUTED_VALUE"""),"Región Metropolitana")</f>
        <v>Región Metropolitana</v>
      </c>
      <c r="H245" s="10">
        <f>IFERROR(__xludf.DUMMYFUNCTION("""COMPUTED_VALUE"""),7850000.0)</f>
        <v>7850000</v>
      </c>
    </row>
    <row r="246">
      <c r="A246" s="9" t="str">
        <f>IFERROR(__xludf.DUMMYFUNCTION("""COMPUTED_VALUE"""),"CLI-0360")</f>
        <v>CLI-0360</v>
      </c>
      <c r="B246" s="9" t="str">
        <f>IFERROR(__xludf.DUMMYFUNCTION("""COMPUTED_VALUE"""),"16.351.348-6")</f>
        <v>16.351.348-6</v>
      </c>
      <c r="C246" s="9" t="str">
        <f>IFERROR(__xludf.DUMMYFUNCTION("""COMPUTED_VALUE"""),"Javier Vergara Pérez")</f>
        <v>Javier Vergara Pérez</v>
      </c>
      <c r="D246" s="9" t="str">
        <f>IFERROR(__xludf.DUMMYFUNCTION("""COMPUTED_VALUE"""),"jav.vergara@consultora.cl")</f>
        <v>jav.vergara@consultora.cl</v>
      </c>
      <c r="E246" s="9" t="str">
        <f>IFERROR(__xludf.DUMMYFUNCTION("""COMPUTED_VALUE"""),"Santiago Centro")</f>
        <v>Santiago Centro</v>
      </c>
      <c r="F246" s="9" t="str">
        <f>IFERROR(__xludf.DUMMYFUNCTION("""COMPUTED_VALUE"""),"Santiago")</f>
        <v>Santiago</v>
      </c>
      <c r="G246" s="9" t="str">
        <f>IFERROR(__xludf.DUMMYFUNCTION("""COMPUTED_VALUE"""),"Región Metropolitana")</f>
        <v>Región Metropolitana</v>
      </c>
      <c r="H246" s="10">
        <f>IFERROR(__xludf.DUMMYFUNCTION("""COMPUTED_VALUE"""),7850000.0)</f>
        <v>7850000</v>
      </c>
    </row>
    <row r="247">
      <c r="A247" s="9" t="str">
        <f>IFERROR(__xludf.DUMMYFUNCTION("""COMPUTED_VALUE"""),"CLI-0852")</f>
        <v>CLI-0852</v>
      </c>
      <c r="B247" s="9" t="str">
        <f>IFERROR(__xludf.DUMMYFUNCTION("""COMPUTED_VALUE"""),"16635029-5")</f>
        <v>16635029-5</v>
      </c>
      <c r="C247" s="9" t="str">
        <f>IFERROR(__xludf.DUMMYFUNCTION("""COMPUTED_VALUE"""),"Javier Morales Sepúlveda")</f>
        <v>Javier Morales Sepúlveda</v>
      </c>
      <c r="D247" s="9" t="str">
        <f>IFERROR(__xludf.DUMMYFUNCTION("""COMPUTED_VALUE"""),"jav.morales@empresa.cl")</f>
        <v>jav.morales@empresa.cl</v>
      </c>
      <c r="E247" s="9" t="str">
        <f>IFERROR(__xludf.DUMMYFUNCTION("""COMPUTED_VALUE"""),"Maipú")</f>
        <v>Maipú</v>
      </c>
      <c r="F247" s="9" t="str">
        <f>IFERROR(__xludf.DUMMYFUNCTION("""COMPUTED_VALUE"""),"Santiago")</f>
        <v>Santiago</v>
      </c>
      <c r="G247" s="9" t="str">
        <f>IFERROR(__xludf.DUMMYFUNCTION("""COMPUTED_VALUE"""),"Región Metropolitana")</f>
        <v>Región Metropolitana</v>
      </c>
      <c r="H247" s="10">
        <f>IFERROR(__xludf.DUMMYFUNCTION("""COMPUTED_VALUE"""),7840000.0)</f>
        <v>7840000</v>
      </c>
    </row>
    <row r="248">
      <c r="A248" s="9" t="str">
        <f>IFERROR(__xludf.DUMMYFUNCTION("""COMPUTED_VALUE"""),"CLI-0136")</f>
        <v>CLI-0136</v>
      </c>
      <c r="B248" s="9" t="str">
        <f>IFERROR(__xludf.DUMMYFUNCTION("""COMPUTED_VALUE"""),"13.947.751-1")</f>
        <v>13.947.751-1</v>
      </c>
      <c r="C248" s="9" t="str">
        <f>IFERROR(__xludf.DUMMYFUNCTION("""COMPUTED_VALUE"""),"Ignacio Araya Pérez")</f>
        <v>Ignacio Araya Pérez</v>
      </c>
      <c r="D248" s="9" t="str">
        <f>IFERROR(__xludf.DUMMYFUNCTION("""COMPUTED_VALUE"""),"ign.araya@sura.cl")</f>
        <v>ign.araya@sura.cl</v>
      </c>
      <c r="E248" s="9" t="str">
        <f>IFERROR(__xludf.DUMMYFUNCTION("""COMPUTED_VALUE"""),"Santiago Centro")</f>
        <v>Santiago Centro</v>
      </c>
      <c r="F248" s="9" t="str">
        <f>IFERROR(__xludf.DUMMYFUNCTION("""COMPUTED_VALUE"""),"Santiago")</f>
        <v>Santiago</v>
      </c>
      <c r="G248" s="9" t="str">
        <f>IFERROR(__xludf.DUMMYFUNCTION("""COMPUTED_VALUE"""),"Región Metropolitana")</f>
        <v>Región Metropolitana</v>
      </c>
      <c r="H248" s="10">
        <f>IFERROR(__xludf.DUMMYFUNCTION("""COMPUTED_VALUE"""),7810000.0)</f>
        <v>7810000</v>
      </c>
    </row>
    <row r="249">
      <c r="A249" s="9" t="str">
        <f>IFERROR(__xludf.DUMMYFUNCTION("""COMPUTED_VALUE"""),"CLI-0140")</f>
        <v>CLI-0140</v>
      </c>
      <c r="B249" s="9" t="str">
        <f>IFERROR(__xludf.DUMMYFUNCTION("""COMPUTED_VALUE"""),"14.363.811-1")</f>
        <v>14.363.811-1</v>
      </c>
      <c r="C249" s="9" t="str">
        <f>IFERROR(__xludf.DUMMYFUNCTION("""COMPUTED_VALUE"""),"Cristián Muñoz Tapia")</f>
        <v>Cristián Muñoz Tapia</v>
      </c>
      <c r="D249" s="9" t="str">
        <f>IFERROR(__xludf.DUMMYFUNCTION("""COMPUTED_VALUE"""),"cri.muñoz@gmail.com")</f>
        <v>cri.muñoz@gmail.com</v>
      </c>
      <c r="E249" s="9" t="str">
        <f>IFERROR(__xludf.DUMMYFUNCTION("""COMPUTED_VALUE"""),"Ñuñoa")</f>
        <v>Ñuñoa</v>
      </c>
      <c r="F249" s="9" t="str">
        <f>IFERROR(__xludf.DUMMYFUNCTION("""COMPUTED_VALUE"""),"Santiago")</f>
        <v>Santiago</v>
      </c>
      <c r="G249" s="9" t="str">
        <f>IFERROR(__xludf.DUMMYFUNCTION("""COMPUTED_VALUE"""),"Región Metropolitana")</f>
        <v>Región Metropolitana</v>
      </c>
      <c r="H249" s="10">
        <f>IFERROR(__xludf.DUMMYFUNCTION("""COMPUTED_VALUE"""),7800000.0)</f>
        <v>7800000</v>
      </c>
    </row>
    <row r="250">
      <c r="A250" s="9" t="str">
        <f>IFERROR(__xludf.DUMMYFUNCTION("""COMPUTED_VALUE"""),"CLI-0049")</f>
        <v>CLI-0049</v>
      </c>
      <c r="B250" s="9" t="str">
        <f>IFERROR(__xludf.DUMMYFUNCTION("""COMPUTED_VALUE"""),"20.762.083-9")</f>
        <v>20.762.083-9</v>
      </c>
      <c r="C250" s="9" t="str">
        <f>IFERROR(__xludf.DUMMYFUNCTION("""COMPUTED_VALUE"""),"Macarena Rojas Silva")</f>
        <v>Macarena Rojas Silva</v>
      </c>
      <c r="D250" s="9" t="str">
        <f>IFERROR(__xludf.DUMMYFUNCTION("""COMPUTED_VALUE"""),"mac.rojas@sura.cl")</f>
        <v>mac.rojas@sura.cl</v>
      </c>
      <c r="E250" s="9" t="str">
        <f>IFERROR(__xludf.DUMMYFUNCTION("""COMPUTED_VALUE"""),"Las Condes")</f>
        <v>Las Condes</v>
      </c>
      <c r="F250" s="9" t="str">
        <f>IFERROR(__xludf.DUMMYFUNCTION("""COMPUTED_VALUE"""),"Santiago")</f>
        <v>Santiago</v>
      </c>
      <c r="G250" s="9" t="str">
        <f>IFERROR(__xludf.DUMMYFUNCTION("""COMPUTED_VALUE"""),"Región Metropolitana")</f>
        <v>Región Metropolitana</v>
      </c>
      <c r="H250" s="10">
        <f>IFERROR(__xludf.DUMMYFUNCTION("""COMPUTED_VALUE"""),7750000.0)</f>
        <v>7750000</v>
      </c>
    </row>
    <row r="251">
      <c r="A251" s="9" t="str">
        <f>IFERROR(__xludf.DUMMYFUNCTION("""COMPUTED_VALUE"""),"CLI-0521")</f>
        <v>CLI-0521</v>
      </c>
      <c r="B251" s="9" t="str">
        <f>IFERROR(__xludf.DUMMYFUNCTION("""COMPUTED_VALUE"""),"21.373.232-6")</f>
        <v>21.373.232-6</v>
      </c>
      <c r="C251" s="9" t="str">
        <f>IFERROR(__xludf.DUMMYFUNCTION("""COMPUTED_VALUE"""),"Marcela Pérez López")</f>
        <v>Marcela Pérez López</v>
      </c>
      <c r="D251" s="9" t="str">
        <f>IFERROR(__xludf.DUMMYFUNCTION("""COMPUTED_VALUE"""),"mar.pérez@sura.cl")</f>
        <v>mar.pérez@sura.cl</v>
      </c>
      <c r="E251" s="9" t="str">
        <f>IFERROR(__xludf.DUMMYFUNCTION("""COMPUTED_VALUE"""),"Providencia")</f>
        <v>Providencia</v>
      </c>
      <c r="F251" s="9" t="str">
        <f>IFERROR(__xludf.DUMMYFUNCTION("""COMPUTED_VALUE"""),"Santiago")</f>
        <v>Santiago</v>
      </c>
      <c r="G251" s="9" t="str">
        <f>IFERROR(__xludf.DUMMYFUNCTION("""COMPUTED_VALUE"""),"Región Metropolitana")</f>
        <v>Región Metropolitana</v>
      </c>
      <c r="H251" s="10">
        <f>IFERROR(__xludf.DUMMYFUNCTION("""COMPUTED_VALUE"""),7700000.0)</f>
        <v>7700000</v>
      </c>
    </row>
    <row r="252">
      <c r="A252" s="9" t="str">
        <f>IFERROR(__xludf.DUMMYFUNCTION("""COMPUTED_VALUE"""),"CLI-0520")</f>
        <v>CLI-0520</v>
      </c>
      <c r="B252" s="9" t="str">
        <f>IFERROR(__xludf.DUMMYFUNCTION("""COMPUTED_VALUE"""),"11.115.623-8")</f>
        <v>11.115.623-8</v>
      </c>
      <c r="C252" s="9" t="str">
        <f>IFERROR(__xludf.DUMMYFUNCTION("""COMPUTED_VALUE"""),"Mauricio Soto Pérez")</f>
        <v>Mauricio Soto Pérez</v>
      </c>
      <c r="D252" s="9" t="str">
        <f>IFERROR(__xludf.DUMMYFUNCTION("""COMPUTED_VALUE"""),"mau.soto@servicios.cl")</f>
        <v>mau.soto@servicios.cl</v>
      </c>
      <c r="E252" s="9" t="str">
        <f>IFERROR(__xludf.DUMMYFUNCTION("""COMPUTED_VALUE"""),"Las Condes")</f>
        <v>Las Condes</v>
      </c>
      <c r="F252" s="9" t="str">
        <f>IFERROR(__xludf.DUMMYFUNCTION("""COMPUTED_VALUE"""),"Santiago")</f>
        <v>Santiago</v>
      </c>
      <c r="G252" s="9" t="str">
        <f>IFERROR(__xludf.DUMMYFUNCTION("""COMPUTED_VALUE"""),"Región Metropolitana")</f>
        <v>Región Metropolitana</v>
      </c>
      <c r="H252" s="10">
        <f>IFERROR(__xludf.DUMMYFUNCTION("""COMPUTED_VALUE"""),7550000.0)</f>
        <v>7550000</v>
      </c>
    </row>
    <row r="253">
      <c r="A253" s="9" t="str">
        <f>IFERROR(__xludf.DUMMYFUNCTION("""COMPUTED_VALUE"""),"CLI-0097")</f>
        <v>CLI-0097</v>
      </c>
      <c r="B253" s="9" t="str">
        <f>IFERROR(__xludf.DUMMYFUNCTION("""COMPUTED_VALUE"""),"19.176.462-3")</f>
        <v>19.176.462-3</v>
      </c>
      <c r="C253" s="9" t="str">
        <f>IFERROR(__xludf.DUMMYFUNCTION("""COMPUTED_VALUE"""),"Francisca Araya López")</f>
        <v>Francisca Araya López</v>
      </c>
      <c r="D253" s="9" t="str">
        <f>IFERROR(__xludf.DUMMYFUNCTION("""COMPUTED_VALUE"""),"fra.araya@empresa.cl")</f>
        <v>fra.araya@empresa.cl</v>
      </c>
      <c r="E253" s="9" t="str">
        <f>IFERROR(__xludf.DUMMYFUNCTION("""COMPUTED_VALUE"""),"Maipú")</f>
        <v>Maipú</v>
      </c>
      <c r="F253" s="9" t="str">
        <f>IFERROR(__xludf.DUMMYFUNCTION("""COMPUTED_VALUE"""),"Santiago")</f>
        <v>Santiago</v>
      </c>
      <c r="G253" s="9" t="str">
        <f>IFERROR(__xludf.DUMMYFUNCTION("""COMPUTED_VALUE"""),"Región Metropolitana")</f>
        <v>Región Metropolitana</v>
      </c>
      <c r="H253" s="10">
        <f>IFERROR(__xludf.DUMMYFUNCTION("""COMPUTED_VALUE"""),7490000.0)</f>
        <v>7490000</v>
      </c>
    </row>
    <row r="254">
      <c r="A254" s="9" t="str">
        <f>IFERROR(__xludf.DUMMYFUNCTION("""COMPUTED_VALUE"""),"CLI-0842")</f>
        <v>CLI-0842</v>
      </c>
      <c r="B254" s="9" t="str">
        <f>IFERROR(__xludf.DUMMYFUNCTION("""COMPUTED_VALUE"""),"20.297.968-3")</f>
        <v>20.297.968-3</v>
      </c>
      <c r="C254" s="9" t="str">
        <f>IFERROR(__xludf.DUMMYFUNCTION("""COMPUTED_VALUE"""),"Álvaro Muñoz Sepúlveda")</f>
        <v>Álvaro Muñoz Sepúlveda</v>
      </c>
      <c r="D254" s="9" t="str">
        <f>IFERROR(__xludf.DUMMYFUNCTION("""COMPUTED_VALUE"""),"álv.muñoz@outlook.cl")</f>
        <v>álv.muñoz@outlook.cl</v>
      </c>
      <c r="E254" s="9" t="str">
        <f>IFERROR(__xludf.DUMMYFUNCTION("""COMPUTED_VALUE"""),"Las Condes")</f>
        <v>Las Condes</v>
      </c>
      <c r="F254" s="9" t="str">
        <f>IFERROR(__xludf.DUMMYFUNCTION("""COMPUTED_VALUE"""),"Santiago")</f>
        <v>Santiago</v>
      </c>
      <c r="G254" s="9" t="str">
        <f>IFERROR(__xludf.DUMMYFUNCTION("""COMPUTED_VALUE"""),"Región Metropolitana")</f>
        <v>Región Metropolitana</v>
      </c>
      <c r="H254" s="10">
        <f>IFERROR(__xludf.DUMMYFUNCTION("""COMPUTED_VALUE"""),7440000.0)</f>
        <v>7440000</v>
      </c>
    </row>
    <row r="255">
      <c r="A255" s="9" t="str">
        <f>IFERROR(__xludf.DUMMYFUNCTION("""COMPUTED_VALUE"""),"CLI-0419")</f>
        <v>CLI-0419</v>
      </c>
      <c r="B255" s="9" t="str">
        <f>IFERROR(__xludf.DUMMYFUNCTION("""COMPUTED_VALUE"""),"22.378.663-3")</f>
        <v>22.378.663-3</v>
      </c>
      <c r="C255" s="9" t="str">
        <f>IFERROR(__xludf.DUMMYFUNCTION("""COMPUTED_VALUE"""),"Javiera Díaz Rojas")</f>
        <v>Javiera Díaz Rojas</v>
      </c>
      <c r="D255" s="9" t="str">
        <f>IFERROR(__xludf.DUMMYFUNCTION("""COMPUTED_VALUE"""),"jav.díaz@consultora.cl")</f>
        <v>jav.díaz@consultora.cl</v>
      </c>
      <c r="E255" s="9" t="str">
        <f>IFERROR(__xludf.DUMMYFUNCTION("""COMPUTED_VALUE"""),"Ñuñoa")</f>
        <v>Ñuñoa</v>
      </c>
      <c r="F255" s="9" t="str">
        <f>IFERROR(__xludf.DUMMYFUNCTION("""COMPUTED_VALUE"""),"Santiago")</f>
        <v>Santiago</v>
      </c>
      <c r="G255" s="9" t="str">
        <f>IFERROR(__xludf.DUMMYFUNCTION("""COMPUTED_VALUE"""),"Región Metropolitana")</f>
        <v>Región Metropolitana</v>
      </c>
      <c r="H255" s="10">
        <f>IFERROR(__xludf.DUMMYFUNCTION("""COMPUTED_VALUE"""),7400000.0)</f>
        <v>7400000</v>
      </c>
    </row>
    <row r="256">
      <c r="A256" s="9" t="str">
        <f>IFERROR(__xludf.DUMMYFUNCTION("""COMPUTED_VALUE"""),"CLI-0904")</f>
        <v>CLI-0904</v>
      </c>
      <c r="B256" s="9" t="str">
        <f>IFERROR(__xludf.DUMMYFUNCTION("""COMPUTED_VALUE"""),"13.031.041-5")</f>
        <v>13.031.041-5</v>
      </c>
      <c r="C256" s="9" t="str">
        <f>IFERROR(__xludf.DUMMYFUNCTION("""COMPUTED_VALUE"""),"Gabriel Rojas Muñoz")</f>
        <v>Gabriel Rojas Muñoz</v>
      </c>
      <c r="D256" s="9" t="str">
        <f>IFERROR(__xludf.DUMMYFUNCTION("""COMPUTED_VALUE"""),"gab.rojas@servicios.cl")</f>
        <v>gab.rojas@servicios.cl</v>
      </c>
      <c r="E256" s="9" t="str">
        <f>IFERROR(__xludf.DUMMYFUNCTION("""COMPUTED_VALUE"""),"Maipú")</f>
        <v>Maipú</v>
      </c>
      <c r="F256" s="9" t="str">
        <f>IFERROR(__xludf.DUMMYFUNCTION("""COMPUTED_VALUE"""),"Santiago")</f>
        <v>Santiago</v>
      </c>
      <c r="G256" s="9" t="str">
        <f>IFERROR(__xludf.DUMMYFUNCTION("""COMPUTED_VALUE"""),"Región Metropolitana")</f>
        <v>Región Metropolitana</v>
      </c>
      <c r="H256" s="10">
        <f>IFERROR(__xludf.DUMMYFUNCTION("""COMPUTED_VALUE"""),7390000.0)</f>
        <v>7390000</v>
      </c>
    </row>
    <row r="257">
      <c r="A257" s="9" t="str">
        <f>IFERROR(__xludf.DUMMYFUNCTION("""COMPUTED_VALUE"""),"CLI-0329")</f>
        <v>CLI-0329</v>
      </c>
      <c r="B257" s="9" t="str">
        <f>IFERROR(__xludf.DUMMYFUNCTION("""COMPUTED_VALUE"""),"22.143.256-0")</f>
        <v>22.143.256-0</v>
      </c>
      <c r="C257" s="9" t="str">
        <f>IFERROR(__xludf.DUMMYFUNCTION("""COMPUTED_VALUE"""),"Carolina Silva Fuentes")</f>
        <v>Carolina Silva Fuentes</v>
      </c>
      <c r="D257" s="9" t="str">
        <f>IFERROR(__xludf.DUMMYFUNCTION("""COMPUTED_VALUE"""),"car.silva@empresa.cl")</f>
        <v>car.silva@empresa.cl</v>
      </c>
      <c r="E257" s="9" t="str">
        <f>IFERROR(__xludf.DUMMYFUNCTION("""COMPUTED_VALUE"""),"Providencia")</f>
        <v>Providencia</v>
      </c>
      <c r="F257" s="9" t="str">
        <f>IFERROR(__xludf.DUMMYFUNCTION("""COMPUTED_VALUE"""),"Santiago")</f>
        <v>Santiago</v>
      </c>
      <c r="G257" s="9" t="str">
        <f>IFERROR(__xludf.DUMMYFUNCTION("""COMPUTED_VALUE"""),"Región Metropolitana")</f>
        <v>Región Metropolitana</v>
      </c>
      <c r="H257" s="10">
        <f>IFERROR(__xludf.DUMMYFUNCTION("""COMPUTED_VALUE"""),7360000.0)</f>
        <v>7360000</v>
      </c>
    </row>
    <row r="258">
      <c r="A258" s="9" t="str">
        <f>IFERROR(__xludf.DUMMYFUNCTION("""COMPUTED_VALUE"""),"CLI-0411")</f>
        <v>CLI-0411</v>
      </c>
      <c r="B258" s="9" t="str">
        <f>IFERROR(__xludf.DUMMYFUNCTION("""COMPUTED_VALUE"""),"12.693.162-2")</f>
        <v>12.693.162-2</v>
      </c>
      <c r="C258" s="9" t="str">
        <f>IFERROR(__xludf.DUMMYFUNCTION("""COMPUTED_VALUE"""),"Camila Espinoza Sepúlveda")</f>
        <v>Camila Espinoza Sepúlveda</v>
      </c>
      <c r="D258" s="9" t="str">
        <f>IFERROR(__xludf.DUMMYFUNCTION("""COMPUTED_VALUE"""),"cam.espinoza@outlook.cl")</f>
        <v>cam.espinoza@outlook.cl</v>
      </c>
      <c r="E258" s="9" t="str">
        <f>IFERROR(__xludf.DUMMYFUNCTION("""COMPUTED_VALUE"""),"Maipú")</f>
        <v>Maipú</v>
      </c>
      <c r="F258" s="9" t="str">
        <f>IFERROR(__xludf.DUMMYFUNCTION("""COMPUTED_VALUE"""),"Santiago")</f>
        <v>Santiago</v>
      </c>
      <c r="G258" s="9" t="str">
        <f>IFERROR(__xludf.DUMMYFUNCTION("""COMPUTED_VALUE"""),"Región Metropolitana")</f>
        <v>Región Metropolitana</v>
      </c>
      <c r="H258" s="10">
        <f>IFERROR(__xludf.DUMMYFUNCTION("""COMPUTED_VALUE"""),7330000.0)</f>
        <v>7330000</v>
      </c>
    </row>
    <row r="259">
      <c r="A259" s="9" t="str">
        <f>IFERROR(__xludf.DUMMYFUNCTION("""COMPUTED_VALUE"""),"CLI-0306")</f>
        <v>CLI-0306</v>
      </c>
      <c r="B259" s="9" t="str">
        <f>IFERROR(__xludf.DUMMYFUNCTION("""COMPUTED_VALUE"""),"11.565.633-2")</f>
        <v>11.565.633-2</v>
      </c>
      <c r="C259" s="9" t="str">
        <f>IFERROR(__xludf.DUMMYFUNCTION("""COMPUTED_VALUE"""),"Gonzalo Rojas Soto")</f>
        <v>Gonzalo Rojas Soto</v>
      </c>
      <c r="D259" s="9" t="str">
        <f>IFERROR(__xludf.DUMMYFUNCTION("""COMPUTED_VALUE"""),"gon.rojas@sura.cl")</f>
        <v>gon.rojas@sura.cl</v>
      </c>
      <c r="E259" s="9" t="str">
        <f>IFERROR(__xludf.DUMMYFUNCTION("""COMPUTED_VALUE"""),"Santiago Centro")</f>
        <v>Santiago Centro</v>
      </c>
      <c r="F259" s="9" t="str">
        <f>IFERROR(__xludf.DUMMYFUNCTION("""COMPUTED_VALUE"""),"Santiago")</f>
        <v>Santiago</v>
      </c>
      <c r="G259" s="9" t="str">
        <f>IFERROR(__xludf.DUMMYFUNCTION("""COMPUTED_VALUE"""),"Región Metropolitana")</f>
        <v>Región Metropolitana</v>
      </c>
      <c r="H259" s="10">
        <f>IFERROR(__xludf.DUMMYFUNCTION("""COMPUTED_VALUE"""),7240000.0)</f>
        <v>7240000</v>
      </c>
    </row>
    <row r="260">
      <c r="A260" s="9" t="str">
        <f>IFERROR(__xludf.DUMMYFUNCTION("""COMPUTED_VALUE"""),"CLI-0429")</f>
        <v>CLI-0429</v>
      </c>
      <c r="B260" s="9" t="str">
        <f>IFERROR(__xludf.DUMMYFUNCTION("""COMPUTED_VALUE"""),"14.609.386-4")</f>
        <v>14.609.386-4</v>
      </c>
      <c r="C260" s="9" t="str">
        <f>IFERROR(__xludf.DUMMYFUNCTION("""COMPUTED_VALUE"""),"Francisca Silva Espinoza")</f>
        <v>Francisca Silva Espinoza</v>
      </c>
      <c r="D260" s="9" t="str">
        <f>IFERROR(__xludf.DUMMYFUNCTION("""COMPUTED_VALUE"""),"fra.silva@outlook.cl")</f>
        <v>fra.silva@outlook.cl</v>
      </c>
      <c r="E260" s="9" t="str">
        <f>IFERROR(__xludf.DUMMYFUNCTION("""COMPUTED_VALUE"""),"Las Condes")</f>
        <v>Las Condes</v>
      </c>
      <c r="F260" s="9" t="str">
        <f>IFERROR(__xludf.DUMMYFUNCTION("""COMPUTED_VALUE"""),"Santiago")</f>
        <v>Santiago</v>
      </c>
      <c r="G260" s="9" t="str">
        <f>IFERROR(__xludf.DUMMYFUNCTION("""COMPUTED_VALUE"""),"Región Metropolitana")</f>
        <v>Región Metropolitana</v>
      </c>
      <c r="H260" s="10">
        <f>IFERROR(__xludf.DUMMYFUNCTION("""COMPUTED_VALUE"""),7220000.0)</f>
        <v>7220000</v>
      </c>
    </row>
    <row r="261">
      <c r="A261" s="9" t="str">
        <f>IFERROR(__xludf.DUMMYFUNCTION("""COMPUTED_VALUE"""),"CLI-0905")</f>
        <v>CLI-0905</v>
      </c>
      <c r="B261" s="9" t="str">
        <f>IFERROR(__xludf.DUMMYFUNCTION("""COMPUTED_VALUE"""),"12.432.984-4")</f>
        <v>12.432.984-4</v>
      </c>
      <c r="C261" s="9" t="str">
        <f>IFERROR(__xludf.DUMMYFUNCTION("""COMPUTED_VALUE"""),"Carolina Soto Tapia")</f>
        <v>Carolina Soto Tapia</v>
      </c>
      <c r="D261" s="9" t="str">
        <f>IFERROR(__xludf.DUMMYFUNCTION("""COMPUTED_VALUE"""),"car.soto@sura.cl")</f>
        <v>car.soto@sura.cl</v>
      </c>
      <c r="E261" s="9" t="str">
        <f>IFERROR(__xludf.DUMMYFUNCTION("""COMPUTED_VALUE"""),"Santiago Centro")</f>
        <v>Santiago Centro</v>
      </c>
      <c r="F261" s="9" t="str">
        <f>IFERROR(__xludf.DUMMYFUNCTION("""COMPUTED_VALUE"""),"Santiago")</f>
        <v>Santiago</v>
      </c>
      <c r="G261" s="9" t="str">
        <f>IFERROR(__xludf.DUMMYFUNCTION("""COMPUTED_VALUE"""),"Región Metropolitana")</f>
        <v>Región Metropolitana</v>
      </c>
      <c r="H261" s="10">
        <f>IFERROR(__xludf.DUMMYFUNCTION("""COMPUTED_VALUE"""),7200000.0)</f>
        <v>7200000</v>
      </c>
    </row>
    <row r="262">
      <c r="A262" s="9" t="str">
        <f>IFERROR(__xludf.DUMMYFUNCTION("""COMPUTED_VALUE"""),"CLI-0648")</f>
        <v>CLI-0648</v>
      </c>
      <c r="B262" s="9" t="str">
        <f>IFERROR(__xludf.DUMMYFUNCTION("""COMPUTED_VALUE"""),"14.557.496-K")</f>
        <v>14.557.496-K</v>
      </c>
      <c r="C262" s="9" t="str">
        <f>IFERROR(__xludf.DUMMYFUNCTION("""COMPUTED_VALUE"""),"Hernán Rodríguez Contreras")</f>
        <v>Hernán Rodríguez Contreras</v>
      </c>
      <c r="D262" s="9" t="str">
        <f>IFERROR(__xludf.DUMMYFUNCTION("""COMPUTED_VALUE"""),"her.rodríguez@consultora.cl")</f>
        <v>her.rodríguez@consultora.cl</v>
      </c>
      <c r="E262" s="9" t="str">
        <f>IFERROR(__xludf.DUMMYFUNCTION("""COMPUTED_VALUE"""),"Providencia")</f>
        <v>Providencia</v>
      </c>
      <c r="F262" s="9" t="str">
        <f>IFERROR(__xludf.DUMMYFUNCTION("""COMPUTED_VALUE"""),"Santiago")</f>
        <v>Santiago</v>
      </c>
      <c r="G262" s="9" t="str">
        <f>IFERROR(__xludf.DUMMYFUNCTION("""COMPUTED_VALUE"""),"Región Metropolitana")</f>
        <v>Región Metropolitana</v>
      </c>
      <c r="H262" s="10">
        <f>IFERROR(__xludf.DUMMYFUNCTION("""COMPUTED_VALUE"""),7050000.0)</f>
        <v>7050000</v>
      </c>
    </row>
    <row r="263">
      <c r="A263" s="9" t="str">
        <f>IFERROR(__xludf.DUMMYFUNCTION("""COMPUTED_VALUE"""),"CLI-0581")</f>
        <v>CLI-0581</v>
      </c>
      <c r="B263" s="9" t="str">
        <f>IFERROR(__xludf.DUMMYFUNCTION("""COMPUTED_VALUE"""),"17.882.605-5")</f>
        <v>17.882.605-5</v>
      </c>
      <c r="C263" s="9" t="str">
        <f>IFERROR(__xludf.DUMMYFUNCTION("""COMPUTED_VALUE"""),"Francisca Pérez Valenzuela")</f>
        <v>Francisca Pérez Valenzuela</v>
      </c>
      <c r="D263" s="9" t="str">
        <f>IFERROR(__xludf.DUMMYFUNCTION("""COMPUTED_VALUE"""),"fra.pérez@consultora.cl")</f>
        <v>fra.pérez@consultora.cl</v>
      </c>
      <c r="E263" s="9" t="str">
        <f>IFERROR(__xludf.DUMMYFUNCTION("""COMPUTED_VALUE"""),"Las Condes")</f>
        <v>Las Condes</v>
      </c>
      <c r="F263" s="9" t="str">
        <f>IFERROR(__xludf.DUMMYFUNCTION("""COMPUTED_VALUE"""),"Santiago")</f>
        <v>Santiago</v>
      </c>
      <c r="G263" s="9" t="str">
        <f>IFERROR(__xludf.DUMMYFUNCTION("""COMPUTED_VALUE"""),"Región Metropolitana")</f>
        <v>Región Metropolitana</v>
      </c>
      <c r="H263" s="10">
        <f>IFERROR(__xludf.DUMMYFUNCTION("""COMPUTED_VALUE"""),7040000.0)</f>
        <v>7040000</v>
      </c>
    </row>
    <row r="264">
      <c r="A264" s="9" t="str">
        <f>IFERROR(__xludf.DUMMYFUNCTION("""COMPUTED_VALUE"""),"CLI-0365")</f>
        <v>CLI-0365</v>
      </c>
      <c r="B264" s="9" t="str">
        <f>IFERROR(__xludf.DUMMYFUNCTION("""COMPUTED_VALUE"""),"22.471.805-K")</f>
        <v>22.471.805-K</v>
      </c>
      <c r="C264" s="9" t="str">
        <f>IFERROR(__xludf.DUMMYFUNCTION("""COMPUTED_VALUE"""),"Carolina Silva Rodríguez")</f>
        <v>Carolina Silva Rodríguez</v>
      </c>
      <c r="D264" s="9" t="str">
        <f>IFERROR(__xludf.DUMMYFUNCTION("""COMPUTED_VALUE"""),"car.silva@consultora.cl")</f>
        <v>car.silva@consultora.cl</v>
      </c>
      <c r="E264" s="9" t="str">
        <f>IFERROR(__xludf.DUMMYFUNCTION("""COMPUTED_VALUE"""),"Providencia")</f>
        <v>Providencia</v>
      </c>
      <c r="F264" s="9" t="str">
        <f>IFERROR(__xludf.DUMMYFUNCTION("""COMPUTED_VALUE"""),"Santiago")</f>
        <v>Santiago</v>
      </c>
      <c r="G264" s="9" t="str">
        <f>IFERROR(__xludf.DUMMYFUNCTION("""COMPUTED_VALUE"""),"Región Metropolitana")</f>
        <v>Región Metropolitana</v>
      </c>
      <c r="H264" s="10">
        <f>IFERROR(__xludf.DUMMYFUNCTION("""COMPUTED_VALUE"""),6910000.0)</f>
        <v>6910000</v>
      </c>
    </row>
    <row r="265">
      <c r="A265" s="9" t="str">
        <f>IFERROR(__xludf.DUMMYFUNCTION("""COMPUTED_VALUE"""),"CLI-0280")</f>
        <v>CLI-0280</v>
      </c>
      <c r="B265" s="9" t="str">
        <f>IFERROR(__xludf.DUMMYFUNCTION("""COMPUTED_VALUE"""),"16396429-1")</f>
        <v>16396429-1</v>
      </c>
      <c r="C265" s="9" t="str">
        <f>IFERROR(__xludf.DUMMYFUNCTION("""COMPUTED_VALUE"""),"Diego Silva Espinoza")</f>
        <v>Diego Silva Espinoza</v>
      </c>
      <c r="D265" s="9" t="str">
        <f>IFERROR(__xludf.DUMMYFUNCTION("""COMPUTED_VALUE"""),"die.silva@empresa.cl")</f>
        <v>die.silva@empresa.cl</v>
      </c>
      <c r="E265" s="9" t="str">
        <f>IFERROR(__xludf.DUMMYFUNCTION("""COMPUTED_VALUE"""),"Las Condes")</f>
        <v>Las Condes</v>
      </c>
      <c r="F265" s="9" t="str">
        <f>IFERROR(__xludf.DUMMYFUNCTION("""COMPUTED_VALUE"""),"Santiago")</f>
        <v>Santiago</v>
      </c>
      <c r="G265" s="9" t="str">
        <f>IFERROR(__xludf.DUMMYFUNCTION("""COMPUTED_VALUE"""),"Región Metropolitana")</f>
        <v>Región Metropolitana</v>
      </c>
      <c r="H265" s="10">
        <f>IFERROR(__xludf.DUMMYFUNCTION("""COMPUTED_VALUE"""),6900000.0)</f>
        <v>6900000</v>
      </c>
    </row>
    <row r="266">
      <c r="A266" s="9" t="str">
        <f>IFERROR(__xludf.DUMMYFUNCTION("""COMPUTED_VALUE"""),"CLI-0608")</f>
        <v>CLI-0608</v>
      </c>
      <c r="B266" s="9" t="str">
        <f>IFERROR(__xludf.DUMMYFUNCTION("""COMPUTED_VALUE"""),"14857626-1")</f>
        <v>14857626-1</v>
      </c>
      <c r="C266" s="9" t="str">
        <f>IFERROR(__xludf.DUMMYFUNCTION("""COMPUTED_VALUE"""),"Gabriel Silva Espinoza")</f>
        <v>Gabriel Silva Espinoza</v>
      </c>
      <c r="D266" s="9" t="str">
        <f>IFERROR(__xludf.DUMMYFUNCTION("""COMPUTED_VALUE"""),"gab.silva@empresa.cl")</f>
        <v>gab.silva@empresa.cl</v>
      </c>
      <c r="E266" s="9" t="str">
        <f>IFERROR(__xludf.DUMMYFUNCTION("""COMPUTED_VALUE"""),"Maipú")</f>
        <v>Maipú</v>
      </c>
      <c r="F266" s="9" t="str">
        <f>IFERROR(__xludf.DUMMYFUNCTION("""COMPUTED_VALUE"""),"Santiago")</f>
        <v>Santiago</v>
      </c>
      <c r="G266" s="9" t="str">
        <f>IFERROR(__xludf.DUMMYFUNCTION("""COMPUTED_VALUE"""),"Región Metropolitana")</f>
        <v>Región Metropolitana</v>
      </c>
      <c r="H266" s="10">
        <f>IFERROR(__xludf.DUMMYFUNCTION("""COMPUTED_VALUE"""),6900000.0)</f>
        <v>6900000</v>
      </c>
    </row>
    <row r="267">
      <c r="A267" s="9" t="str">
        <f>IFERROR(__xludf.DUMMYFUNCTION("""COMPUTED_VALUE"""),"CLI-0466")</f>
        <v>CLI-0466</v>
      </c>
      <c r="B267" s="9" t="str">
        <f>IFERROR(__xludf.DUMMYFUNCTION("""COMPUTED_VALUE"""),"19.767.846-K")</f>
        <v>19.767.846-K</v>
      </c>
      <c r="C267" s="9" t="str">
        <f>IFERROR(__xludf.DUMMYFUNCTION("""COMPUTED_VALUE"""),"Javier Soto Vergara")</f>
        <v>Javier Soto Vergara</v>
      </c>
      <c r="D267" s="9" t="str">
        <f>IFERROR(__xludf.DUMMYFUNCTION("""COMPUTED_VALUE"""),"jav.soto@empresa.cl")</f>
        <v>jav.soto@empresa.cl</v>
      </c>
      <c r="E267" s="9" t="str">
        <f>IFERROR(__xludf.DUMMYFUNCTION("""COMPUTED_VALUE"""),"Las Condes")</f>
        <v>Las Condes</v>
      </c>
      <c r="F267" s="9" t="str">
        <f>IFERROR(__xludf.DUMMYFUNCTION("""COMPUTED_VALUE"""),"Santiago")</f>
        <v>Santiago</v>
      </c>
      <c r="G267" s="9" t="str">
        <f>IFERROR(__xludf.DUMMYFUNCTION("""COMPUTED_VALUE"""),"Región Metropolitana")</f>
        <v>Región Metropolitana</v>
      </c>
      <c r="H267" s="10">
        <f>IFERROR(__xludf.DUMMYFUNCTION("""COMPUTED_VALUE"""),6670000.0)</f>
        <v>6670000</v>
      </c>
    </row>
    <row r="268">
      <c r="A268" s="9" t="str">
        <f>IFERROR(__xludf.DUMMYFUNCTION("""COMPUTED_VALUE"""),"CLI-0422")</f>
        <v>CLI-0422</v>
      </c>
      <c r="B268" s="9" t="str">
        <f>IFERROR(__xludf.DUMMYFUNCTION("""COMPUTED_VALUE"""),"15.950.657-5")</f>
        <v>15.950.657-5</v>
      </c>
      <c r="C268" s="9" t="str">
        <f>IFERROR(__xludf.DUMMYFUNCTION("""COMPUTED_VALUE"""),"Sebastián Valenzuela Sepúlveda")</f>
        <v>Sebastián Valenzuela Sepúlveda</v>
      </c>
      <c r="D268" s="9" t="str">
        <f>IFERROR(__xludf.DUMMYFUNCTION("""COMPUTED_VALUE"""),"seb.valenzuela@gmail.com")</f>
        <v>seb.valenzuela@gmail.com</v>
      </c>
      <c r="E268" s="9" t="str">
        <f>IFERROR(__xludf.DUMMYFUNCTION("""COMPUTED_VALUE"""),"Maipú")</f>
        <v>Maipú</v>
      </c>
      <c r="F268" s="9" t="str">
        <f>IFERROR(__xludf.DUMMYFUNCTION("""COMPUTED_VALUE"""),"Santiago")</f>
        <v>Santiago</v>
      </c>
      <c r="G268" s="9" t="str">
        <f>IFERROR(__xludf.DUMMYFUNCTION("""COMPUTED_VALUE"""),"Región Metropolitana")</f>
        <v>Región Metropolitana</v>
      </c>
      <c r="H268" s="10">
        <f>IFERROR(__xludf.DUMMYFUNCTION("""COMPUTED_VALUE"""),6660000.0)</f>
        <v>6660000</v>
      </c>
    </row>
    <row r="269">
      <c r="A269" s="9" t="str">
        <f>IFERROR(__xludf.DUMMYFUNCTION("""COMPUTED_VALUE"""),"CLI-0511")</f>
        <v>CLI-0511</v>
      </c>
      <c r="B269" s="9" t="str">
        <f>IFERROR(__xludf.DUMMYFUNCTION("""COMPUTED_VALUE"""),"11.837.195-9")</f>
        <v>11.837.195-9</v>
      </c>
      <c r="C269" s="9" t="str">
        <f>IFERROR(__xludf.DUMMYFUNCTION("""COMPUTED_VALUE"""),"Javiera Sepúlveda Sepúlveda")</f>
        <v>Javiera Sepúlveda Sepúlveda</v>
      </c>
      <c r="D269" s="9" t="str">
        <f>IFERROR(__xludf.DUMMYFUNCTION("""COMPUTED_VALUE"""),"jav.sepúlveda@gmail.com")</f>
        <v>jav.sepúlveda@gmail.com</v>
      </c>
      <c r="E269" s="9" t="str">
        <f>IFERROR(__xludf.DUMMYFUNCTION("""COMPUTED_VALUE"""),"Ñuñoa")</f>
        <v>Ñuñoa</v>
      </c>
      <c r="F269" s="9" t="str">
        <f>IFERROR(__xludf.DUMMYFUNCTION("""COMPUTED_VALUE"""),"Santiago")</f>
        <v>Santiago</v>
      </c>
      <c r="G269" s="9" t="str">
        <f>IFERROR(__xludf.DUMMYFUNCTION("""COMPUTED_VALUE"""),"Región Metropolitana")</f>
        <v>Región Metropolitana</v>
      </c>
      <c r="H269" s="10">
        <f>IFERROR(__xludf.DUMMYFUNCTION("""COMPUTED_VALUE"""),6470000.0)</f>
        <v>6470000</v>
      </c>
    </row>
    <row r="270">
      <c r="A270" s="9" t="str">
        <f>IFERROR(__xludf.DUMMYFUNCTION("""COMPUTED_VALUE"""),"CLI-0573")</f>
        <v>CLI-0573</v>
      </c>
      <c r="B270" s="9" t="str">
        <f>IFERROR(__xludf.DUMMYFUNCTION("""COMPUTED_VALUE"""),"16510482-0")</f>
        <v>16510482-0</v>
      </c>
      <c r="C270" s="9" t="str">
        <f>IFERROR(__xludf.DUMMYFUNCTION("""COMPUTED_VALUE"""),"Loreto Araya Pérez")</f>
        <v>Loreto Araya Pérez</v>
      </c>
      <c r="D270" s="9" t="str">
        <f>IFERROR(__xludf.DUMMYFUNCTION("""COMPUTED_VALUE"""),"lor.araya@sura.cl")</f>
        <v>lor.araya@sura.cl</v>
      </c>
      <c r="E270" s="9" t="str">
        <f>IFERROR(__xludf.DUMMYFUNCTION("""COMPUTED_VALUE"""),"Santiago Centro")</f>
        <v>Santiago Centro</v>
      </c>
      <c r="F270" s="9" t="str">
        <f>IFERROR(__xludf.DUMMYFUNCTION("""COMPUTED_VALUE"""),"Santiago")</f>
        <v>Santiago</v>
      </c>
      <c r="G270" s="9" t="str">
        <f>IFERROR(__xludf.DUMMYFUNCTION("""COMPUTED_VALUE"""),"Región Metropolitana")</f>
        <v>Región Metropolitana</v>
      </c>
      <c r="H270" s="10">
        <f>IFERROR(__xludf.DUMMYFUNCTION("""COMPUTED_VALUE"""),6410000.0)</f>
        <v>6410000</v>
      </c>
    </row>
    <row r="271">
      <c r="A271" s="9" t="str">
        <f>IFERROR(__xludf.DUMMYFUNCTION("""COMPUTED_VALUE"""),"CLI-0597")</f>
        <v>CLI-0597</v>
      </c>
      <c r="B271" s="9" t="str">
        <f>IFERROR(__xludf.DUMMYFUNCTION("""COMPUTED_VALUE"""),"14.527.558-5")</f>
        <v>14.527.558-5</v>
      </c>
      <c r="C271" s="9" t="str">
        <f>IFERROR(__xludf.DUMMYFUNCTION("""COMPUTED_VALUE"""),"Constanza López Morales")</f>
        <v>Constanza López Morales</v>
      </c>
      <c r="D271" s="9" t="str">
        <f>IFERROR(__xludf.DUMMYFUNCTION("""COMPUTED_VALUE"""),"con.lópez@servicios.cl")</f>
        <v>con.lópez@servicios.cl</v>
      </c>
      <c r="E271" s="9" t="str">
        <f>IFERROR(__xludf.DUMMYFUNCTION("""COMPUTED_VALUE"""),"Ñuñoa")</f>
        <v>Ñuñoa</v>
      </c>
      <c r="F271" s="9" t="str">
        <f>IFERROR(__xludf.DUMMYFUNCTION("""COMPUTED_VALUE"""),"Santiago")</f>
        <v>Santiago</v>
      </c>
      <c r="G271" s="9" t="str">
        <f>IFERROR(__xludf.DUMMYFUNCTION("""COMPUTED_VALUE"""),"Región Metropolitana")</f>
        <v>Región Metropolitana</v>
      </c>
      <c r="H271" s="10">
        <f>IFERROR(__xludf.DUMMYFUNCTION("""COMPUTED_VALUE"""),6360000.0)</f>
        <v>6360000</v>
      </c>
    </row>
    <row r="272">
      <c r="A272" s="9" t="str">
        <f>IFERROR(__xludf.DUMMYFUNCTION("""COMPUTED_VALUE"""),"CLI-0750")</f>
        <v>CLI-0750</v>
      </c>
      <c r="B272" s="9" t="str">
        <f>IFERROR(__xludf.DUMMYFUNCTION("""COMPUTED_VALUE"""),"11158641-2")</f>
        <v>11158641-2</v>
      </c>
      <c r="C272" s="9" t="str">
        <f>IFERROR(__xludf.DUMMYFUNCTION("""COMPUTED_VALUE"""),"Diego Araya Espinoza")</f>
        <v>Diego Araya Espinoza</v>
      </c>
      <c r="D272" s="9" t="str">
        <f>IFERROR(__xludf.DUMMYFUNCTION("""COMPUTED_VALUE"""),"die.araya@empresa.cl")</f>
        <v>die.araya@empresa.cl</v>
      </c>
      <c r="E272" s="9" t="str">
        <f>IFERROR(__xludf.DUMMYFUNCTION("""COMPUTED_VALUE"""),"Las Condes")</f>
        <v>Las Condes</v>
      </c>
      <c r="F272" s="9" t="str">
        <f>IFERROR(__xludf.DUMMYFUNCTION("""COMPUTED_VALUE"""),"Santiago")</f>
        <v>Santiago</v>
      </c>
      <c r="G272" s="9" t="str">
        <f>IFERROR(__xludf.DUMMYFUNCTION("""COMPUTED_VALUE"""),"Región Metropolitana")</f>
        <v>Región Metropolitana</v>
      </c>
      <c r="H272" s="10">
        <f>IFERROR(__xludf.DUMMYFUNCTION("""COMPUTED_VALUE"""),6360000.0)</f>
        <v>6360000</v>
      </c>
    </row>
    <row r="273">
      <c r="A273" s="9" t="str">
        <f>IFERROR(__xludf.DUMMYFUNCTION("""COMPUTED_VALUE"""),"CLI-0821")</f>
        <v>CLI-0821</v>
      </c>
      <c r="B273" s="9" t="str">
        <f>IFERROR(__xludf.DUMMYFUNCTION("""COMPUTED_VALUE"""),"13935105-3")</f>
        <v>13935105-3</v>
      </c>
      <c r="C273" s="9" t="str">
        <f>IFERROR(__xludf.DUMMYFUNCTION("""COMPUTED_VALUE"""),"Fernanda Muñoz Morales")</f>
        <v>Fernanda Muñoz Morales</v>
      </c>
      <c r="D273" s="9" t="str">
        <f>IFERROR(__xludf.DUMMYFUNCTION("""COMPUTED_VALUE"""),"fer.muñoz@outlook.cl")</f>
        <v>fer.muñoz@outlook.cl</v>
      </c>
      <c r="E273" s="9" t="str">
        <f>IFERROR(__xludf.DUMMYFUNCTION("""COMPUTED_VALUE"""),"Santiago Centro")</f>
        <v>Santiago Centro</v>
      </c>
      <c r="F273" s="9" t="str">
        <f>IFERROR(__xludf.DUMMYFUNCTION("""COMPUTED_VALUE"""),"Santiago")</f>
        <v>Santiago</v>
      </c>
      <c r="G273" s="9" t="str">
        <f>IFERROR(__xludf.DUMMYFUNCTION("""COMPUTED_VALUE"""),"Región Metropolitana")</f>
        <v>Región Metropolitana</v>
      </c>
      <c r="H273" s="10">
        <f>IFERROR(__xludf.DUMMYFUNCTION("""COMPUTED_VALUE"""),6270000.0)</f>
        <v>6270000</v>
      </c>
    </row>
    <row r="274">
      <c r="A274" s="9" t="str">
        <f>IFERROR(__xludf.DUMMYFUNCTION("""COMPUTED_VALUE"""),"CLI-0870")</f>
        <v>CLI-0870</v>
      </c>
      <c r="B274" s="9" t="str">
        <f>IFERROR(__xludf.DUMMYFUNCTION("""COMPUTED_VALUE"""),"16.321.210-4")</f>
        <v>16.321.210-4</v>
      </c>
      <c r="C274" s="9" t="str">
        <f>IFERROR(__xludf.DUMMYFUNCTION("""COMPUTED_VALUE"""),"Cristián Díaz Muñoz")</f>
        <v>Cristián Díaz Muñoz</v>
      </c>
      <c r="D274" s="9" t="str">
        <f>IFERROR(__xludf.DUMMYFUNCTION("""COMPUTED_VALUE"""),"cri.díaz@sura.cl")</f>
        <v>cri.díaz@sura.cl</v>
      </c>
      <c r="E274" s="9" t="str">
        <f>IFERROR(__xludf.DUMMYFUNCTION("""COMPUTED_VALUE"""),"Providencia")</f>
        <v>Providencia</v>
      </c>
      <c r="F274" s="9" t="str">
        <f>IFERROR(__xludf.DUMMYFUNCTION("""COMPUTED_VALUE"""),"Santiago")</f>
        <v>Santiago</v>
      </c>
      <c r="G274" s="9" t="str">
        <f>IFERROR(__xludf.DUMMYFUNCTION("""COMPUTED_VALUE"""),"Región Metropolitana")</f>
        <v>Región Metropolitana</v>
      </c>
      <c r="H274" s="10">
        <f>IFERROR(__xludf.DUMMYFUNCTION("""COMPUTED_VALUE"""),6200000.0)</f>
        <v>6200000</v>
      </c>
    </row>
    <row r="275">
      <c r="A275" s="9" t="str">
        <f>IFERROR(__xludf.DUMMYFUNCTION("""COMPUTED_VALUE"""),"CLI-0827")</f>
        <v>CLI-0827</v>
      </c>
      <c r="B275" s="9" t="str">
        <f>IFERROR(__xludf.DUMMYFUNCTION("""COMPUTED_VALUE"""),"20813557-K")</f>
        <v>20813557-K</v>
      </c>
      <c r="C275" s="9" t="str">
        <f>IFERROR(__xludf.DUMMYFUNCTION("""COMPUTED_VALUE"""),"Fernanda Tapia Fuentes")</f>
        <v>Fernanda Tapia Fuentes</v>
      </c>
      <c r="D275" s="9" t="str">
        <f>IFERROR(__xludf.DUMMYFUNCTION("""COMPUTED_VALUE"""),"fer.tapia@servicios.cl")</f>
        <v>fer.tapia@servicios.cl</v>
      </c>
      <c r="E275" s="9" t="str">
        <f>IFERROR(__xludf.DUMMYFUNCTION("""COMPUTED_VALUE"""),"Providencia")</f>
        <v>Providencia</v>
      </c>
      <c r="F275" s="9" t="str">
        <f>IFERROR(__xludf.DUMMYFUNCTION("""COMPUTED_VALUE"""),"Santiago")</f>
        <v>Santiago</v>
      </c>
      <c r="G275" s="9" t="str">
        <f>IFERROR(__xludf.DUMMYFUNCTION("""COMPUTED_VALUE"""),"Región Metropolitana")</f>
        <v>Región Metropolitana</v>
      </c>
      <c r="H275" s="10">
        <f>IFERROR(__xludf.DUMMYFUNCTION("""COMPUTED_VALUE"""),6130000.0)</f>
        <v>6130000</v>
      </c>
    </row>
    <row r="276">
      <c r="A276" s="9" t="str">
        <f>IFERROR(__xludf.DUMMYFUNCTION("""COMPUTED_VALUE"""),"CLI-0435")</f>
        <v>CLI-0435</v>
      </c>
      <c r="B276" s="9" t="str">
        <f>IFERROR(__xludf.DUMMYFUNCTION("""COMPUTED_VALUE"""),"13271733-3")</f>
        <v>13271733-3</v>
      </c>
      <c r="C276" s="9" t="str">
        <f>IFERROR(__xludf.DUMMYFUNCTION("""COMPUTED_VALUE"""),"Javiera Morales Díaz")</f>
        <v>Javiera Morales Díaz</v>
      </c>
      <c r="D276" s="9" t="str">
        <f>IFERROR(__xludf.DUMMYFUNCTION("""COMPUTED_VALUE"""),"jav.morales@sura.cl")</f>
        <v>jav.morales@sura.cl</v>
      </c>
      <c r="E276" s="9" t="str">
        <f>IFERROR(__xludf.DUMMYFUNCTION("""COMPUTED_VALUE"""),"Las Condes")</f>
        <v>Las Condes</v>
      </c>
      <c r="F276" s="9" t="str">
        <f>IFERROR(__xludf.DUMMYFUNCTION("""COMPUTED_VALUE"""),"Santiago")</f>
        <v>Santiago</v>
      </c>
      <c r="G276" s="9" t="str">
        <f>IFERROR(__xludf.DUMMYFUNCTION("""COMPUTED_VALUE"""),"Región Metropolitana")</f>
        <v>Región Metropolitana</v>
      </c>
      <c r="H276" s="10">
        <f>IFERROR(__xludf.DUMMYFUNCTION("""COMPUTED_VALUE"""),6110000.0)</f>
        <v>6110000</v>
      </c>
    </row>
    <row r="277">
      <c r="A277" s="9" t="str">
        <f>IFERROR(__xludf.DUMMYFUNCTION("""COMPUTED_VALUE"""),"CLI-0758")</f>
        <v>CLI-0758</v>
      </c>
      <c r="B277" s="9" t="str">
        <f>IFERROR(__xludf.DUMMYFUNCTION("""COMPUTED_VALUE"""),"21.871.809-9")</f>
        <v>21.871.809-9</v>
      </c>
      <c r="C277" s="9" t="str">
        <f>IFERROR(__xludf.DUMMYFUNCTION("""COMPUTED_VALUE"""),"Álvaro López Morales")</f>
        <v>Álvaro López Morales</v>
      </c>
      <c r="D277" s="9" t="str">
        <f>IFERROR(__xludf.DUMMYFUNCTION("""COMPUTED_VALUE"""),"álv.lópez@consultora.cl")</f>
        <v>álv.lópez@consultora.cl</v>
      </c>
      <c r="E277" s="9" t="str">
        <f>IFERROR(__xludf.DUMMYFUNCTION("""COMPUTED_VALUE"""),"Santiago Centro")</f>
        <v>Santiago Centro</v>
      </c>
      <c r="F277" s="9" t="str">
        <f>IFERROR(__xludf.DUMMYFUNCTION("""COMPUTED_VALUE"""),"Santiago")</f>
        <v>Santiago</v>
      </c>
      <c r="G277" s="9" t="str">
        <f>IFERROR(__xludf.DUMMYFUNCTION("""COMPUTED_VALUE"""),"Región Metropolitana")</f>
        <v>Región Metropolitana</v>
      </c>
      <c r="H277" s="10">
        <f>IFERROR(__xludf.DUMMYFUNCTION("""COMPUTED_VALUE"""),6070000.0)</f>
        <v>6070000</v>
      </c>
    </row>
    <row r="278">
      <c r="A278" s="9" t="str">
        <f>IFERROR(__xludf.DUMMYFUNCTION("""COMPUTED_VALUE"""),"CLI-0350")</f>
        <v>CLI-0350</v>
      </c>
      <c r="B278" s="9" t="str">
        <f>IFERROR(__xludf.DUMMYFUNCTION("""COMPUTED_VALUE"""),"17.329.221-2")</f>
        <v>17.329.221-2</v>
      </c>
      <c r="C278" s="9" t="str">
        <f>IFERROR(__xludf.DUMMYFUNCTION("""COMPUTED_VALUE"""),"Javier Tapia Fuentes")</f>
        <v>Javier Tapia Fuentes</v>
      </c>
      <c r="D278" s="9" t="str">
        <f>IFERROR(__xludf.DUMMYFUNCTION("""COMPUTED_VALUE"""),"jav.tapia@outlook.cl")</f>
        <v>jav.tapia@outlook.cl</v>
      </c>
      <c r="E278" s="9" t="str">
        <f>IFERROR(__xludf.DUMMYFUNCTION("""COMPUTED_VALUE"""),"Providencia")</f>
        <v>Providencia</v>
      </c>
      <c r="F278" s="9" t="str">
        <f>IFERROR(__xludf.DUMMYFUNCTION("""COMPUTED_VALUE"""),"Santiago")</f>
        <v>Santiago</v>
      </c>
      <c r="G278" s="9" t="str">
        <f>IFERROR(__xludf.DUMMYFUNCTION("""COMPUTED_VALUE"""),"Región Metropolitana")</f>
        <v>Región Metropolitana</v>
      </c>
      <c r="H278" s="10">
        <f>IFERROR(__xludf.DUMMYFUNCTION("""COMPUTED_VALUE"""),6020000.0)</f>
        <v>6020000</v>
      </c>
    </row>
    <row r="279">
      <c r="A279" s="9" t="str">
        <f>IFERROR(__xludf.DUMMYFUNCTION("""COMPUTED_VALUE"""),"CLI-0513")</f>
        <v>CLI-0513</v>
      </c>
      <c r="B279" s="9" t="str">
        <f>IFERROR(__xludf.DUMMYFUNCTION("""COMPUTED_VALUE"""),"16.790.585-1")</f>
        <v>16.790.585-1</v>
      </c>
      <c r="C279" s="9" t="str">
        <f>IFERROR(__xludf.DUMMYFUNCTION("""COMPUTED_VALUE"""),"Carolina Tapia Rodríguez")</f>
        <v>Carolina Tapia Rodríguez</v>
      </c>
      <c r="D279" s="9" t="str">
        <f>IFERROR(__xludf.DUMMYFUNCTION("""COMPUTED_VALUE"""),"car.tapia@outlook.cl")</f>
        <v>car.tapia@outlook.cl</v>
      </c>
      <c r="E279" s="9" t="str">
        <f>IFERROR(__xludf.DUMMYFUNCTION("""COMPUTED_VALUE"""),"Maipú")</f>
        <v>Maipú</v>
      </c>
      <c r="F279" s="9" t="str">
        <f>IFERROR(__xludf.DUMMYFUNCTION("""COMPUTED_VALUE"""),"Santiago")</f>
        <v>Santiago</v>
      </c>
      <c r="G279" s="9" t="str">
        <f>IFERROR(__xludf.DUMMYFUNCTION("""COMPUTED_VALUE"""),"Región Metropolitana")</f>
        <v>Región Metropolitana</v>
      </c>
      <c r="H279" s="10">
        <f>IFERROR(__xludf.DUMMYFUNCTION("""COMPUTED_VALUE"""),5920000.0)</f>
        <v>5920000</v>
      </c>
    </row>
    <row r="280">
      <c r="A280" s="9" t="str">
        <f>IFERROR(__xludf.DUMMYFUNCTION("""COMPUTED_VALUE"""),"CLI-0094")</f>
        <v>CLI-0094</v>
      </c>
      <c r="B280" s="9" t="str">
        <f>IFERROR(__xludf.DUMMYFUNCTION("""COMPUTED_VALUE"""),"14.827.339-6")</f>
        <v>14.827.339-6</v>
      </c>
      <c r="C280" s="9" t="str">
        <f>IFERROR(__xludf.DUMMYFUNCTION("""COMPUTED_VALUE"""),"Felipe Valenzuela Sepúlveda")</f>
        <v>Felipe Valenzuela Sepúlveda</v>
      </c>
      <c r="D280" s="9" t="str">
        <f>IFERROR(__xludf.DUMMYFUNCTION("""COMPUTED_VALUE"""),"fel.valenzuela@empresa.cl")</f>
        <v>fel.valenzuela@empresa.cl</v>
      </c>
      <c r="E280" s="9" t="str">
        <f>IFERROR(__xludf.DUMMYFUNCTION("""COMPUTED_VALUE"""),"Providencia")</f>
        <v>Providencia</v>
      </c>
      <c r="F280" s="9" t="str">
        <f>IFERROR(__xludf.DUMMYFUNCTION("""COMPUTED_VALUE"""),"Santiago")</f>
        <v>Santiago</v>
      </c>
      <c r="G280" s="9" t="str">
        <f>IFERROR(__xludf.DUMMYFUNCTION("""COMPUTED_VALUE"""),"Región Metropolitana")</f>
        <v>Región Metropolitana</v>
      </c>
      <c r="H280" s="10">
        <f>IFERROR(__xludf.DUMMYFUNCTION("""COMPUTED_VALUE"""),5920000.0)</f>
        <v>5920000</v>
      </c>
    </row>
    <row r="281">
      <c r="A281" s="9" t="str">
        <f>IFERROR(__xludf.DUMMYFUNCTION("""COMPUTED_VALUE"""),"CLI-0050")</f>
        <v>CLI-0050</v>
      </c>
      <c r="B281" s="9" t="str">
        <f>IFERROR(__xludf.DUMMYFUNCTION("""COMPUTED_VALUE"""),"20.171.486-1")</f>
        <v>20.171.486-1</v>
      </c>
      <c r="C281" s="9" t="str">
        <f>IFERROR(__xludf.DUMMYFUNCTION("""COMPUTED_VALUE"""),"Felipe Araya Sepúlveda")</f>
        <v>Felipe Araya Sepúlveda</v>
      </c>
      <c r="D281" s="9" t="str">
        <f>IFERROR(__xludf.DUMMYFUNCTION("""COMPUTED_VALUE"""),"fel.araya@gmail.com")</f>
        <v>fel.araya@gmail.com</v>
      </c>
      <c r="E281" s="9" t="str">
        <f>IFERROR(__xludf.DUMMYFUNCTION("""COMPUTED_VALUE"""),"Santiago Centro")</f>
        <v>Santiago Centro</v>
      </c>
      <c r="F281" s="9" t="str">
        <f>IFERROR(__xludf.DUMMYFUNCTION("""COMPUTED_VALUE"""),"Santiago")</f>
        <v>Santiago</v>
      </c>
      <c r="G281" s="9" t="str">
        <f>IFERROR(__xludf.DUMMYFUNCTION("""COMPUTED_VALUE"""),"Región Metropolitana")</f>
        <v>Región Metropolitana</v>
      </c>
      <c r="H281" s="10">
        <f>IFERROR(__xludf.DUMMYFUNCTION("""COMPUTED_VALUE"""),5730000.0)</f>
        <v>5730000</v>
      </c>
    </row>
    <row r="282">
      <c r="A282" s="9" t="str">
        <f>IFERROR(__xludf.DUMMYFUNCTION("""COMPUTED_VALUE"""),"CLI-0160")</f>
        <v>CLI-0160</v>
      </c>
      <c r="B282" s="9" t="str">
        <f>IFERROR(__xludf.DUMMYFUNCTION("""COMPUTED_VALUE"""),"13.623.382-7")</f>
        <v>13.623.382-7</v>
      </c>
      <c r="C282" s="9" t="str">
        <f>IFERROR(__xludf.DUMMYFUNCTION("""COMPUTED_VALUE"""),"Gabriel López Contreras")</f>
        <v>Gabriel López Contreras</v>
      </c>
      <c r="D282" s="9" t="str">
        <f>IFERROR(__xludf.DUMMYFUNCTION("""COMPUTED_VALUE"""),"gab.lópez@empresa.cl")</f>
        <v>gab.lópez@empresa.cl</v>
      </c>
      <c r="E282" s="9" t="str">
        <f>IFERROR(__xludf.DUMMYFUNCTION("""COMPUTED_VALUE"""),"Las Condes")</f>
        <v>Las Condes</v>
      </c>
      <c r="F282" s="9" t="str">
        <f>IFERROR(__xludf.DUMMYFUNCTION("""COMPUTED_VALUE"""),"Santiago")</f>
        <v>Santiago</v>
      </c>
      <c r="G282" s="9" t="str">
        <f>IFERROR(__xludf.DUMMYFUNCTION("""COMPUTED_VALUE"""),"Región Metropolitana")</f>
        <v>Región Metropolitana</v>
      </c>
      <c r="H282" s="10">
        <f>IFERROR(__xludf.DUMMYFUNCTION("""COMPUTED_VALUE"""),5630000.0)</f>
        <v>5630000</v>
      </c>
    </row>
    <row r="283">
      <c r="A283" s="9" t="str">
        <f>IFERROR(__xludf.DUMMYFUNCTION("""COMPUTED_VALUE"""),"CLI-0518")</f>
        <v>CLI-0518</v>
      </c>
      <c r="B283" s="9" t="str">
        <f>IFERROR(__xludf.DUMMYFUNCTION("""COMPUTED_VALUE"""),"14.290.806-6")</f>
        <v>14.290.806-6</v>
      </c>
      <c r="C283" s="9" t="str">
        <f>IFERROR(__xludf.DUMMYFUNCTION("""COMPUTED_VALUE"""),"Gabriel Soto Valenzuela")</f>
        <v>Gabriel Soto Valenzuela</v>
      </c>
      <c r="D283" s="9" t="str">
        <f>IFERROR(__xludf.DUMMYFUNCTION("""COMPUTED_VALUE"""),"gab.soto@sura.cl")</f>
        <v>gab.soto@sura.cl</v>
      </c>
      <c r="E283" s="9" t="str">
        <f>IFERROR(__xludf.DUMMYFUNCTION("""COMPUTED_VALUE"""),"Santiago Centro")</f>
        <v>Santiago Centro</v>
      </c>
      <c r="F283" s="9" t="str">
        <f>IFERROR(__xludf.DUMMYFUNCTION("""COMPUTED_VALUE"""),"Santiago")</f>
        <v>Santiago</v>
      </c>
      <c r="G283" s="9" t="str">
        <f>IFERROR(__xludf.DUMMYFUNCTION("""COMPUTED_VALUE"""),"Región Metropolitana")</f>
        <v>Región Metropolitana</v>
      </c>
      <c r="H283" s="10">
        <f>IFERROR(__xludf.DUMMYFUNCTION("""COMPUTED_VALUE"""),5560000.0)</f>
        <v>5560000</v>
      </c>
    </row>
    <row r="284">
      <c r="A284" s="9" t="str">
        <f>IFERROR(__xludf.DUMMYFUNCTION("""COMPUTED_VALUE"""),"CLI-0555")</f>
        <v>CLI-0555</v>
      </c>
      <c r="B284" s="9" t="str">
        <f>IFERROR(__xludf.DUMMYFUNCTION("""COMPUTED_VALUE"""),"17.658.967-3")</f>
        <v>17.658.967-3</v>
      </c>
      <c r="C284" s="9" t="str">
        <f>IFERROR(__xludf.DUMMYFUNCTION("""COMPUTED_VALUE"""),"Francisca González Espinoza")</f>
        <v>Francisca González Espinoza</v>
      </c>
      <c r="D284" s="9" t="str">
        <f>IFERROR(__xludf.DUMMYFUNCTION("""COMPUTED_VALUE"""),"fra.gonzález@outlook.cl")</f>
        <v>fra.gonzález@outlook.cl</v>
      </c>
      <c r="E284" s="9" t="str">
        <f>IFERROR(__xludf.DUMMYFUNCTION("""COMPUTED_VALUE"""),"Ñuñoa")</f>
        <v>Ñuñoa</v>
      </c>
      <c r="F284" s="9" t="str">
        <f>IFERROR(__xludf.DUMMYFUNCTION("""COMPUTED_VALUE"""),"Santiago")</f>
        <v>Santiago</v>
      </c>
      <c r="G284" s="9" t="str">
        <f>IFERROR(__xludf.DUMMYFUNCTION("""COMPUTED_VALUE"""),"Región Metropolitana")</f>
        <v>Región Metropolitana</v>
      </c>
      <c r="H284" s="10">
        <f>IFERROR(__xludf.DUMMYFUNCTION("""COMPUTED_VALUE"""),5500000.0)</f>
        <v>5500000</v>
      </c>
    </row>
    <row r="285">
      <c r="A285" s="9" t="str">
        <f>IFERROR(__xludf.DUMMYFUNCTION("""COMPUTED_VALUE"""),"CLI-0950")</f>
        <v>CLI-0950</v>
      </c>
      <c r="B285" s="9" t="str">
        <f>IFERROR(__xludf.DUMMYFUNCTION("""COMPUTED_VALUE"""),"18127374-3")</f>
        <v>18127374-3</v>
      </c>
      <c r="C285" s="9" t="str">
        <f>IFERROR(__xludf.DUMMYFUNCTION("""COMPUTED_VALUE"""),"Gabriel Rojas Tapia")</f>
        <v>Gabriel Rojas Tapia</v>
      </c>
      <c r="D285" s="9" t="str">
        <f>IFERROR(__xludf.DUMMYFUNCTION("""COMPUTED_VALUE"""),"gab.rojas@sura.cl")</f>
        <v>gab.rojas@sura.cl</v>
      </c>
      <c r="E285" s="9" t="str">
        <f>IFERROR(__xludf.DUMMYFUNCTION("""COMPUTED_VALUE"""),"Las Condes")</f>
        <v>Las Condes</v>
      </c>
      <c r="F285" s="9" t="str">
        <f>IFERROR(__xludf.DUMMYFUNCTION("""COMPUTED_VALUE"""),"Santiago")</f>
        <v>Santiago</v>
      </c>
      <c r="G285" s="9" t="str">
        <f>IFERROR(__xludf.DUMMYFUNCTION("""COMPUTED_VALUE"""),"Región Metropolitana")</f>
        <v>Región Metropolitana</v>
      </c>
      <c r="H285" s="10">
        <f>IFERROR(__xludf.DUMMYFUNCTION("""COMPUTED_VALUE"""),5480000.0)</f>
        <v>5480000</v>
      </c>
    </row>
    <row r="286">
      <c r="A286" s="9" t="str">
        <f>IFERROR(__xludf.DUMMYFUNCTION("""COMPUTED_VALUE"""),"CLI-0338")</f>
        <v>CLI-0338</v>
      </c>
      <c r="B286" s="9" t="str">
        <f>IFERROR(__xludf.DUMMYFUNCTION("""COMPUTED_VALUE"""),"11.385.229-7")</f>
        <v>11.385.229-7</v>
      </c>
      <c r="C286" s="9" t="str">
        <f>IFERROR(__xludf.DUMMYFUNCTION("""COMPUTED_VALUE"""),"Ignacio Silva Muñoz")</f>
        <v>Ignacio Silva Muñoz</v>
      </c>
      <c r="D286" s="9" t="str">
        <f>IFERROR(__xludf.DUMMYFUNCTION("""COMPUTED_VALUE"""),"ign.silva@gmail.com")</f>
        <v>ign.silva@gmail.com</v>
      </c>
      <c r="E286" s="9" t="str">
        <f>IFERROR(__xludf.DUMMYFUNCTION("""COMPUTED_VALUE"""),"Las Condes")</f>
        <v>Las Condes</v>
      </c>
      <c r="F286" s="9" t="str">
        <f>IFERROR(__xludf.DUMMYFUNCTION("""COMPUTED_VALUE"""),"Santiago")</f>
        <v>Santiago</v>
      </c>
      <c r="G286" s="9" t="str">
        <f>IFERROR(__xludf.DUMMYFUNCTION("""COMPUTED_VALUE"""),"Región Metropolitana")</f>
        <v>Región Metropolitana</v>
      </c>
      <c r="H286" s="10">
        <f>IFERROR(__xludf.DUMMYFUNCTION("""COMPUTED_VALUE"""),5480000.0)</f>
        <v>5480000</v>
      </c>
    </row>
    <row r="287">
      <c r="A287" s="9" t="str">
        <f>IFERROR(__xludf.DUMMYFUNCTION("""COMPUTED_VALUE"""),"CLI-0347")</f>
        <v>CLI-0347</v>
      </c>
      <c r="B287" s="9" t="str">
        <f>IFERROR(__xludf.DUMMYFUNCTION("""COMPUTED_VALUE"""),"19.919.858-2")</f>
        <v>19.919.858-2</v>
      </c>
      <c r="C287" s="9" t="str">
        <f>IFERROR(__xludf.DUMMYFUNCTION("""COMPUTED_VALUE"""),"Paula Rojas Contreras")</f>
        <v>Paula Rojas Contreras</v>
      </c>
      <c r="D287" s="9" t="str">
        <f>IFERROR(__xludf.DUMMYFUNCTION("""COMPUTED_VALUE"""),"pau.rojas@consultora.cl")</f>
        <v>pau.rojas@consultora.cl</v>
      </c>
      <c r="E287" s="9" t="str">
        <f>IFERROR(__xludf.DUMMYFUNCTION("""COMPUTED_VALUE"""),"Santiago Centro")</f>
        <v>Santiago Centro</v>
      </c>
      <c r="F287" s="9" t="str">
        <f>IFERROR(__xludf.DUMMYFUNCTION("""COMPUTED_VALUE"""),"Santiago")</f>
        <v>Santiago</v>
      </c>
      <c r="G287" s="9" t="str">
        <f>IFERROR(__xludf.DUMMYFUNCTION("""COMPUTED_VALUE"""),"Región Metropolitana")</f>
        <v>Región Metropolitana</v>
      </c>
      <c r="H287" s="10">
        <f>IFERROR(__xludf.DUMMYFUNCTION("""COMPUTED_VALUE"""),5470000.0)</f>
        <v>5470000</v>
      </c>
    </row>
    <row r="288">
      <c r="A288" s="9" t="str">
        <f>IFERROR(__xludf.DUMMYFUNCTION("""COMPUTED_VALUE"""),"CLI-0814")</f>
        <v>CLI-0814</v>
      </c>
      <c r="B288" s="9" t="str">
        <f>IFERROR(__xludf.DUMMYFUNCTION("""COMPUTED_VALUE"""),"22.111.002-6")</f>
        <v>22.111.002-6</v>
      </c>
      <c r="C288" s="9" t="str">
        <f>IFERROR(__xludf.DUMMYFUNCTION("""COMPUTED_VALUE"""),"Esteban Contreras Sepúlveda")</f>
        <v>Esteban Contreras Sepúlveda</v>
      </c>
      <c r="D288" s="9" t="str">
        <f>IFERROR(__xludf.DUMMYFUNCTION("""COMPUTED_VALUE"""),"est.contreras@consultora.cl")</f>
        <v>est.contreras@consultora.cl</v>
      </c>
      <c r="E288" s="9" t="str">
        <f>IFERROR(__xludf.DUMMYFUNCTION("""COMPUTED_VALUE"""),"Providencia")</f>
        <v>Providencia</v>
      </c>
      <c r="F288" s="9" t="str">
        <f>IFERROR(__xludf.DUMMYFUNCTION("""COMPUTED_VALUE"""),"Santiago")</f>
        <v>Santiago</v>
      </c>
      <c r="G288" s="9" t="str">
        <f>IFERROR(__xludf.DUMMYFUNCTION("""COMPUTED_VALUE"""),"Región Metropolitana")</f>
        <v>Región Metropolitana</v>
      </c>
      <c r="H288" s="10">
        <f>IFERROR(__xludf.DUMMYFUNCTION("""COMPUTED_VALUE"""),5370000.0)</f>
        <v>5370000</v>
      </c>
    </row>
    <row r="289">
      <c r="A289" s="9" t="str">
        <f>IFERROR(__xludf.DUMMYFUNCTION("""COMPUTED_VALUE"""),"CLI-0496")</f>
        <v>CLI-0496</v>
      </c>
      <c r="B289" s="9" t="str">
        <f>IFERROR(__xludf.DUMMYFUNCTION("""COMPUTED_VALUE"""),"17.187.426-6")</f>
        <v>17.187.426-6</v>
      </c>
      <c r="C289" s="9" t="str">
        <f>IFERROR(__xludf.DUMMYFUNCTION("""COMPUTED_VALUE"""),"Hernán Silva Muñoz")</f>
        <v>Hernán Silva Muñoz</v>
      </c>
      <c r="D289" s="9" t="str">
        <f>IFERROR(__xludf.DUMMYFUNCTION("""COMPUTED_VALUE"""),"her.silva@gmail.com")</f>
        <v>her.silva@gmail.com</v>
      </c>
      <c r="E289" s="9" t="str">
        <f>IFERROR(__xludf.DUMMYFUNCTION("""COMPUTED_VALUE"""),"Ñuñoa")</f>
        <v>Ñuñoa</v>
      </c>
      <c r="F289" s="9" t="str">
        <f>IFERROR(__xludf.DUMMYFUNCTION("""COMPUTED_VALUE"""),"Santiago")</f>
        <v>Santiago</v>
      </c>
      <c r="G289" s="9" t="str">
        <f>IFERROR(__xludf.DUMMYFUNCTION("""COMPUTED_VALUE"""),"Región Metropolitana")</f>
        <v>Región Metropolitana</v>
      </c>
      <c r="H289" s="10">
        <f>IFERROR(__xludf.DUMMYFUNCTION("""COMPUTED_VALUE"""),5330000.0)</f>
        <v>5330000</v>
      </c>
    </row>
    <row r="290">
      <c r="A290" s="9" t="str">
        <f>IFERROR(__xludf.DUMMYFUNCTION("""COMPUTED_VALUE"""),"CLI-0439")</f>
        <v>CLI-0439</v>
      </c>
      <c r="B290" s="9" t="str">
        <f>IFERROR(__xludf.DUMMYFUNCTION("""COMPUTED_VALUE"""),"12.224.435-5")</f>
        <v>12.224.435-5</v>
      </c>
      <c r="C290" s="9" t="str">
        <f>IFERROR(__xludf.DUMMYFUNCTION("""COMPUTED_VALUE"""),"Marcela Rodríguez González")</f>
        <v>Marcela Rodríguez González</v>
      </c>
      <c r="D290" s="9" t="str">
        <f>IFERROR(__xludf.DUMMYFUNCTION("""COMPUTED_VALUE"""),"mar.rodríguez@sura.cl")</f>
        <v>mar.rodríguez@sura.cl</v>
      </c>
      <c r="E290" s="9" t="str">
        <f>IFERROR(__xludf.DUMMYFUNCTION("""COMPUTED_VALUE"""),"Las Condes")</f>
        <v>Las Condes</v>
      </c>
      <c r="F290" s="9" t="str">
        <f>IFERROR(__xludf.DUMMYFUNCTION("""COMPUTED_VALUE"""),"Santiago")</f>
        <v>Santiago</v>
      </c>
      <c r="G290" s="9" t="str">
        <f>IFERROR(__xludf.DUMMYFUNCTION("""COMPUTED_VALUE"""),"Región Metropolitana")</f>
        <v>Región Metropolitana</v>
      </c>
      <c r="H290" s="10">
        <f>IFERROR(__xludf.DUMMYFUNCTION("""COMPUTED_VALUE"""),5250000.0)</f>
        <v>5250000</v>
      </c>
    </row>
    <row r="291">
      <c r="A291" s="9" t="str">
        <f>IFERROR(__xludf.DUMMYFUNCTION("""COMPUTED_VALUE"""),"CLI-0818")</f>
        <v>CLI-0818</v>
      </c>
      <c r="B291" s="9" t="str">
        <f>IFERROR(__xludf.DUMMYFUNCTION("""COMPUTED_VALUE"""),"15.617.915-5")</f>
        <v>15.617.915-5</v>
      </c>
      <c r="C291" s="9" t="str">
        <f>IFERROR(__xludf.DUMMYFUNCTION("""COMPUTED_VALUE"""),"Álvaro Fuentes González")</f>
        <v>Álvaro Fuentes González</v>
      </c>
      <c r="D291" s="9" t="str">
        <f>IFERROR(__xludf.DUMMYFUNCTION("""COMPUTED_VALUE"""),"álv.fuentes@gmail.com")</f>
        <v>álv.fuentes@gmail.com</v>
      </c>
      <c r="E291" s="9" t="str">
        <f>IFERROR(__xludf.DUMMYFUNCTION("""COMPUTED_VALUE"""),"Las Condes")</f>
        <v>Las Condes</v>
      </c>
      <c r="F291" s="9" t="str">
        <f>IFERROR(__xludf.DUMMYFUNCTION("""COMPUTED_VALUE"""),"Santiago")</f>
        <v>Santiago</v>
      </c>
      <c r="G291" s="9" t="str">
        <f>IFERROR(__xludf.DUMMYFUNCTION("""COMPUTED_VALUE"""),"Región Metropolitana")</f>
        <v>Región Metropolitana</v>
      </c>
      <c r="H291" s="10">
        <f>IFERROR(__xludf.DUMMYFUNCTION("""COMPUTED_VALUE"""),5230000.0)</f>
        <v>5230000</v>
      </c>
    </row>
    <row r="292">
      <c r="A292" s="9" t="str">
        <f>IFERROR(__xludf.DUMMYFUNCTION("""COMPUTED_VALUE"""),"CLI-0251")</f>
        <v>CLI-0251</v>
      </c>
      <c r="B292" s="9" t="str">
        <f>IFERROR(__xludf.DUMMYFUNCTION("""COMPUTED_VALUE"""),"18.690.873-3")</f>
        <v>18.690.873-3</v>
      </c>
      <c r="C292" s="9" t="str">
        <f>IFERROR(__xludf.DUMMYFUNCTION("""COMPUTED_VALUE"""),"Daniela Rodríguez Muñoz")</f>
        <v>Daniela Rodríguez Muñoz</v>
      </c>
      <c r="D292" s="9" t="str">
        <f>IFERROR(__xludf.DUMMYFUNCTION("""COMPUTED_VALUE"""),"dan.rodríguez@consultora.cl")</f>
        <v>dan.rodríguez@consultora.cl</v>
      </c>
      <c r="E292" s="9" t="str">
        <f>IFERROR(__xludf.DUMMYFUNCTION("""COMPUTED_VALUE"""),"Providencia")</f>
        <v>Providencia</v>
      </c>
      <c r="F292" s="9" t="str">
        <f>IFERROR(__xludf.DUMMYFUNCTION("""COMPUTED_VALUE"""),"Santiago")</f>
        <v>Santiago</v>
      </c>
      <c r="G292" s="9" t="str">
        <f>IFERROR(__xludf.DUMMYFUNCTION("""COMPUTED_VALUE"""),"Región Metropolitana")</f>
        <v>Región Metropolitana</v>
      </c>
      <c r="H292" s="10">
        <f>IFERROR(__xludf.DUMMYFUNCTION("""COMPUTED_VALUE"""),5220000.0)</f>
        <v>5220000</v>
      </c>
    </row>
    <row r="293">
      <c r="A293" s="9" t="str">
        <f>IFERROR(__xludf.DUMMYFUNCTION("""COMPUTED_VALUE"""),"CLI-0080")</f>
        <v>CLI-0080</v>
      </c>
      <c r="B293" s="9" t="str">
        <f>IFERROR(__xludf.DUMMYFUNCTION("""COMPUTED_VALUE"""),"13.263.736-6")</f>
        <v>13.263.736-6</v>
      </c>
      <c r="C293" s="9" t="str">
        <f>IFERROR(__xludf.DUMMYFUNCTION("""COMPUTED_VALUE"""),"Mauricio Pérez Espinoza")</f>
        <v>Mauricio Pérez Espinoza</v>
      </c>
      <c r="D293" s="9" t="str">
        <f>IFERROR(__xludf.DUMMYFUNCTION("""COMPUTED_VALUE"""),"mau.pérez@gmail.com")</f>
        <v>mau.pérez@gmail.com</v>
      </c>
      <c r="E293" s="9" t="str">
        <f>IFERROR(__xludf.DUMMYFUNCTION("""COMPUTED_VALUE"""),"Ñuñoa")</f>
        <v>Ñuñoa</v>
      </c>
      <c r="F293" s="9" t="str">
        <f>IFERROR(__xludf.DUMMYFUNCTION("""COMPUTED_VALUE"""),"Santiago")</f>
        <v>Santiago</v>
      </c>
      <c r="G293" s="9" t="str">
        <f>IFERROR(__xludf.DUMMYFUNCTION("""COMPUTED_VALUE"""),"Región Metropolitana")</f>
        <v>Región Metropolitana</v>
      </c>
      <c r="H293" s="10">
        <f>IFERROR(__xludf.DUMMYFUNCTION("""COMPUTED_VALUE"""),5210000.0)</f>
        <v>5210000</v>
      </c>
    </row>
    <row r="294">
      <c r="A294" s="9" t="str">
        <f>IFERROR(__xludf.DUMMYFUNCTION("""COMPUTED_VALUE"""),"CLI-0154")</f>
        <v>CLI-0154</v>
      </c>
      <c r="B294" s="9" t="str">
        <f>IFERROR(__xludf.DUMMYFUNCTION("""COMPUTED_VALUE"""),"22.116.094-3")</f>
        <v>22.116.094-3</v>
      </c>
      <c r="C294" s="9" t="str">
        <f>IFERROR(__xludf.DUMMYFUNCTION("""COMPUTED_VALUE"""),"Matías Fuentes Contreras")</f>
        <v>Matías Fuentes Contreras</v>
      </c>
      <c r="D294" s="9" t="str">
        <f>IFERROR(__xludf.DUMMYFUNCTION("""COMPUTED_VALUE"""),"mat.fuentes@outlook.cl")</f>
        <v>mat.fuentes@outlook.cl</v>
      </c>
      <c r="E294" s="9" t="str">
        <f>IFERROR(__xludf.DUMMYFUNCTION("""COMPUTED_VALUE"""),"Maipú")</f>
        <v>Maipú</v>
      </c>
      <c r="F294" s="9" t="str">
        <f>IFERROR(__xludf.DUMMYFUNCTION("""COMPUTED_VALUE"""),"Santiago")</f>
        <v>Santiago</v>
      </c>
      <c r="G294" s="9" t="str">
        <f>IFERROR(__xludf.DUMMYFUNCTION("""COMPUTED_VALUE"""),"Región Metropolitana")</f>
        <v>Región Metropolitana</v>
      </c>
      <c r="H294" s="10">
        <f>IFERROR(__xludf.DUMMYFUNCTION("""COMPUTED_VALUE"""),4970000.0)</f>
        <v>4970000</v>
      </c>
    </row>
    <row r="295">
      <c r="A295" s="9" t="str">
        <f>IFERROR(__xludf.DUMMYFUNCTION("""COMPUTED_VALUE"""),"CLI-0288")</f>
        <v>CLI-0288</v>
      </c>
      <c r="B295" s="9" t="str">
        <f>IFERROR(__xludf.DUMMYFUNCTION("""COMPUTED_VALUE"""),"17874958-4")</f>
        <v>17874958-4</v>
      </c>
      <c r="C295" s="9" t="str">
        <f>IFERROR(__xludf.DUMMYFUNCTION("""COMPUTED_VALUE"""),"Tomas Sepúlveda Vergara")</f>
        <v>Tomas Sepúlveda Vergara</v>
      </c>
      <c r="D295" s="9" t="str">
        <f>IFERROR(__xludf.DUMMYFUNCTION("""COMPUTED_VALUE"""),"tom.sepúlveda@gmail.com")</f>
        <v>tom.sepúlveda@gmail.com</v>
      </c>
      <c r="E295" s="9" t="str">
        <f>IFERROR(__xludf.DUMMYFUNCTION("""COMPUTED_VALUE"""),"Maipú")</f>
        <v>Maipú</v>
      </c>
      <c r="F295" s="9" t="str">
        <f>IFERROR(__xludf.DUMMYFUNCTION("""COMPUTED_VALUE"""),"Santiago")</f>
        <v>Santiago</v>
      </c>
      <c r="G295" s="9" t="str">
        <f>IFERROR(__xludf.DUMMYFUNCTION("""COMPUTED_VALUE"""),"Región Metropolitana")</f>
        <v>Región Metropolitana</v>
      </c>
      <c r="H295" s="10">
        <f>IFERROR(__xludf.DUMMYFUNCTION("""COMPUTED_VALUE"""),4870000.0)</f>
        <v>4870000</v>
      </c>
    </row>
    <row r="296">
      <c r="A296" s="9" t="str">
        <f>IFERROR(__xludf.DUMMYFUNCTION("""COMPUTED_VALUE"""),"CLI-0735")</f>
        <v>CLI-0735</v>
      </c>
      <c r="B296" s="9" t="str">
        <f>IFERROR(__xludf.DUMMYFUNCTION("""COMPUTED_VALUE"""),"22321388-5")</f>
        <v>22321388-5</v>
      </c>
      <c r="C296" s="9" t="str">
        <f>IFERROR(__xludf.DUMMYFUNCTION("""COMPUTED_VALUE"""),"Daniela Muñoz Pérez")</f>
        <v>Daniela Muñoz Pérez</v>
      </c>
      <c r="D296" s="9" t="str">
        <f>IFERROR(__xludf.DUMMYFUNCTION("""COMPUTED_VALUE"""),"dan.muñoz@sura.cl")</f>
        <v>dan.muñoz@sura.cl</v>
      </c>
      <c r="E296" s="9" t="str">
        <f>IFERROR(__xludf.DUMMYFUNCTION("""COMPUTED_VALUE"""),"Ñuñoa")</f>
        <v>Ñuñoa</v>
      </c>
      <c r="F296" s="9" t="str">
        <f>IFERROR(__xludf.DUMMYFUNCTION("""COMPUTED_VALUE"""),"Santiago")</f>
        <v>Santiago</v>
      </c>
      <c r="G296" s="9" t="str">
        <f>IFERROR(__xludf.DUMMYFUNCTION("""COMPUTED_VALUE"""),"Región Metropolitana")</f>
        <v>Región Metropolitana</v>
      </c>
      <c r="H296" s="10">
        <f>IFERROR(__xludf.DUMMYFUNCTION("""COMPUTED_VALUE"""),4850000.0)</f>
        <v>4850000</v>
      </c>
    </row>
    <row r="297">
      <c r="A297" s="9" t="str">
        <f>IFERROR(__xludf.DUMMYFUNCTION("""COMPUTED_VALUE"""),"CLI-0516")</f>
        <v>CLI-0516</v>
      </c>
      <c r="B297" s="9" t="str">
        <f>IFERROR(__xludf.DUMMYFUNCTION("""COMPUTED_VALUE"""),"11.685.287-7")</f>
        <v>11.685.287-7</v>
      </c>
      <c r="C297" s="9" t="str">
        <f>IFERROR(__xludf.DUMMYFUNCTION("""COMPUTED_VALUE"""),"Ignacio Pérez Tapia")</f>
        <v>Ignacio Pérez Tapia</v>
      </c>
      <c r="D297" s="9" t="str">
        <f>IFERROR(__xludf.DUMMYFUNCTION("""COMPUTED_VALUE"""),"ign.pérez@empresa.cl")</f>
        <v>ign.pérez@empresa.cl</v>
      </c>
      <c r="E297" s="9" t="str">
        <f>IFERROR(__xludf.DUMMYFUNCTION("""COMPUTED_VALUE"""),"Ñuñoa")</f>
        <v>Ñuñoa</v>
      </c>
      <c r="F297" s="9" t="str">
        <f>IFERROR(__xludf.DUMMYFUNCTION("""COMPUTED_VALUE"""),"Santiago")</f>
        <v>Santiago</v>
      </c>
      <c r="G297" s="9" t="str">
        <f>IFERROR(__xludf.DUMMYFUNCTION("""COMPUTED_VALUE"""),"Región Metropolitana")</f>
        <v>Región Metropolitana</v>
      </c>
      <c r="H297" s="10">
        <f>IFERROR(__xludf.DUMMYFUNCTION("""COMPUTED_VALUE"""),4810000.0)</f>
        <v>4810000</v>
      </c>
    </row>
    <row r="298">
      <c r="A298" s="9" t="str">
        <f>IFERROR(__xludf.DUMMYFUNCTION("""COMPUTED_VALUE"""),"CLI-0590")</f>
        <v>CLI-0590</v>
      </c>
      <c r="B298" s="9" t="str">
        <f>IFERROR(__xludf.DUMMYFUNCTION("""COMPUTED_VALUE"""),"13.658.110-1")</f>
        <v>13.658.110-1</v>
      </c>
      <c r="C298" s="9" t="str">
        <f>IFERROR(__xludf.DUMMYFUNCTION("""COMPUTED_VALUE"""),"Felipe Vergara Silva")</f>
        <v>Felipe Vergara Silva</v>
      </c>
      <c r="D298" s="9" t="str">
        <f>IFERROR(__xludf.DUMMYFUNCTION("""COMPUTED_VALUE"""),"fel.vergara@gmail.com")</f>
        <v>fel.vergara@gmail.com</v>
      </c>
      <c r="E298" s="9" t="str">
        <f>IFERROR(__xludf.DUMMYFUNCTION("""COMPUTED_VALUE"""),"Providencia")</f>
        <v>Providencia</v>
      </c>
      <c r="F298" s="9" t="str">
        <f>IFERROR(__xludf.DUMMYFUNCTION("""COMPUTED_VALUE"""),"Santiago")</f>
        <v>Santiago</v>
      </c>
      <c r="G298" s="9" t="str">
        <f>IFERROR(__xludf.DUMMYFUNCTION("""COMPUTED_VALUE"""),"Región Metropolitana")</f>
        <v>Región Metropolitana</v>
      </c>
      <c r="H298" s="10">
        <f>IFERROR(__xludf.DUMMYFUNCTION("""COMPUTED_VALUE"""),4800000.0)</f>
        <v>4800000</v>
      </c>
    </row>
    <row r="299">
      <c r="A299" s="9" t="str">
        <f>IFERROR(__xludf.DUMMYFUNCTION("""COMPUTED_VALUE"""),"CLI-0902")</f>
        <v>CLI-0902</v>
      </c>
      <c r="B299" s="9" t="str">
        <f>IFERROR(__xludf.DUMMYFUNCTION("""COMPUTED_VALUE"""),"18.433.263-3")</f>
        <v>18.433.263-3</v>
      </c>
      <c r="C299" s="9" t="str">
        <f>IFERROR(__xludf.DUMMYFUNCTION("""COMPUTED_VALUE"""),"Gabriel Silva Morales")</f>
        <v>Gabriel Silva Morales</v>
      </c>
      <c r="D299" s="9" t="str">
        <f>IFERROR(__xludf.DUMMYFUNCTION("""COMPUTED_VALUE"""),"gab.silva@empresa.cl")</f>
        <v>gab.silva@empresa.cl</v>
      </c>
      <c r="E299" s="9" t="str">
        <f>IFERROR(__xludf.DUMMYFUNCTION("""COMPUTED_VALUE"""),"Santiago Centro")</f>
        <v>Santiago Centro</v>
      </c>
      <c r="F299" s="9" t="str">
        <f>IFERROR(__xludf.DUMMYFUNCTION("""COMPUTED_VALUE"""),"Santiago")</f>
        <v>Santiago</v>
      </c>
      <c r="G299" s="9" t="str">
        <f>IFERROR(__xludf.DUMMYFUNCTION("""COMPUTED_VALUE"""),"Región Metropolitana")</f>
        <v>Región Metropolitana</v>
      </c>
      <c r="H299" s="10">
        <f>IFERROR(__xludf.DUMMYFUNCTION("""COMPUTED_VALUE"""),4790000.0)</f>
        <v>4790000</v>
      </c>
    </row>
    <row r="300">
      <c r="A300" s="9" t="str">
        <f>IFERROR(__xludf.DUMMYFUNCTION("""COMPUTED_VALUE"""),"CLI-0343")</f>
        <v>CLI-0343</v>
      </c>
      <c r="B300" s="9" t="str">
        <f>IFERROR(__xludf.DUMMYFUNCTION("""COMPUTED_VALUE"""),"12123240-4")</f>
        <v>12123240-4</v>
      </c>
      <c r="C300" s="9" t="str">
        <f>IFERROR(__xludf.DUMMYFUNCTION("""COMPUTED_VALUE"""),"Camila Rojas Morales")</f>
        <v>Camila Rojas Morales</v>
      </c>
      <c r="D300" s="9" t="str">
        <f>IFERROR(__xludf.DUMMYFUNCTION("""COMPUTED_VALUE"""),"cam.rojas@outlook.cl")</f>
        <v>cam.rojas@outlook.cl</v>
      </c>
      <c r="E300" s="9" t="str">
        <f>IFERROR(__xludf.DUMMYFUNCTION("""COMPUTED_VALUE"""),"Ñuñoa")</f>
        <v>Ñuñoa</v>
      </c>
      <c r="F300" s="9" t="str">
        <f>IFERROR(__xludf.DUMMYFUNCTION("""COMPUTED_VALUE"""),"Santiago")</f>
        <v>Santiago</v>
      </c>
      <c r="G300" s="9" t="str">
        <f>IFERROR(__xludf.DUMMYFUNCTION("""COMPUTED_VALUE"""),"Región Metropolitana")</f>
        <v>Región Metropolitana</v>
      </c>
      <c r="H300" s="10">
        <f>IFERROR(__xludf.DUMMYFUNCTION("""COMPUTED_VALUE"""),4700000.0)</f>
        <v>4700000</v>
      </c>
    </row>
    <row r="301">
      <c r="A301" s="9" t="str">
        <f>IFERROR(__xludf.DUMMYFUNCTION("""COMPUTED_VALUE"""),"CLI-0030")</f>
        <v>CLI-0030</v>
      </c>
      <c r="B301" s="9" t="str">
        <f>IFERROR(__xludf.DUMMYFUNCTION("""COMPUTED_VALUE"""),"15782346-2")</f>
        <v>15782346-2</v>
      </c>
      <c r="C301" s="9" t="str">
        <f>IFERROR(__xludf.DUMMYFUNCTION("""COMPUTED_VALUE"""),"Ignacio Fuentes Silva")</f>
        <v>Ignacio Fuentes Silva</v>
      </c>
      <c r="D301" s="9" t="str">
        <f>IFERROR(__xludf.DUMMYFUNCTION("""COMPUTED_VALUE"""),"ign.fuentes@servicios.cl")</f>
        <v>ign.fuentes@servicios.cl</v>
      </c>
      <c r="E301" s="9" t="str">
        <f>IFERROR(__xludf.DUMMYFUNCTION("""COMPUTED_VALUE"""),"Ñuñoa")</f>
        <v>Ñuñoa</v>
      </c>
      <c r="F301" s="9" t="str">
        <f>IFERROR(__xludf.DUMMYFUNCTION("""COMPUTED_VALUE"""),"Santiago")</f>
        <v>Santiago</v>
      </c>
      <c r="G301" s="9" t="str">
        <f>IFERROR(__xludf.DUMMYFUNCTION("""COMPUTED_VALUE"""),"Región Metropolitana")</f>
        <v>Región Metropolitana</v>
      </c>
      <c r="H301" s="10">
        <f>IFERROR(__xludf.DUMMYFUNCTION("""COMPUTED_VALUE"""),4690000.0)</f>
        <v>4690000</v>
      </c>
    </row>
    <row r="302">
      <c r="A302" s="9" t="str">
        <f>IFERROR(__xludf.DUMMYFUNCTION("""COMPUTED_VALUE"""),"CLI-0197")</f>
        <v>CLI-0197</v>
      </c>
      <c r="B302" s="9" t="str">
        <f>IFERROR(__xludf.DUMMYFUNCTION("""COMPUTED_VALUE"""),"16.632.116-2")</f>
        <v>16.632.116-2</v>
      </c>
      <c r="C302" s="9" t="str">
        <f>IFERROR(__xludf.DUMMYFUNCTION("""COMPUTED_VALUE"""),"Sofia Contreras Sepúlveda")</f>
        <v>Sofia Contreras Sepúlveda</v>
      </c>
      <c r="D302" s="9" t="str">
        <f>IFERROR(__xludf.DUMMYFUNCTION("""COMPUTED_VALUE"""),"sof.contreras@servicios.cl")</f>
        <v>sof.contreras@servicios.cl</v>
      </c>
      <c r="E302" s="9" t="str">
        <f>IFERROR(__xludf.DUMMYFUNCTION("""COMPUTED_VALUE"""),"Santiago Centro")</f>
        <v>Santiago Centro</v>
      </c>
      <c r="F302" s="9" t="str">
        <f>IFERROR(__xludf.DUMMYFUNCTION("""COMPUTED_VALUE"""),"Santiago")</f>
        <v>Santiago</v>
      </c>
      <c r="G302" s="9" t="str">
        <f>IFERROR(__xludf.DUMMYFUNCTION("""COMPUTED_VALUE"""),"Región Metropolitana")</f>
        <v>Región Metropolitana</v>
      </c>
      <c r="H302" s="10">
        <f>IFERROR(__xludf.DUMMYFUNCTION("""COMPUTED_VALUE"""),4540000.0)</f>
        <v>4540000</v>
      </c>
    </row>
    <row r="303">
      <c r="A303" s="9" t="str">
        <f>IFERROR(__xludf.DUMMYFUNCTION("""COMPUTED_VALUE"""),"CLI-0266")</f>
        <v>CLI-0266</v>
      </c>
      <c r="B303" s="9" t="str">
        <f>IFERROR(__xludf.DUMMYFUNCTION("""COMPUTED_VALUE"""),"15.152.724-3")</f>
        <v>15.152.724-3</v>
      </c>
      <c r="C303" s="9" t="str">
        <f>IFERROR(__xludf.DUMMYFUNCTION("""COMPUTED_VALUE"""),"Ignacio Valenzuela Morales")</f>
        <v>Ignacio Valenzuela Morales</v>
      </c>
      <c r="D303" s="9" t="str">
        <f>IFERROR(__xludf.DUMMYFUNCTION("""COMPUTED_VALUE"""),"ign.valenzuela@gmail.com")</f>
        <v>ign.valenzuela@gmail.com</v>
      </c>
      <c r="E303" s="9" t="str">
        <f>IFERROR(__xludf.DUMMYFUNCTION("""COMPUTED_VALUE"""),"Providencia")</f>
        <v>Providencia</v>
      </c>
      <c r="F303" s="9" t="str">
        <f>IFERROR(__xludf.DUMMYFUNCTION("""COMPUTED_VALUE"""),"Santiago")</f>
        <v>Santiago</v>
      </c>
      <c r="G303" s="9" t="str">
        <f>IFERROR(__xludf.DUMMYFUNCTION("""COMPUTED_VALUE"""),"Región Metropolitana")</f>
        <v>Región Metropolitana</v>
      </c>
      <c r="H303" s="10">
        <f>IFERROR(__xludf.DUMMYFUNCTION("""COMPUTED_VALUE"""),4370000.0)</f>
        <v>4370000</v>
      </c>
    </row>
    <row r="304">
      <c r="A304" s="9" t="str">
        <f>IFERROR(__xludf.DUMMYFUNCTION("""COMPUTED_VALUE"""),"CLI-0199")</f>
        <v>CLI-0199</v>
      </c>
      <c r="B304" s="9" t="str">
        <f>IFERROR(__xludf.DUMMYFUNCTION("""COMPUTED_VALUE"""),"21135963-2")</f>
        <v>21135963-2</v>
      </c>
      <c r="C304" s="9" t="str">
        <f>IFERROR(__xludf.DUMMYFUNCTION("""COMPUTED_VALUE"""),"Sofia Pérez González")</f>
        <v>Sofia Pérez González</v>
      </c>
      <c r="D304" s="9" t="str">
        <f>IFERROR(__xludf.DUMMYFUNCTION("""COMPUTED_VALUE"""),"sof.pérez@outlook.cl")</f>
        <v>sof.pérez@outlook.cl</v>
      </c>
      <c r="E304" s="9" t="str">
        <f>IFERROR(__xludf.DUMMYFUNCTION("""COMPUTED_VALUE"""),"Maipú")</f>
        <v>Maipú</v>
      </c>
      <c r="F304" s="9" t="str">
        <f>IFERROR(__xludf.DUMMYFUNCTION("""COMPUTED_VALUE"""),"Santiago")</f>
        <v>Santiago</v>
      </c>
      <c r="G304" s="9" t="str">
        <f>IFERROR(__xludf.DUMMYFUNCTION("""COMPUTED_VALUE"""),"Región Metropolitana")</f>
        <v>Región Metropolitana</v>
      </c>
      <c r="H304" s="10">
        <f>IFERROR(__xludf.DUMMYFUNCTION("""COMPUTED_VALUE"""),4340000.0)</f>
        <v>4340000</v>
      </c>
    </row>
    <row r="305">
      <c r="A305" s="9" t="str">
        <f>IFERROR(__xludf.DUMMYFUNCTION("""COMPUTED_VALUE"""),"CLI-0272")</f>
        <v>CLI-0272</v>
      </c>
      <c r="B305" s="9" t="str">
        <f>IFERROR(__xludf.DUMMYFUNCTION("""COMPUTED_VALUE"""),"20522529-8")</f>
        <v>20522529-8</v>
      </c>
      <c r="C305" s="9" t="str">
        <f>IFERROR(__xludf.DUMMYFUNCTION("""COMPUTED_VALUE"""),"Cristián Pérez Araya")</f>
        <v>Cristián Pérez Araya</v>
      </c>
      <c r="D305" s="9" t="str">
        <f>IFERROR(__xludf.DUMMYFUNCTION("""COMPUTED_VALUE"""),"cri.pérez@servicios.cl")</f>
        <v>cri.pérez@servicios.cl</v>
      </c>
      <c r="E305" s="9" t="str">
        <f>IFERROR(__xludf.DUMMYFUNCTION("""COMPUTED_VALUE"""),"Ñuñoa")</f>
        <v>Ñuñoa</v>
      </c>
      <c r="F305" s="9" t="str">
        <f>IFERROR(__xludf.DUMMYFUNCTION("""COMPUTED_VALUE"""),"Santiago")</f>
        <v>Santiago</v>
      </c>
      <c r="G305" s="9" t="str">
        <f>IFERROR(__xludf.DUMMYFUNCTION("""COMPUTED_VALUE"""),"Región Metropolitana")</f>
        <v>Región Metropolitana</v>
      </c>
      <c r="H305" s="10">
        <f>IFERROR(__xludf.DUMMYFUNCTION("""COMPUTED_VALUE"""),4310000.0)</f>
        <v>4310000</v>
      </c>
    </row>
    <row r="306">
      <c r="A306" s="9" t="str">
        <f>IFERROR(__xludf.DUMMYFUNCTION("""COMPUTED_VALUE"""),"CLI-0843")</f>
        <v>CLI-0843</v>
      </c>
      <c r="B306" s="9" t="str">
        <f>IFERROR(__xludf.DUMMYFUNCTION("""COMPUTED_VALUE"""),"16.640.904-8")</f>
        <v>16.640.904-8</v>
      </c>
      <c r="C306" s="9" t="str">
        <f>IFERROR(__xludf.DUMMYFUNCTION("""COMPUTED_VALUE"""),"Camila Araya Sepúlveda")</f>
        <v>Camila Araya Sepúlveda</v>
      </c>
      <c r="D306" s="9" t="str">
        <f>IFERROR(__xludf.DUMMYFUNCTION("""COMPUTED_VALUE"""),"cam.araya@empresa.cl")</f>
        <v>cam.araya@empresa.cl</v>
      </c>
      <c r="E306" s="9" t="str">
        <f>IFERROR(__xludf.DUMMYFUNCTION("""COMPUTED_VALUE"""),"Providencia")</f>
        <v>Providencia</v>
      </c>
      <c r="F306" s="9" t="str">
        <f>IFERROR(__xludf.DUMMYFUNCTION("""COMPUTED_VALUE"""),"Santiago")</f>
        <v>Santiago</v>
      </c>
      <c r="G306" s="9" t="str">
        <f>IFERROR(__xludf.DUMMYFUNCTION("""COMPUTED_VALUE"""),"Región Metropolitana")</f>
        <v>Región Metropolitana</v>
      </c>
      <c r="H306" s="10">
        <f>IFERROR(__xludf.DUMMYFUNCTION("""COMPUTED_VALUE"""),4200000.0)</f>
        <v>4200000</v>
      </c>
    </row>
    <row r="307">
      <c r="A307" s="9" t="str">
        <f>IFERROR(__xludf.DUMMYFUNCTION("""COMPUTED_VALUE"""),"CLI-0018")</f>
        <v>CLI-0018</v>
      </c>
      <c r="B307" s="9" t="str">
        <f>IFERROR(__xludf.DUMMYFUNCTION("""COMPUTED_VALUE"""),"21.435.970-1")</f>
        <v>21.435.970-1</v>
      </c>
      <c r="C307" s="9" t="str">
        <f>IFERROR(__xludf.DUMMYFUNCTION("""COMPUTED_VALUE"""),"Gabriel Contreras Soto")</f>
        <v>Gabriel Contreras Soto</v>
      </c>
      <c r="D307" s="9" t="str">
        <f>IFERROR(__xludf.DUMMYFUNCTION("""COMPUTED_VALUE"""),"gab.contreras@sura.cl")</f>
        <v>gab.contreras@sura.cl</v>
      </c>
      <c r="E307" s="9" t="str">
        <f>IFERROR(__xludf.DUMMYFUNCTION("""COMPUTED_VALUE"""),"Maipú")</f>
        <v>Maipú</v>
      </c>
      <c r="F307" s="9" t="str">
        <f>IFERROR(__xludf.DUMMYFUNCTION("""COMPUTED_VALUE"""),"Santiago")</f>
        <v>Santiago</v>
      </c>
      <c r="G307" s="9" t="str">
        <f>IFERROR(__xludf.DUMMYFUNCTION("""COMPUTED_VALUE"""),"Región Metropolitana")</f>
        <v>Región Metropolitana</v>
      </c>
      <c r="H307" s="10">
        <f>IFERROR(__xludf.DUMMYFUNCTION("""COMPUTED_VALUE"""),4000000.0)</f>
        <v>4000000</v>
      </c>
    </row>
    <row r="308">
      <c r="A308" s="9" t="str">
        <f>IFERROR(__xludf.DUMMYFUNCTION("""COMPUTED_VALUE"""),"CLI-0558")</f>
        <v>CLI-0558</v>
      </c>
      <c r="B308" s="9" t="str">
        <f>IFERROR(__xludf.DUMMYFUNCTION("""COMPUTED_VALUE"""),"14.592.281-K")</f>
        <v>14.592.281-K</v>
      </c>
      <c r="C308" s="9" t="str">
        <f>IFERROR(__xludf.DUMMYFUNCTION("""COMPUTED_VALUE"""),"Cristián López Vergara")</f>
        <v>Cristián López Vergara</v>
      </c>
      <c r="D308" s="9" t="str">
        <f>IFERROR(__xludf.DUMMYFUNCTION("""COMPUTED_VALUE"""),"cri.lópez@gmail.com")</f>
        <v>cri.lópez@gmail.com</v>
      </c>
      <c r="E308" s="9" t="str">
        <f>IFERROR(__xludf.DUMMYFUNCTION("""COMPUTED_VALUE"""),"Maipú")</f>
        <v>Maipú</v>
      </c>
      <c r="F308" s="9" t="str">
        <f>IFERROR(__xludf.DUMMYFUNCTION("""COMPUTED_VALUE"""),"Santiago")</f>
        <v>Santiago</v>
      </c>
      <c r="G308" s="9" t="str">
        <f>IFERROR(__xludf.DUMMYFUNCTION("""COMPUTED_VALUE"""),"Región Metropolitana")</f>
        <v>Región Metropolitana</v>
      </c>
      <c r="H308" s="10">
        <f>IFERROR(__xludf.DUMMYFUNCTION("""COMPUTED_VALUE"""),3910000.0)</f>
        <v>3910000</v>
      </c>
    </row>
    <row r="309">
      <c r="A309" s="9" t="str">
        <f>IFERROR(__xludf.DUMMYFUNCTION("""COMPUTED_VALUE"""),"CLI-0636")</f>
        <v>CLI-0636</v>
      </c>
      <c r="B309" s="9" t="str">
        <f>IFERROR(__xludf.DUMMYFUNCTION("""COMPUTED_VALUE"""),"21.472.222-2")</f>
        <v>21.472.222-2</v>
      </c>
      <c r="C309" s="9" t="str">
        <f>IFERROR(__xludf.DUMMYFUNCTION("""COMPUTED_VALUE"""),"Ignacio López Soto")</f>
        <v>Ignacio López Soto</v>
      </c>
      <c r="D309" s="9" t="str">
        <f>IFERROR(__xludf.DUMMYFUNCTION("""COMPUTED_VALUE"""),"ign.lópez@empresa.cl")</f>
        <v>ign.lópez@empresa.cl</v>
      </c>
      <c r="E309" s="9" t="str">
        <f>IFERROR(__xludf.DUMMYFUNCTION("""COMPUTED_VALUE"""),"Providencia")</f>
        <v>Providencia</v>
      </c>
      <c r="F309" s="9" t="str">
        <f>IFERROR(__xludf.DUMMYFUNCTION("""COMPUTED_VALUE"""),"Santiago")</f>
        <v>Santiago</v>
      </c>
      <c r="G309" s="9" t="str">
        <f>IFERROR(__xludf.DUMMYFUNCTION("""COMPUTED_VALUE"""),"Región Metropolitana")</f>
        <v>Región Metropolitana</v>
      </c>
      <c r="H309" s="10">
        <f>IFERROR(__xludf.DUMMYFUNCTION("""COMPUTED_VALUE"""),3880000.0)</f>
        <v>3880000</v>
      </c>
    </row>
    <row r="310">
      <c r="A310" s="9" t="str">
        <f>IFERROR(__xludf.DUMMYFUNCTION("""COMPUTED_VALUE"""),"CLI-0690")</f>
        <v>CLI-0690</v>
      </c>
      <c r="B310" s="9" t="str">
        <f>IFERROR(__xludf.DUMMYFUNCTION("""COMPUTED_VALUE"""),"14.660.453-8")</f>
        <v>14.660.453-8</v>
      </c>
      <c r="C310" s="9" t="str">
        <f>IFERROR(__xludf.DUMMYFUNCTION("""COMPUTED_VALUE"""),"Matías Vergara Soto")</f>
        <v>Matías Vergara Soto</v>
      </c>
      <c r="D310" s="9" t="str">
        <f>IFERROR(__xludf.DUMMYFUNCTION("""COMPUTED_VALUE"""),"mat.vergara@sura.cl")</f>
        <v>mat.vergara@sura.cl</v>
      </c>
      <c r="E310" s="9" t="str">
        <f>IFERROR(__xludf.DUMMYFUNCTION("""COMPUTED_VALUE"""),"Maipú")</f>
        <v>Maipú</v>
      </c>
      <c r="F310" s="9" t="str">
        <f>IFERROR(__xludf.DUMMYFUNCTION("""COMPUTED_VALUE"""),"Santiago")</f>
        <v>Santiago</v>
      </c>
      <c r="G310" s="9" t="str">
        <f>IFERROR(__xludf.DUMMYFUNCTION("""COMPUTED_VALUE"""),"Región Metropolitana")</f>
        <v>Región Metropolitana</v>
      </c>
      <c r="H310" s="10">
        <f>IFERROR(__xludf.DUMMYFUNCTION("""COMPUTED_VALUE"""),3870000.0)</f>
        <v>3870000</v>
      </c>
    </row>
    <row r="311">
      <c r="A311" s="9" t="str">
        <f>IFERROR(__xludf.DUMMYFUNCTION("""COMPUTED_VALUE"""),"CLI-0768")</f>
        <v>CLI-0768</v>
      </c>
      <c r="B311" s="9" t="str">
        <f>IFERROR(__xludf.DUMMYFUNCTION("""COMPUTED_VALUE"""),"18036179-1")</f>
        <v>18036179-1</v>
      </c>
      <c r="C311" s="9" t="str">
        <f>IFERROR(__xludf.DUMMYFUNCTION("""COMPUTED_VALUE"""),"Javier Díaz González")</f>
        <v>Javier Díaz González</v>
      </c>
      <c r="D311" s="9" t="str">
        <f>IFERROR(__xludf.DUMMYFUNCTION("""COMPUTED_VALUE"""),"jav.díaz@gmail.com")</f>
        <v>jav.díaz@gmail.com</v>
      </c>
      <c r="E311" s="9" t="str">
        <f>IFERROR(__xludf.DUMMYFUNCTION("""COMPUTED_VALUE"""),"Ñuñoa")</f>
        <v>Ñuñoa</v>
      </c>
      <c r="F311" s="9" t="str">
        <f>IFERROR(__xludf.DUMMYFUNCTION("""COMPUTED_VALUE"""),"Santiago")</f>
        <v>Santiago</v>
      </c>
      <c r="G311" s="9" t="str">
        <f>IFERROR(__xludf.DUMMYFUNCTION("""COMPUTED_VALUE"""),"Región Metropolitana")</f>
        <v>Región Metropolitana</v>
      </c>
      <c r="H311" s="10">
        <f>IFERROR(__xludf.DUMMYFUNCTION("""COMPUTED_VALUE"""),3760000.0)</f>
        <v>3760000</v>
      </c>
    </row>
    <row r="312">
      <c r="A312" s="9" t="str">
        <f>IFERROR(__xludf.DUMMYFUNCTION("""COMPUTED_VALUE"""),"CLI-0737")</f>
        <v>CLI-0737</v>
      </c>
      <c r="B312" s="9" t="str">
        <f>IFERROR(__xludf.DUMMYFUNCTION("""COMPUTED_VALUE"""),"15.578.153-2")</f>
        <v>15.578.153-2</v>
      </c>
      <c r="C312" s="9" t="str">
        <f>IFERROR(__xludf.DUMMYFUNCTION("""COMPUTED_VALUE"""),"Marcela Valenzuela Muñoz")</f>
        <v>Marcela Valenzuela Muñoz</v>
      </c>
      <c r="D312" s="9" t="str">
        <f>IFERROR(__xludf.DUMMYFUNCTION("""COMPUTED_VALUE"""),"mar.valenzuela@servicios.cl")</f>
        <v>mar.valenzuela@servicios.cl</v>
      </c>
      <c r="E312" s="9" t="str">
        <f>IFERROR(__xludf.DUMMYFUNCTION("""COMPUTED_VALUE"""),"Maipú")</f>
        <v>Maipú</v>
      </c>
      <c r="F312" s="9" t="str">
        <f>IFERROR(__xludf.DUMMYFUNCTION("""COMPUTED_VALUE"""),"Santiago")</f>
        <v>Santiago</v>
      </c>
      <c r="G312" s="9" t="str">
        <f>IFERROR(__xludf.DUMMYFUNCTION("""COMPUTED_VALUE"""),"Región Metropolitana")</f>
        <v>Región Metropolitana</v>
      </c>
      <c r="H312" s="10">
        <f>IFERROR(__xludf.DUMMYFUNCTION("""COMPUTED_VALUE"""),3710000.0)</f>
        <v>3710000</v>
      </c>
    </row>
    <row r="313">
      <c r="A313" s="9" t="str">
        <f>IFERROR(__xludf.DUMMYFUNCTION("""COMPUTED_VALUE"""),"CLI-0699")</f>
        <v>CLI-0699</v>
      </c>
      <c r="B313" s="9" t="str">
        <f>IFERROR(__xludf.DUMMYFUNCTION("""COMPUTED_VALUE"""),"22.103.785-5")</f>
        <v>22.103.785-5</v>
      </c>
      <c r="C313" s="9" t="str">
        <f>IFERROR(__xludf.DUMMYFUNCTION("""COMPUTED_VALUE"""),"Camila Morales Tapia")</f>
        <v>Camila Morales Tapia</v>
      </c>
      <c r="D313" s="9" t="str">
        <f>IFERROR(__xludf.DUMMYFUNCTION("""COMPUTED_VALUE"""),"cam.morales@consultora.cl")</f>
        <v>cam.morales@consultora.cl</v>
      </c>
      <c r="E313" s="9" t="str">
        <f>IFERROR(__xludf.DUMMYFUNCTION("""COMPUTED_VALUE"""),"Santiago Centro")</f>
        <v>Santiago Centro</v>
      </c>
      <c r="F313" s="9" t="str">
        <f>IFERROR(__xludf.DUMMYFUNCTION("""COMPUTED_VALUE"""),"Santiago")</f>
        <v>Santiago</v>
      </c>
      <c r="G313" s="9" t="str">
        <f>IFERROR(__xludf.DUMMYFUNCTION("""COMPUTED_VALUE"""),"Región Metropolitana")</f>
        <v>Región Metropolitana</v>
      </c>
      <c r="H313" s="10">
        <f>IFERROR(__xludf.DUMMYFUNCTION("""COMPUTED_VALUE"""),3670000.0)</f>
        <v>3670000</v>
      </c>
    </row>
    <row r="314">
      <c r="A314" s="9" t="str">
        <f>IFERROR(__xludf.DUMMYFUNCTION("""COMPUTED_VALUE"""),"CLI-0321")</f>
        <v>CLI-0321</v>
      </c>
      <c r="B314" s="9" t="str">
        <f>IFERROR(__xludf.DUMMYFUNCTION("""COMPUTED_VALUE"""),"12.812.552-0")</f>
        <v>12.812.552-0</v>
      </c>
      <c r="C314" s="9" t="str">
        <f>IFERROR(__xludf.DUMMYFUNCTION("""COMPUTED_VALUE"""),"Constanza López López")</f>
        <v>Constanza López López</v>
      </c>
      <c r="D314" s="9" t="str">
        <f>IFERROR(__xludf.DUMMYFUNCTION("""COMPUTED_VALUE"""),"con.lópez@gmail.com")</f>
        <v>con.lópez@gmail.com</v>
      </c>
      <c r="E314" s="9" t="str">
        <f>IFERROR(__xludf.DUMMYFUNCTION("""COMPUTED_VALUE"""),"Las Condes")</f>
        <v>Las Condes</v>
      </c>
      <c r="F314" s="9" t="str">
        <f>IFERROR(__xludf.DUMMYFUNCTION("""COMPUTED_VALUE"""),"Santiago")</f>
        <v>Santiago</v>
      </c>
      <c r="G314" s="9" t="str">
        <f>IFERROR(__xludf.DUMMYFUNCTION("""COMPUTED_VALUE"""),"Región Metropolitana")</f>
        <v>Región Metropolitana</v>
      </c>
      <c r="H314" s="10">
        <f>IFERROR(__xludf.DUMMYFUNCTION("""COMPUTED_VALUE"""),3610000.0)</f>
        <v>3610000</v>
      </c>
    </row>
    <row r="315">
      <c r="A315" s="9" t="str">
        <f>IFERROR(__xludf.DUMMYFUNCTION("""COMPUTED_VALUE"""),"CLI-0017")</f>
        <v>CLI-0017</v>
      </c>
      <c r="B315" s="9" t="str">
        <f>IFERROR(__xludf.DUMMYFUNCTION("""COMPUTED_VALUE"""),"19518387-3")</f>
        <v>19518387-3</v>
      </c>
      <c r="C315" s="9" t="str">
        <f>IFERROR(__xludf.DUMMYFUNCTION("""COMPUTED_VALUE"""),"Paula Contreras Morales")</f>
        <v>Paula Contreras Morales</v>
      </c>
      <c r="D315" s="9" t="str">
        <f>IFERROR(__xludf.DUMMYFUNCTION("""COMPUTED_VALUE"""),"pau.contreras@servicios.cl")</f>
        <v>pau.contreras@servicios.cl</v>
      </c>
      <c r="E315" s="9" t="str">
        <f>IFERROR(__xludf.DUMMYFUNCTION("""COMPUTED_VALUE"""),"Providencia")</f>
        <v>Providencia</v>
      </c>
      <c r="F315" s="9" t="str">
        <f>IFERROR(__xludf.DUMMYFUNCTION("""COMPUTED_VALUE"""),"Santiago")</f>
        <v>Santiago</v>
      </c>
      <c r="G315" s="9" t="str">
        <f>IFERROR(__xludf.DUMMYFUNCTION("""COMPUTED_VALUE"""),"Región Metropolitana")</f>
        <v>Región Metropolitana</v>
      </c>
      <c r="H315" s="10">
        <f>IFERROR(__xludf.DUMMYFUNCTION("""COMPUTED_VALUE"""),3490000.0)</f>
        <v>3490000</v>
      </c>
    </row>
    <row r="316">
      <c r="A316" s="9" t="str">
        <f>IFERROR(__xludf.DUMMYFUNCTION("""COMPUTED_VALUE"""),"CLI-0799")</f>
        <v>CLI-0799</v>
      </c>
      <c r="B316" s="9" t="str">
        <f>IFERROR(__xludf.DUMMYFUNCTION("""COMPUTED_VALUE"""),"11.124.171-2")</f>
        <v>11.124.171-2</v>
      </c>
      <c r="C316" s="9" t="str">
        <f>IFERROR(__xludf.DUMMYFUNCTION("""COMPUTED_VALUE"""),"Andrea Sepúlveda Espinoza")</f>
        <v>Andrea Sepúlveda Espinoza</v>
      </c>
      <c r="D316" s="9" t="str">
        <f>IFERROR(__xludf.DUMMYFUNCTION("""COMPUTED_VALUE"""),"and.sepúlveda@consultora.cl")</f>
        <v>and.sepúlveda@consultora.cl</v>
      </c>
      <c r="E316" s="9" t="str">
        <f>IFERROR(__xludf.DUMMYFUNCTION("""COMPUTED_VALUE"""),"Las Condes")</f>
        <v>Las Condes</v>
      </c>
      <c r="F316" s="9" t="str">
        <f>IFERROR(__xludf.DUMMYFUNCTION("""COMPUTED_VALUE"""),"Santiago")</f>
        <v>Santiago</v>
      </c>
      <c r="G316" s="9" t="str">
        <f>IFERROR(__xludf.DUMMYFUNCTION("""COMPUTED_VALUE"""),"Región Metropolitana")</f>
        <v>Región Metropolitana</v>
      </c>
      <c r="H316" s="10">
        <f>IFERROR(__xludf.DUMMYFUNCTION("""COMPUTED_VALUE"""),3460000.0)</f>
        <v>3460000</v>
      </c>
    </row>
    <row r="317">
      <c r="A317" s="9" t="str">
        <f>IFERROR(__xludf.DUMMYFUNCTION("""COMPUTED_VALUE"""),"CLI-0706")</f>
        <v>CLI-0706</v>
      </c>
      <c r="B317" s="9" t="str">
        <f>IFERROR(__xludf.DUMMYFUNCTION("""COMPUTED_VALUE"""),"20670432-3")</f>
        <v>20670432-3</v>
      </c>
      <c r="C317" s="9" t="str">
        <f>IFERROR(__xludf.DUMMYFUNCTION("""COMPUTED_VALUE"""),"Rodrigo Silva González")</f>
        <v>Rodrigo Silva González</v>
      </c>
      <c r="D317" s="9" t="str">
        <f>IFERROR(__xludf.DUMMYFUNCTION("""COMPUTED_VALUE"""),"rod.silva@gmail.com")</f>
        <v>rod.silva@gmail.com</v>
      </c>
      <c r="E317" s="9" t="str">
        <f>IFERROR(__xludf.DUMMYFUNCTION("""COMPUTED_VALUE"""),"Santiago Centro")</f>
        <v>Santiago Centro</v>
      </c>
      <c r="F317" s="9" t="str">
        <f>IFERROR(__xludf.DUMMYFUNCTION("""COMPUTED_VALUE"""),"Santiago")</f>
        <v>Santiago</v>
      </c>
      <c r="G317" s="9" t="str">
        <f>IFERROR(__xludf.DUMMYFUNCTION("""COMPUTED_VALUE"""),"Región Metropolitana")</f>
        <v>Región Metropolitana</v>
      </c>
      <c r="H317" s="10">
        <f>IFERROR(__xludf.DUMMYFUNCTION("""COMPUTED_VALUE"""),3440000.0)</f>
        <v>3440000</v>
      </c>
    </row>
    <row r="318">
      <c r="A318" s="9" t="str">
        <f>IFERROR(__xludf.DUMMYFUNCTION("""COMPUTED_VALUE"""),"CLI-0938")</f>
        <v>CLI-0938</v>
      </c>
      <c r="B318" s="9" t="str">
        <f>IFERROR(__xludf.DUMMYFUNCTION("""COMPUTED_VALUE"""),"19.932.030-4")</f>
        <v>19.932.030-4</v>
      </c>
      <c r="C318" s="9" t="str">
        <f>IFERROR(__xludf.DUMMYFUNCTION("""COMPUTED_VALUE"""),"Cristián Valenzuela Sepúlveda")</f>
        <v>Cristián Valenzuela Sepúlveda</v>
      </c>
      <c r="D318" s="9" t="str">
        <f>IFERROR(__xludf.DUMMYFUNCTION("""COMPUTED_VALUE"""),"cri.valenzuela@empresa.cl")</f>
        <v>cri.valenzuela@empresa.cl</v>
      </c>
      <c r="E318" s="9" t="str">
        <f>IFERROR(__xludf.DUMMYFUNCTION("""COMPUTED_VALUE"""),"Las Condes")</f>
        <v>Las Condes</v>
      </c>
      <c r="F318" s="9" t="str">
        <f>IFERROR(__xludf.DUMMYFUNCTION("""COMPUTED_VALUE"""),"Santiago")</f>
        <v>Santiago</v>
      </c>
      <c r="G318" s="9" t="str">
        <f>IFERROR(__xludf.DUMMYFUNCTION("""COMPUTED_VALUE"""),"Región Metropolitana")</f>
        <v>Región Metropolitana</v>
      </c>
      <c r="H318" s="10">
        <f>IFERROR(__xludf.DUMMYFUNCTION("""COMPUTED_VALUE"""),3410000.0)</f>
        <v>3410000</v>
      </c>
    </row>
    <row r="319">
      <c r="A319" s="9" t="str">
        <f>IFERROR(__xludf.DUMMYFUNCTION("""COMPUTED_VALUE"""),"CLI-0660")</f>
        <v>CLI-0660</v>
      </c>
      <c r="B319" s="9" t="str">
        <f>IFERROR(__xludf.DUMMYFUNCTION("""COMPUTED_VALUE"""),"21.146.164-1")</f>
        <v>21.146.164-1</v>
      </c>
      <c r="C319" s="9" t="str">
        <f>IFERROR(__xludf.DUMMYFUNCTION("""COMPUTED_VALUE"""),"Claudio Sepúlveda Tapia")</f>
        <v>Claudio Sepúlveda Tapia</v>
      </c>
      <c r="D319" s="9" t="str">
        <f>IFERROR(__xludf.DUMMYFUNCTION("""COMPUTED_VALUE"""),"cla.sepúlveda@outlook.cl")</f>
        <v>cla.sepúlveda@outlook.cl</v>
      </c>
      <c r="E319" s="9" t="str">
        <f>IFERROR(__xludf.DUMMYFUNCTION("""COMPUTED_VALUE"""),"Santiago Centro")</f>
        <v>Santiago Centro</v>
      </c>
      <c r="F319" s="9" t="str">
        <f>IFERROR(__xludf.DUMMYFUNCTION("""COMPUTED_VALUE"""),"Santiago")</f>
        <v>Santiago</v>
      </c>
      <c r="G319" s="9" t="str">
        <f>IFERROR(__xludf.DUMMYFUNCTION("""COMPUTED_VALUE"""),"Región Metropolitana")</f>
        <v>Región Metropolitana</v>
      </c>
      <c r="H319" s="10">
        <f>IFERROR(__xludf.DUMMYFUNCTION("""COMPUTED_VALUE"""),3170000.0)</f>
        <v>3170000</v>
      </c>
    </row>
    <row r="320">
      <c r="A320" s="9" t="str">
        <f>IFERROR(__xludf.DUMMYFUNCTION("""COMPUTED_VALUE"""),"CLI-0468")</f>
        <v>CLI-0468</v>
      </c>
      <c r="B320" s="9" t="str">
        <f>IFERROR(__xludf.DUMMYFUNCTION("""COMPUTED_VALUE"""),"21.727.277-4")</f>
        <v>21.727.277-4</v>
      </c>
      <c r="C320" s="9" t="str">
        <f>IFERROR(__xludf.DUMMYFUNCTION("""COMPUTED_VALUE"""),"Hernán Tapia Espinoza")</f>
        <v>Hernán Tapia Espinoza</v>
      </c>
      <c r="D320" s="9" t="str">
        <f>IFERROR(__xludf.DUMMYFUNCTION("""COMPUTED_VALUE"""),"her.tapia@sura.cl")</f>
        <v>her.tapia@sura.cl</v>
      </c>
      <c r="E320" s="9" t="str">
        <f>IFERROR(__xludf.DUMMYFUNCTION("""COMPUTED_VALUE"""),"Santiago Centro")</f>
        <v>Santiago Centro</v>
      </c>
      <c r="F320" s="9" t="str">
        <f>IFERROR(__xludf.DUMMYFUNCTION("""COMPUTED_VALUE"""),"Santiago")</f>
        <v>Santiago</v>
      </c>
      <c r="G320" s="9" t="str">
        <f>IFERROR(__xludf.DUMMYFUNCTION("""COMPUTED_VALUE"""),"Región Metropolitana")</f>
        <v>Región Metropolitana</v>
      </c>
      <c r="H320" s="10">
        <f>IFERROR(__xludf.DUMMYFUNCTION("""COMPUTED_VALUE"""),3170000.0)</f>
        <v>3170000</v>
      </c>
    </row>
    <row r="321">
      <c r="A321" s="9" t="str">
        <f>IFERROR(__xludf.DUMMYFUNCTION("""COMPUTED_VALUE"""),"CLI-0008")</f>
        <v>CLI-0008</v>
      </c>
      <c r="B321" s="9" t="str">
        <f>IFERROR(__xludf.DUMMYFUNCTION("""COMPUTED_VALUE"""),"20.205.046-2")</f>
        <v>20.205.046-2</v>
      </c>
      <c r="C321" s="9" t="str">
        <f>IFERROR(__xludf.DUMMYFUNCTION("""COMPUTED_VALUE"""),"Mauricio Araya Tapia")</f>
        <v>Mauricio Araya Tapia</v>
      </c>
      <c r="D321" s="9" t="str">
        <f>IFERROR(__xludf.DUMMYFUNCTION("""COMPUTED_VALUE"""),"mau.araya@outlook.cl")</f>
        <v>mau.araya@outlook.cl</v>
      </c>
      <c r="E321" s="9" t="str">
        <f>IFERROR(__xludf.DUMMYFUNCTION("""COMPUTED_VALUE"""),"Santiago Centro")</f>
        <v>Santiago Centro</v>
      </c>
      <c r="F321" s="9" t="str">
        <f>IFERROR(__xludf.DUMMYFUNCTION("""COMPUTED_VALUE"""),"Santiago")</f>
        <v>Santiago</v>
      </c>
      <c r="G321" s="9" t="str">
        <f>IFERROR(__xludf.DUMMYFUNCTION("""COMPUTED_VALUE"""),"Región Metropolitana")</f>
        <v>Región Metropolitana</v>
      </c>
      <c r="H321" s="10">
        <f>IFERROR(__xludf.DUMMYFUNCTION("""COMPUTED_VALUE"""),3170000.0)</f>
        <v>3170000</v>
      </c>
    </row>
    <row r="322">
      <c r="A322" s="9" t="str">
        <f>IFERROR(__xludf.DUMMYFUNCTION("""COMPUTED_VALUE"""),"CLI-0868")</f>
        <v>CLI-0868</v>
      </c>
      <c r="B322" s="9" t="str">
        <f>IFERROR(__xludf.DUMMYFUNCTION("""COMPUTED_VALUE"""),"17.644.890-8")</f>
        <v>17.644.890-8</v>
      </c>
      <c r="C322" s="9" t="str">
        <f>IFERROR(__xludf.DUMMYFUNCTION("""COMPUTED_VALUE"""),"Ignacio Fuentes Morales")</f>
        <v>Ignacio Fuentes Morales</v>
      </c>
      <c r="D322" s="9" t="str">
        <f>IFERROR(__xludf.DUMMYFUNCTION("""COMPUTED_VALUE"""),"ign.fuentes@empresa.cl")</f>
        <v>ign.fuentes@empresa.cl</v>
      </c>
      <c r="E322" s="9" t="str">
        <f>IFERROR(__xludf.DUMMYFUNCTION("""COMPUTED_VALUE"""),"Maipú")</f>
        <v>Maipú</v>
      </c>
      <c r="F322" s="9" t="str">
        <f>IFERROR(__xludf.DUMMYFUNCTION("""COMPUTED_VALUE"""),"Santiago")</f>
        <v>Santiago</v>
      </c>
      <c r="G322" s="9" t="str">
        <f>IFERROR(__xludf.DUMMYFUNCTION("""COMPUTED_VALUE"""),"Región Metropolitana")</f>
        <v>Región Metropolitana</v>
      </c>
      <c r="H322" s="10">
        <f>IFERROR(__xludf.DUMMYFUNCTION("""COMPUTED_VALUE"""),3140000.0)</f>
        <v>3140000</v>
      </c>
    </row>
    <row r="323">
      <c r="A323" s="9" t="str">
        <f>IFERROR(__xludf.DUMMYFUNCTION("""COMPUTED_VALUE"""),"CLI-0250")</f>
        <v>CLI-0250</v>
      </c>
      <c r="B323" s="9" t="str">
        <f>IFERROR(__xludf.DUMMYFUNCTION("""COMPUTED_VALUE"""),"21.074.922-3")</f>
        <v>21.074.922-3</v>
      </c>
      <c r="C323" s="9" t="str">
        <f>IFERROR(__xludf.DUMMYFUNCTION("""COMPUTED_VALUE"""),"Rodrigo Fuentes Araya")</f>
        <v>Rodrigo Fuentes Araya</v>
      </c>
      <c r="D323" s="9" t="str">
        <f>IFERROR(__xludf.DUMMYFUNCTION("""COMPUTED_VALUE"""),"rod.fuentes@outlook.cl")</f>
        <v>rod.fuentes@outlook.cl</v>
      </c>
      <c r="E323" s="9" t="str">
        <f>IFERROR(__xludf.DUMMYFUNCTION("""COMPUTED_VALUE"""),"Las Condes")</f>
        <v>Las Condes</v>
      </c>
      <c r="F323" s="9" t="str">
        <f>IFERROR(__xludf.DUMMYFUNCTION("""COMPUTED_VALUE"""),"Santiago")</f>
        <v>Santiago</v>
      </c>
      <c r="G323" s="9" t="str">
        <f>IFERROR(__xludf.DUMMYFUNCTION("""COMPUTED_VALUE"""),"Región Metropolitana")</f>
        <v>Región Metropolitana</v>
      </c>
      <c r="H323" s="10">
        <f>IFERROR(__xludf.DUMMYFUNCTION("""COMPUTED_VALUE"""),3140000.0)</f>
        <v>3140000</v>
      </c>
    </row>
    <row r="324">
      <c r="A324" s="9" t="str">
        <f>IFERROR(__xludf.DUMMYFUNCTION("""COMPUTED_VALUE"""),"CLI-0792")</f>
        <v>CLI-0792</v>
      </c>
      <c r="B324" s="9" t="str">
        <f>IFERROR(__xludf.DUMMYFUNCTION("""COMPUTED_VALUE"""),"13.189.660-2")</f>
        <v>13.189.660-2</v>
      </c>
      <c r="C324" s="9" t="str">
        <f>IFERROR(__xludf.DUMMYFUNCTION("""COMPUTED_VALUE"""),"Álvaro Rodríguez Rodríguez")</f>
        <v>Álvaro Rodríguez Rodríguez</v>
      </c>
      <c r="D324" s="9" t="str">
        <f>IFERROR(__xludf.DUMMYFUNCTION("""COMPUTED_VALUE"""),"álv.rodríguez@consultora.cl")</f>
        <v>álv.rodríguez@consultora.cl</v>
      </c>
      <c r="E324" s="9" t="str">
        <f>IFERROR(__xludf.DUMMYFUNCTION("""COMPUTED_VALUE"""),"Maipú")</f>
        <v>Maipú</v>
      </c>
      <c r="F324" s="9" t="str">
        <f>IFERROR(__xludf.DUMMYFUNCTION("""COMPUTED_VALUE"""),"Santiago")</f>
        <v>Santiago</v>
      </c>
      <c r="G324" s="9" t="str">
        <f>IFERROR(__xludf.DUMMYFUNCTION("""COMPUTED_VALUE"""),"Región Metropolitana")</f>
        <v>Región Metropolitana</v>
      </c>
      <c r="H324" s="10">
        <f>IFERROR(__xludf.DUMMYFUNCTION("""COMPUTED_VALUE"""),3080000.0)</f>
        <v>3080000</v>
      </c>
    </row>
    <row r="325">
      <c r="A325" s="9" t="str">
        <f>IFERROR(__xludf.DUMMYFUNCTION("""COMPUTED_VALUE"""),"CLI-0896")</f>
        <v>CLI-0896</v>
      </c>
      <c r="B325" s="9" t="str">
        <f>IFERROR(__xludf.DUMMYFUNCTION("""COMPUTED_VALUE"""),"12.762.444-8")</f>
        <v>12.762.444-8</v>
      </c>
      <c r="C325" s="9" t="str">
        <f>IFERROR(__xludf.DUMMYFUNCTION("""COMPUTED_VALUE"""),"Rodrigo Morales Díaz")</f>
        <v>Rodrigo Morales Díaz</v>
      </c>
      <c r="D325" s="9" t="str">
        <f>IFERROR(__xludf.DUMMYFUNCTION("""COMPUTED_VALUE"""),"rod.morales@outlook.cl")</f>
        <v>rod.morales@outlook.cl</v>
      </c>
      <c r="E325" s="9" t="str">
        <f>IFERROR(__xludf.DUMMYFUNCTION("""COMPUTED_VALUE"""),"Ñuñoa")</f>
        <v>Ñuñoa</v>
      </c>
      <c r="F325" s="9" t="str">
        <f>IFERROR(__xludf.DUMMYFUNCTION("""COMPUTED_VALUE"""),"Santiago")</f>
        <v>Santiago</v>
      </c>
      <c r="G325" s="9" t="str">
        <f>IFERROR(__xludf.DUMMYFUNCTION("""COMPUTED_VALUE"""),"Región Metropolitana")</f>
        <v>Región Metropolitana</v>
      </c>
      <c r="H325" s="10">
        <f>IFERROR(__xludf.DUMMYFUNCTION("""COMPUTED_VALUE"""),3070000.0)</f>
        <v>3070000</v>
      </c>
    </row>
    <row r="326">
      <c r="A326" s="9" t="str">
        <f>IFERROR(__xludf.DUMMYFUNCTION("""COMPUTED_VALUE"""),"CLI-0102")</f>
        <v>CLI-0102</v>
      </c>
      <c r="B326" s="9" t="str">
        <f>IFERROR(__xludf.DUMMYFUNCTION("""COMPUTED_VALUE"""),"15.833.955-4")</f>
        <v>15.833.955-4</v>
      </c>
      <c r="C326" s="9" t="str">
        <f>IFERROR(__xludf.DUMMYFUNCTION("""COMPUTED_VALUE"""),"Diego Silva Araya")</f>
        <v>Diego Silva Araya</v>
      </c>
      <c r="D326" s="9" t="str">
        <f>IFERROR(__xludf.DUMMYFUNCTION("""COMPUTED_VALUE"""),"die.silva@gmail.com")</f>
        <v>die.silva@gmail.com</v>
      </c>
      <c r="E326" s="9" t="str">
        <f>IFERROR(__xludf.DUMMYFUNCTION("""COMPUTED_VALUE"""),"Las Condes")</f>
        <v>Las Condes</v>
      </c>
      <c r="F326" s="9" t="str">
        <f>IFERROR(__xludf.DUMMYFUNCTION("""COMPUTED_VALUE"""),"Santiago")</f>
        <v>Santiago</v>
      </c>
      <c r="G326" s="9" t="str">
        <f>IFERROR(__xludf.DUMMYFUNCTION("""COMPUTED_VALUE"""),"Región Metropolitana")</f>
        <v>Región Metropolitana</v>
      </c>
      <c r="H326" s="10">
        <f>IFERROR(__xludf.DUMMYFUNCTION("""COMPUTED_VALUE"""),3000000.0)</f>
        <v>3000000</v>
      </c>
    </row>
    <row r="327">
      <c r="A327" s="9" t="str">
        <f>IFERROR(__xludf.DUMMYFUNCTION("""COMPUTED_VALUE"""),"CLI-0765")</f>
        <v>CLI-0765</v>
      </c>
      <c r="B327" s="9" t="str">
        <f>IFERROR(__xludf.DUMMYFUNCTION("""COMPUTED_VALUE"""),"17.034.609-0")</f>
        <v>17.034.609-0</v>
      </c>
      <c r="C327" s="9" t="str">
        <f>IFERROR(__xludf.DUMMYFUNCTION("""COMPUTED_VALUE"""),"Sofia Silva Espinoza")</f>
        <v>Sofia Silva Espinoza</v>
      </c>
      <c r="D327" s="9" t="str">
        <f>IFERROR(__xludf.DUMMYFUNCTION("""COMPUTED_VALUE"""),"sof.silva@outlook.cl")</f>
        <v>sof.silva@outlook.cl</v>
      </c>
      <c r="E327" s="9" t="str">
        <f>IFERROR(__xludf.DUMMYFUNCTION("""COMPUTED_VALUE"""),"Las Condes")</f>
        <v>Las Condes</v>
      </c>
      <c r="F327" s="9" t="str">
        <f>IFERROR(__xludf.DUMMYFUNCTION("""COMPUTED_VALUE"""),"Santiago")</f>
        <v>Santiago</v>
      </c>
      <c r="G327" s="9" t="str">
        <f>IFERROR(__xludf.DUMMYFUNCTION("""COMPUTED_VALUE"""),"Región Metropolitana")</f>
        <v>Región Metropolitana</v>
      </c>
      <c r="H327" s="10">
        <f>IFERROR(__xludf.DUMMYFUNCTION("""COMPUTED_VALUE"""),2990000.0)</f>
        <v>2990000</v>
      </c>
    </row>
    <row r="328">
      <c r="A328" s="9" t="str">
        <f>IFERROR(__xludf.DUMMYFUNCTION("""COMPUTED_VALUE"""),"CLI-0867")</f>
        <v>CLI-0867</v>
      </c>
      <c r="B328" s="9" t="str">
        <f>IFERROR(__xludf.DUMMYFUNCTION("""COMPUTED_VALUE"""),"19.157.124-1")</f>
        <v>19.157.124-1</v>
      </c>
      <c r="C328" s="9" t="str">
        <f>IFERROR(__xludf.DUMMYFUNCTION("""COMPUTED_VALUE"""),"Macarena Contreras Pérez")</f>
        <v>Macarena Contreras Pérez</v>
      </c>
      <c r="D328" s="9" t="str">
        <f>IFERROR(__xludf.DUMMYFUNCTION("""COMPUTED_VALUE"""),"mac.contreras@sura.cl")</f>
        <v>mac.contreras@sura.cl</v>
      </c>
      <c r="E328" s="9" t="str">
        <f>IFERROR(__xludf.DUMMYFUNCTION("""COMPUTED_VALUE"""),"Providencia")</f>
        <v>Providencia</v>
      </c>
      <c r="F328" s="9" t="str">
        <f>IFERROR(__xludf.DUMMYFUNCTION("""COMPUTED_VALUE"""),"Santiago")</f>
        <v>Santiago</v>
      </c>
      <c r="G328" s="9" t="str">
        <f>IFERROR(__xludf.DUMMYFUNCTION("""COMPUTED_VALUE"""),"Región Metropolitana")</f>
        <v>Región Metropolitana</v>
      </c>
      <c r="H328" s="10">
        <f>IFERROR(__xludf.DUMMYFUNCTION("""COMPUTED_VALUE"""),2940000.0)</f>
        <v>2940000</v>
      </c>
    </row>
    <row r="329">
      <c r="A329" s="9" t="str">
        <f>IFERROR(__xludf.DUMMYFUNCTION("""COMPUTED_VALUE"""),"CLI-0308")</f>
        <v>CLI-0308</v>
      </c>
      <c r="B329" s="9" t="str">
        <f>IFERROR(__xludf.DUMMYFUNCTION("""COMPUTED_VALUE"""),"20.807.597-0")</f>
        <v>20.807.597-0</v>
      </c>
      <c r="C329" s="9" t="str">
        <f>IFERROR(__xludf.DUMMYFUNCTION("""COMPUTED_VALUE"""),"Hernán Pérez López")</f>
        <v>Hernán Pérez López</v>
      </c>
      <c r="D329" s="9" t="str">
        <f>IFERROR(__xludf.DUMMYFUNCTION("""COMPUTED_VALUE"""),"her.pérez@gmail.com")</f>
        <v>her.pérez@gmail.com</v>
      </c>
      <c r="E329" s="9" t="str">
        <f>IFERROR(__xludf.DUMMYFUNCTION("""COMPUTED_VALUE"""),"Las Condes")</f>
        <v>Las Condes</v>
      </c>
      <c r="F329" s="9" t="str">
        <f>IFERROR(__xludf.DUMMYFUNCTION("""COMPUTED_VALUE"""),"Santiago")</f>
        <v>Santiago</v>
      </c>
      <c r="G329" s="9" t="str">
        <f>IFERROR(__xludf.DUMMYFUNCTION("""COMPUTED_VALUE"""),"Región Metropolitana")</f>
        <v>Región Metropolitana</v>
      </c>
      <c r="H329" s="10">
        <f>IFERROR(__xludf.DUMMYFUNCTION("""COMPUTED_VALUE"""),2870000.0)</f>
        <v>2870000</v>
      </c>
    </row>
    <row r="330">
      <c r="A330" s="9" t="str">
        <f>IFERROR(__xludf.DUMMYFUNCTION("""COMPUTED_VALUE"""),"CLI-0780")</f>
        <v>CLI-0780</v>
      </c>
      <c r="B330" s="9" t="str">
        <f>IFERROR(__xludf.DUMMYFUNCTION("""COMPUTED_VALUE"""),"13.977.978-6")</f>
        <v>13.977.978-6</v>
      </c>
      <c r="C330" s="9" t="str">
        <f>IFERROR(__xludf.DUMMYFUNCTION("""COMPUTED_VALUE"""),"Matías Valenzuela Tapia")</f>
        <v>Matías Valenzuela Tapia</v>
      </c>
      <c r="D330" s="9" t="str">
        <f>IFERROR(__xludf.DUMMYFUNCTION("""COMPUTED_VALUE"""),"mat.valenzuela@consultora.cl")</f>
        <v>mat.valenzuela@consultora.cl</v>
      </c>
      <c r="E330" s="9" t="str">
        <f>IFERROR(__xludf.DUMMYFUNCTION("""COMPUTED_VALUE"""),"Ñuñoa")</f>
        <v>Ñuñoa</v>
      </c>
      <c r="F330" s="9" t="str">
        <f>IFERROR(__xludf.DUMMYFUNCTION("""COMPUTED_VALUE"""),"Santiago")</f>
        <v>Santiago</v>
      </c>
      <c r="G330" s="9" t="str">
        <f>IFERROR(__xludf.DUMMYFUNCTION("""COMPUTED_VALUE"""),"Región Metropolitana")</f>
        <v>Región Metropolitana</v>
      </c>
      <c r="H330" s="10">
        <f>IFERROR(__xludf.DUMMYFUNCTION("""COMPUTED_VALUE"""),2850000.0)</f>
        <v>2850000</v>
      </c>
    </row>
    <row r="331">
      <c r="A331" s="9" t="str">
        <f>IFERROR(__xludf.DUMMYFUNCTION("""COMPUTED_VALUE"""),"CLI-0161")</f>
        <v>CLI-0161</v>
      </c>
      <c r="B331" s="9" t="str">
        <f>IFERROR(__xludf.DUMMYFUNCTION("""COMPUTED_VALUE"""),"22.397.117-0")</f>
        <v>22.397.117-0</v>
      </c>
      <c r="C331" s="9" t="str">
        <f>IFERROR(__xludf.DUMMYFUNCTION("""COMPUTED_VALUE"""),"Macarena Rodríguez Rodríguez")</f>
        <v>Macarena Rodríguez Rodríguez</v>
      </c>
      <c r="D331" s="9" t="str">
        <f>IFERROR(__xludf.DUMMYFUNCTION("""COMPUTED_VALUE"""),"mac.rodríguez@consultora.cl")</f>
        <v>mac.rodríguez@consultora.cl</v>
      </c>
      <c r="E331" s="9" t="str">
        <f>IFERROR(__xludf.DUMMYFUNCTION("""COMPUTED_VALUE"""),"Ñuñoa")</f>
        <v>Ñuñoa</v>
      </c>
      <c r="F331" s="9" t="str">
        <f>IFERROR(__xludf.DUMMYFUNCTION("""COMPUTED_VALUE"""),"Santiago")</f>
        <v>Santiago</v>
      </c>
      <c r="G331" s="9" t="str">
        <f>IFERROR(__xludf.DUMMYFUNCTION("""COMPUTED_VALUE"""),"Región Metropolitana")</f>
        <v>Región Metropolitana</v>
      </c>
      <c r="H331" s="10">
        <f>IFERROR(__xludf.DUMMYFUNCTION("""COMPUTED_VALUE"""),2500000.0)</f>
        <v>2500000</v>
      </c>
    </row>
    <row r="332">
      <c r="A332" s="9" t="str">
        <f>IFERROR(__xludf.DUMMYFUNCTION("""COMPUTED_VALUE"""),"CLI-0717")</f>
        <v>CLI-0717</v>
      </c>
      <c r="B332" s="9" t="str">
        <f>IFERROR(__xludf.DUMMYFUNCTION("""COMPUTED_VALUE"""),"15.362.740-2")</f>
        <v>15.362.740-2</v>
      </c>
      <c r="C332" s="9" t="str">
        <f>IFERROR(__xludf.DUMMYFUNCTION("""COMPUTED_VALUE"""),"Carolina Araya Muñoz")</f>
        <v>Carolina Araya Muñoz</v>
      </c>
      <c r="D332" s="9" t="str">
        <f>IFERROR(__xludf.DUMMYFUNCTION("""COMPUTED_VALUE"""),"car.araya@servicios.cl")</f>
        <v>car.araya@servicios.cl</v>
      </c>
      <c r="E332" s="9" t="str">
        <f>IFERROR(__xludf.DUMMYFUNCTION("""COMPUTED_VALUE"""),"Santiago Centro")</f>
        <v>Santiago Centro</v>
      </c>
      <c r="F332" s="9" t="str">
        <f>IFERROR(__xludf.DUMMYFUNCTION("""COMPUTED_VALUE"""),"Santiago")</f>
        <v>Santiago</v>
      </c>
      <c r="G332" s="9" t="str">
        <f>IFERROR(__xludf.DUMMYFUNCTION("""COMPUTED_VALUE"""),"Región Metropolitana")</f>
        <v>Región Metropolitana</v>
      </c>
      <c r="H332" s="10">
        <f>IFERROR(__xludf.DUMMYFUNCTION("""COMPUTED_VALUE"""),2450000.0)</f>
        <v>2450000</v>
      </c>
    </row>
    <row r="333">
      <c r="A333" s="9" t="str">
        <f>IFERROR(__xludf.DUMMYFUNCTION("""COMPUTED_VALUE"""),"CLI-0794")</f>
        <v>CLI-0794</v>
      </c>
      <c r="B333" s="9" t="str">
        <f>IFERROR(__xludf.DUMMYFUNCTION("""COMPUTED_VALUE"""),"15.099.642-7")</f>
        <v>15.099.642-7</v>
      </c>
      <c r="C333" s="9" t="str">
        <f>IFERROR(__xludf.DUMMYFUNCTION("""COMPUTED_VALUE"""),"Mauricio Rojas Fuentes")</f>
        <v>Mauricio Rojas Fuentes</v>
      </c>
      <c r="D333" s="9" t="str">
        <f>IFERROR(__xludf.DUMMYFUNCTION("""COMPUTED_VALUE"""),"mau.rojas@sura.cl")</f>
        <v>mau.rojas@sura.cl</v>
      </c>
      <c r="E333" s="9" t="str">
        <f>IFERROR(__xludf.DUMMYFUNCTION("""COMPUTED_VALUE"""),"Las Condes")</f>
        <v>Las Condes</v>
      </c>
      <c r="F333" s="9" t="str">
        <f>IFERROR(__xludf.DUMMYFUNCTION("""COMPUTED_VALUE"""),"Santiago")</f>
        <v>Santiago</v>
      </c>
      <c r="G333" s="9" t="str">
        <f>IFERROR(__xludf.DUMMYFUNCTION("""COMPUTED_VALUE"""),"Región Metropolitana")</f>
        <v>Región Metropolitana</v>
      </c>
      <c r="H333" s="10">
        <f>IFERROR(__xludf.DUMMYFUNCTION("""COMPUTED_VALUE"""),2420000.0)</f>
        <v>2420000</v>
      </c>
    </row>
    <row r="334">
      <c r="A334" s="9" t="str">
        <f>IFERROR(__xludf.DUMMYFUNCTION("""COMPUTED_VALUE"""),"CLI-0760")</f>
        <v>CLI-0760</v>
      </c>
      <c r="B334" s="9" t="str">
        <f>IFERROR(__xludf.DUMMYFUNCTION("""COMPUTED_VALUE"""),"14.269.683-0")</f>
        <v>14.269.683-0</v>
      </c>
      <c r="C334" s="9" t="str">
        <f>IFERROR(__xludf.DUMMYFUNCTION("""COMPUTED_VALUE"""),"Gonzalo Rojas Fuentes")</f>
        <v>Gonzalo Rojas Fuentes</v>
      </c>
      <c r="D334" s="9" t="str">
        <f>IFERROR(__xludf.DUMMYFUNCTION("""COMPUTED_VALUE"""),"gon.rojas@gmail.com")</f>
        <v>gon.rojas@gmail.com</v>
      </c>
      <c r="E334" s="9" t="str">
        <f>IFERROR(__xludf.DUMMYFUNCTION("""COMPUTED_VALUE"""),"Maipú")</f>
        <v>Maipú</v>
      </c>
      <c r="F334" s="9" t="str">
        <f>IFERROR(__xludf.DUMMYFUNCTION("""COMPUTED_VALUE"""),"Santiago")</f>
        <v>Santiago</v>
      </c>
      <c r="G334" s="9" t="str">
        <f>IFERROR(__xludf.DUMMYFUNCTION("""COMPUTED_VALUE"""),"Región Metropolitana")</f>
        <v>Región Metropolitana</v>
      </c>
      <c r="H334" s="10">
        <f>IFERROR(__xludf.DUMMYFUNCTION("""COMPUTED_VALUE"""),2400000.0)</f>
        <v>2400000</v>
      </c>
    </row>
    <row r="335">
      <c r="A335" s="9" t="str">
        <f>IFERROR(__xludf.DUMMYFUNCTION("""COMPUTED_VALUE"""),"CLI-0939")</f>
        <v>CLI-0939</v>
      </c>
      <c r="B335" s="9" t="str">
        <f>IFERROR(__xludf.DUMMYFUNCTION("""COMPUTED_VALUE"""),"19.274.372-5")</f>
        <v>19.274.372-5</v>
      </c>
      <c r="C335" s="9" t="str">
        <f>IFERROR(__xludf.DUMMYFUNCTION("""COMPUTED_VALUE"""),"Carolina Morales González")</f>
        <v>Carolina Morales González</v>
      </c>
      <c r="D335" s="9" t="str">
        <f>IFERROR(__xludf.DUMMYFUNCTION("""COMPUTED_VALUE"""),"car.morales@empresa.cl")</f>
        <v>car.morales@empresa.cl</v>
      </c>
      <c r="E335" s="9" t="str">
        <f>IFERROR(__xludf.DUMMYFUNCTION("""COMPUTED_VALUE"""),"Santiago Centro")</f>
        <v>Santiago Centro</v>
      </c>
      <c r="F335" s="9" t="str">
        <f>IFERROR(__xludf.DUMMYFUNCTION("""COMPUTED_VALUE"""),"Santiago")</f>
        <v>Santiago</v>
      </c>
      <c r="G335" s="9" t="str">
        <f>IFERROR(__xludf.DUMMYFUNCTION("""COMPUTED_VALUE"""),"Región Metropolitana")</f>
        <v>Región Metropolitana</v>
      </c>
      <c r="H335" s="10">
        <f>IFERROR(__xludf.DUMMYFUNCTION("""COMPUTED_VALUE"""),2360000.0)</f>
        <v>2360000</v>
      </c>
    </row>
    <row r="336">
      <c r="A336" s="9" t="str">
        <f>IFERROR(__xludf.DUMMYFUNCTION("""COMPUTED_VALUE"""),"CLI-0911")</f>
        <v>CLI-0911</v>
      </c>
      <c r="B336" s="9" t="str">
        <f>IFERROR(__xludf.DUMMYFUNCTION("""COMPUTED_VALUE"""),"21.438.850-4")</f>
        <v>21.438.850-4</v>
      </c>
      <c r="C336" s="9" t="str">
        <f>IFERROR(__xludf.DUMMYFUNCTION("""COMPUTED_VALUE"""),"Fernanda Díaz Valenzuela")</f>
        <v>Fernanda Díaz Valenzuela</v>
      </c>
      <c r="D336" s="9" t="str">
        <f>IFERROR(__xludf.DUMMYFUNCTION("""COMPUTED_VALUE"""),"fer.díaz@consultora.cl")</f>
        <v>fer.díaz@consultora.cl</v>
      </c>
      <c r="E336" s="9" t="str">
        <f>IFERROR(__xludf.DUMMYFUNCTION("""COMPUTED_VALUE"""),"Santiago Centro")</f>
        <v>Santiago Centro</v>
      </c>
      <c r="F336" s="9" t="str">
        <f>IFERROR(__xludf.DUMMYFUNCTION("""COMPUTED_VALUE"""),"Santiago")</f>
        <v>Santiago</v>
      </c>
      <c r="G336" s="9" t="str">
        <f>IFERROR(__xludf.DUMMYFUNCTION("""COMPUTED_VALUE"""),"Región Metropolitana")</f>
        <v>Región Metropolitana</v>
      </c>
      <c r="H336" s="10">
        <f>IFERROR(__xludf.DUMMYFUNCTION("""COMPUTED_VALUE"""),2310000.0)</f>
        <v>2310000</v>
      </c>
    </row>
    <row r="337">
      <c r="A337" s="9" t="str">
        <f>IFERROR(__xludf.DUMMYFUNCTION("""COMPUTED_VALUE"""),"CLI-0848")</f>
        <v>CLI-0848</v>
      </c>
      <c r="B337" s="9" t="str">
        <f>IFERROR(__xludf.DUMMYFUNCTION("""COMPUTED_VALUE"""),"19.291.077-K")</f>
        <v>19.291.077-K</v>
      </c>
      <c r="C337" s="9" t="str">
        <f>IFERROR(__xludf.DUMMYFUNCTION("""COMPUTED_VALUE"""),"Hernán Araya Vergara")</f>
        <v>Hernán Araya Vergara</v>
      </c>
      <c r="D337" s="9" t="str">
        <f>IFERROR(__xludf.DUMMYFUNCTION("""COMPUTED_VALUE"""),"her.araya@sura.cl")</f>
        <v>her.araya@sura.cl</v>
      </c>
      <c r="E337" s="9" t="str">
        <f>IFERROR(__xludf.DUMMYFUNCTION("""COMPUTED_VALUE"""),"Providencia")</f>
        <v>Providencia</v>
      </c>
      <c r="F337" s="9" t="str">
        <f>IFERROR(__xludf.DUMMYFUNCTION("""COMPUTED_VALUE"""),"Santiago")</f>
        <v>Santiago</v>
      </c>
      <c r="G337" s="9" t="str">
        <f>IFERROR(__xludf.DUMMYFUNCTION("""COMPUTED_VALUE"""),"Región Metropolitana")</f>
        <v>Región Metropolitana</v>
      </c>
      <c r="H337" s="10">
        <f>IFERROR(__xludf.DUMMYFUNCTION("""COMPUTED_VALUE"""),2180000.0)</f>
        <v>2180000</v>
      </c>
    </row>
    <row r="338">
      <c r="A338" s="9" t="str">
        <f>IFERROR(__xludf.DUMMYFUNCTION("""COMPUTED_VALUE"""),"CLI-0013")</f>
        <v>CLI-0013</v>
      </c>
      <c r="B338" s="9" t="str">
        <f>IFERROR(__xludf.DUMMYFUNCTION("""COMPUTED_VALUE"""),"20.660.647-1")</f>
        <v>20.660.647-1</v>
      </c>
      <c r="C338" s="9" t="str">
        <f>IFERROR(__xludf.DUMMYFUNCTION("""COMPUTED_VALUE"""),"Constanza Vergara Sepúlveda")</f>
        <v>Constanza Vergara Sepúlveda</v>
      </c>
      <c r="D338" s="9" t="str">
        <f>IFERROR(__xludf.DUMMYFUNCTION("""COMPUTED_VALUE"""),"con.vergara@gmail.com")</f>
        <v>con.vergara@gmail.com</v>
      </c>
      <c r="E338" s="9" t="str">
        <f>IFERROR(__xludf.DUMMYFUNCTION("""COMPUTED_VALUE"""),"Santiago Centro")</f>
        <v>Santiago Centro</v>
      </c>
      <c r="F338" s="9" t="str">
        <f>IFERROR(__xludf.DUMMYFUNCTION("""COMPUTED_VALUE"""),"Santiago")</f>
        <v>Santiago</v>
      </c>
      <c r="G338" s="9" t="str">
        <f>IFERROR(__xludf.DUMMYFUNCTION("""COMPUTED_VALUE"""),"Región Metropolitana")</f>
        <v>Región Metropolitana</v>
      </c>
      <c r="H338" s="10">
        <f>IFERROR(__xludf.DUMMYFUNCTION("""COMPUTED_VALUE"""),2160000.0)</f>
        <v>2160000</v>
      </c>
    </row>
    <row r="339">
      <c r="A339" s="9" t="str">
        <f>IFERROR(__xludf.DUMMYFUNCTION("""COMPUTED_VALUE"""),"CLI-0682")</f>
        <v>CLI-0682</v>
      </c>
      <c r="B339" s="9" t="str">
        <f>IFERROR(__xludf.DUMMYFUNCTION("""COMPUTED_VALUE"""),"13.452.058-2")</f>
        <v>13.452.058-2</v>
      </c>
      <c r="C339" s="9" t="str">
        <f>IFERROR(__xludf.DUMMYFUNCTION("""COMPUTED_VALUE"""),"Cristián González Muñoz")</f>
        <v>Cristián González Muñoz</v>
      </c>
      <c r="D339" s="9" t="str">
        <f>IFERROR(__xludf.DUMMYFUNCTION("""COMPUTED_VALUE"""),"cri.gonzález@outlook.cl")</f>
        <v>cri.gonzález@outlook.cl</v>
      </c>
      <c r="E339" s="9" t="str">
        <f>IFERROR(__xludf.DUMMYFUNCTION("""COMPUTED_VALUE"""),"Santiago Centro")</f>
        <v>Santiago Centro</v>
      </c>
      <c r="F339" s="9" t="str">
        <f>IFERROR(__xludf.DUMMYFUNCTION("""COMPUTED_VALUE"""),"Santiago")</f>
        <v>Santiago</v>
      </c>
      <c r="G339" s="9" t="str">
        <f>IFERROR(__xludf.DUMMYFUNCTION("""COMPUTED_VALUE"""),"Región Metropolitana")</f>
        <v>Región Metropolitana</v>
      </c>
      <c r="H339" s="10">
        <f>IFERROR(__xludf.DUMMYFUNCTION("""COMPUTED_VALUE"""),2160000.0)</f>
        <v>2160000</v>
      </c>
    </row>
    <row r="340">
      <c r="A340" s="9" t="str">
        <f>IFERROR(__xludf.DUMMYFUNCTION("""COMPUTED_VALUE"""),"CLI-0202")</f>
        <v>CLI-0202</v>
      </c>
      <c r="B340" s="9" t="str">
        <f>IFERROR(__xludf.DUMMYFUNCTION("""COMPUTED_VALUE"""),"19244049-1")</f>
        <v>19244049-1</v>
      </c>
      <c r="C340" s="9" t="str">
        <f>IFERROR(__xludf.DUMMYFUNCTION("""COMPUTED_VALUE"""),"Javier Morales Fuentes")</f>
        <v>Javier Morales Fuentes</v>
      </c>
      <c r="D340" s="9" t="str">
        <f>IFERROR(__xludf.DUMMYFUNCTION("""COMPUTED_VALUE"""),"jav.morales@empresa.cl")</f>
        <v>jav.morales@empresa.cl</v>
      </c>
      <c r="E340" s="9" t="str">
        <f>IFERROR(__xludf.DUMMYFUNCTION("""COMPUTED_VALUE"""),"Las Condes")</f>
        <v>Las Condes</v>
      </c>
      <c r="F340" s="9" t="str">
        <f>IFERROR(__xludf.DUMMYFUNCTION("""COMPUTED_VALUE"""),"Santiago")</f>
        <v>Santiago</v>
      </c>
      <c r="G340" s="9" t="str">
        <f>IFERROR(__xludf.DUMMYFUNCTION("""COMPUTED_VALUE"""),"Región Metropolitana")</f>
        <v>Región Metropolitana</v>
      </c>
      <c r="H340" s="10">
        <f>IFERROR(__xludf.DUMMYFUNCTION("""COMPUTED_VALUE"""),2160000.0)</f>
        <v>2160000</v>
      </c>
    </row>
    <row r="341">
      <c r="A341" s="9" t="str">
        <f>IFERROR(__xludf.DUMMYFUNCTION("""COMPUTED_VALUE"""),"CLI-0386")</f>
        <v>CLI-0386</v>
      </c>
      <c r="B341" s="9" t="str">
        <f>IFERROR(__xludf.DUMMYFUNCTION("""COMPUTED_VALUE"""),"15107618-7")</f>
        <v>15107618-7</v>
      </c>
      <c r="C341" s="9" t="str">
        <f>IFERROR(__xludf.DUMMYFUNCTION("""COMPUTED_VALUE"""),"Álvaro López Silva")</f>
        <v>Álvaro López Silva</v>
      </c>
      <c r="D341" s="9" t="str">
        <f>IFERROR(__xludf.DUMMYFUNCTION("""COMPUTED_VALUE"""),"álv.lópez@empresa.cl")</f>
        <v>álv.lópez@empresa.cl</v>
      </c>
      <c r="E341" s="9" t="str">
        <f>IFERROR(__xludf.DUMMYFUNCTION("""COMPUTED_VALUE"""),"Maipú")</f>
        <v>Maipú</v>
      </c>
      <c r="F341" s="9" t="str">
        <f>IFERROR(__xludf.DUMMYFUNCTION("""COMPUTED_VALUE"""),"Santiago")</f>
        <v>Santiago</v>
      </c>
      <c r="G341" s="9" t="str">
        <f>IFERROR(__xludf.DUMMYFUNCTION("""COMPUTED_VALUE"""),"Región Metropolitana")</f>
        <v>Región Metropolitana</v>
      </c>
      <c r="H341" s="10">
        <f>IFERROR(__xludf.DUMMYFUNCTION("""COMPUTED_VALUE"""),2150000.0)</f>
        <v>2150000</v>
      </c>
    </row>
    <row r="342">
      <c r="A342" s="9" t="str">
        <f>IFERROR(__xludf.DUMMYFUNCTION("""COMPUTED_VALUE"""),"CLI-0646")</f>
        <v>CLI-0646</v>
      </c>
      <c r="B342" s="9" t="str">
        <f>IFERROR(__xludf.DUMMYFUNCTION("""COMPUTED_VALUE"""),"17.267.663-1")</f>
        <v>17.267.663-1</v>
      </c>
      <c r="C342" s="9" t="str">
        <f>IFERROR(__xludf.DUMMYFUNCTION("""COMPUTED_VALUE"""),"Ignacio Rodríguez Contreras")</f>
        <v>Ignacio Rodríguez Contreras</v>
      </c>
      <c r="D342" s="9" t="str">
        <f>IFERROR(__xludf.DUMMYFUNCTION("""COMPUTED_VALUE"""),"ign.rodríguez@sura.cl")</f>
        <v>ign.rodríguez@sura.cl</v>
      </c>
      <c r="E342" s="9" t="str">
        <f>IFERROR(__xludf.DUMMYFUNCTION("""COMPUTED_VALUE"""),"Maipú")</f>
        <v>Maipú</v>
      </c>
      <c r="F342" s="9" t="str">
        <f>IFERROR(__xludf.DUMMYFUNCTION("""COMPUTED_VALUE"""),"Santiago")</f>
        <v>Santiago</v>
      </c>
      <c r="G342" s="9" t="str">
        <f>IFERROR(__xludf.DUMMYFUNCTION("""COMPUTED_VALUE"""),"Región Metropolitana")</f>
        <v>Región Metropolitana</v>
      </c>
      <c r="H342" s="10">
        <f>IFERROR(__xludf.DUMMYFUNCTION("""COMPUTED_VALUE"""),2140000.0)</f>
        <v>2140000</v>
      </c>
    </row>
    <row r="343">
      <c r="A343" s="9" t="str">
        <f>IFERROR(__xludf.DUMMYFUNCTION("""COMPUTED_VALUE"""),"CLI-0010")</f>
        <v>CLI-0010</v>
      </c>
      <c r="B343" s="9" t="str">
        <f>IFERROR(__xludf.DUMMYFUNCTION("""COMPUTED_VALUE"""),"11.050.232-K")</f>
        <v>11.050.232-K</v>
      </c>
      <c r="C343" s="9" t="str">
        <f>IFERROR(__xludf.DUMMYFUNCTION("""COMPUTED_VALUE"""),"Tomas López Rodríguez")</f>
        <v>Tomas López Rodríguez</v>
      </c>
      <c r="D343" s="9" t="str">
        <f>IFERROR(__xludf.DUMMYFUNCTION("""COMPUTED_VALUE"""),"tom.lópez@gmail.com")</f>
        <v>tom.lópez@gmail.com</v>
      </c>
      <c r="E343" s="9" t="str">
        <f>IFERROR(__xludf.DUMMYFUNCTION("""COMPUTED_VALUE"""),"Providencia")</f>
        <v>Providencia</v>
      </c>
      <c r="F343" s="9" t="str">
        <f>IFERROR(__xludf.DUMMYFUNCTION("""COMPUTED_VALUE"""),"Santiago")</f>
        <v>Santiago</v>
      </c>
      <c r="G343" s="9" t="str">
        <f>IFERROR(__xludf.DUMMYFUNCTION("""COMPUTED_VALUE"""),"Región Metropolitana")</f>
        <v>Región Metropolitana</v>
      </c>
      <c r="H343" s="10">
        <f>IFERROR(__xludf.DUMMYFUNCTION("""COMPUTED_VALUE"""),1840000.0)</f>
        <v>1840000</v>
      </c>
    </row>
    <row r="344">
      <c r="A344" s="9" t="str">
        <f>IFERROR(__xludf.DUMMYFUNCTION("""COMPUTED_VALUE"""),"CLI-0394")</f>
        <v>CLI-0394</v>
      </c>
      <c r="B344" s="9" t="str">
        <f>IFERROR(__xludf.DUMMYFUNCTION("""COMPUTED_VALUE"""),"13214911-5")</f>
        <v>13214911-5</v>
      </c>
      <c r="C344" s="9" t="str">
        <f>IFERROR(__xludf.DUMMYFUNCTION("""COMPUTED_VALUE"""),"Esteban Vergara Pérez")</f>
        <v>Esteban Vergara Pérez</v>
      </c>
      <c r="D344" s="9" t="str">
        <f>IFERROR(__xludf.DUMMYFUNCTION("""COMPUTED_VALUE"""),"est.vergara@outlook.cl")</f>
        <v>est.vergara@outlook.cl</v>
      </c>
      <c r="E344" s="9" t="str">
        <f>IFERROR(__xludf.DUMMYFUNCTION("""COMPUTED_VALUE"""),"Providencia")</f>
        <v>Providencia</v>
      </c>
      <c r="F344" s="9" t="str">
        <f>IFERROR(__xludf.DUMMYFUNCTION("""COMPUTED_VALUE"""),"Santiago")</f>
        <v>Santiago</v>
      </c>
      <c r="G344" s="9" t="str">
        <f>IFERROR(__xludf.DUMMYFUNCTION("""COMPUTED_VALUE"""),"Región Metropolitana")</f>
        <v>Región Metropolitana</v>
      </c>
      <c r="H344" s="10">
        <f>IFERROR(__xludf.DUMMYFUNCTION("""COMPUTED_VALUE"""),1820000.0)</f>
        <v>1820000</v>
      </c>
    </row>
    <row r="345">
      <c r="A345" s="9" t="str">
        <f>IFERROR(__xludf.DUMMYFUNCTION("""COMPUTED_VALUE"""),"CLI-0020")</f>
        <v>CLI-0020</v>
      </c>
      <c r="B345" s="9" t="str">
        <f>IFERROR(__xludf.DUMMYFUNCTION("""COMPUTED_VALUE"""),"22.082.736-1")</f>
        <v>22.082.736-1</v>
      </c>
      <c r="C345" s="9" t="str">
        <f>IFERROR(__xludf.DUMMYFUNCTION("""COMPUTED_VALUE"""),"Diego Espinoza Valenzuela")</f>
        <v>Diego Espinoza Valenzuela</v>
      </c>
      <c r="D345" s="9" t="str">
        <f>IFERROR(__xludf.DUMMYFUNCTION("""COMPUTED_VALUE"""),"die.espinoza@sura.cl")</f>
        <v>die.espinoza@sura.cl</v>
      </c>
      <c r="E345" s="9" t="str">
        <f>IFERROR(__xludf.DUMMYFUNCTION("""COMPUTED_VALUE"""),"Ñuñoa")</f>
        <v>Ñuñoa</v>
      </c>
      <c r="F345" s="9" t="str">
        <f>IFERROR(__xludf.DUMMYFUNCTION("""COMPUTED_VALUE"""),"Santiago")</f>
        <v>Santiago</v>
      </c>
      <c r="G345" s="9" t="str">
        <f>IFERROR(__xludf.DUMMYFUNCTION("""COMPUTED_VALUE"""),"Región Metropolitana")</f>
        <v>Región Metropolitana</v>
      </c>
      <c r="H345" s="10">
        <f>IFERROR(__xludf.DUMMYFUNCTION("""COMPUTED_VALUE"""),1710000.0)</f>
        <v>1710000</v>
      </c>
    </row>
    <row r="346">
      <c r="A346" s="9" t="str">
        <f>IFERROR(__xludf.DUMMYFUNCTION("""COMPUTED_VALUE"""),"CLI-0088")</f>
        <v>CLI-0088</v>
      </c>
      <c r="B346" s="9" t="str">
        <f>IFERROR(__xludf.DUMMYFUNCTION("""COMPUTED_VALUE"""),"11.678.385-2")</f>
        <v>11.678.385-2</v>
      </c>
      <c r="C346" s="9" t="str">
        <f>IFERROR(__xludf.DUMMYFUNCTION("""COMPUTED_VALUE"""),"Tomas Valenzuela Araya")</f>
        <v>Tomas Valenzuela Araya</v>
      </c>
      <c r="D346" s="9" t="str">
        <f>IFERROR(__xludf.DUMMYFUNCTION("""COMPUTED_VALUE"""),"tom.valenzuela@gmail.com")</f>
        <v>tom.valenzuela@gmail.com</v>
      </c>
      <c r="E346" s="9" t="str">
        <f>IFERROR(__xludf.DUMMYFUNCTION("""COMPUTED_VALUE"""),"Las Condes")</f>
        <v>Las Condes</v>
      </c>
      <c r="F346" s="9" t="str">
        <f>IFERROR(__xludf.DUMMYFUNCTION("""COMPUTED_VALUE"""),"Santiago")</f>
        <v>Santiago</v>
      </c>
      <c r="G346" s="9" t="str">
        <f>IFERROR(__xludf.DUMMYFUNCTION("""COMPUTED_VALUE"""),"Región Metropolitana")</f>
        <v>Región Metropolitana</v>
      </c>
      <c r="H346" s="10">
        <f>IFERROR(__xludf.DUMMYFUNCTION("""COMPUTED_VALUE"""),1710000.0)</f>
        <v>1710000</v>
      </c>
    </row>
    <row r="347">
      <c r="A347" s="9" t="str">
        <f>IFERROR(__xludf.DUMMYFUNCTION("""COMPUTED_VALUE"""),"CLI-0129")</f>
        <v>CLI-0129</v>
      </c>
      <c r="B347" s="9" t="str">
        <f>IFERROR(__xludf.DUMMYFUNCTION("""COMPUTED_VALUE"""),"14.053.360-1")</f>
        <v>14.053.360-1</v>
      </c>
      <c r="C347" s="9" t="str">
        <f>IFERROR(__xludf.DUMMYFUNCTION("""COMPUTED_VALUE"""),"Carolina Contreras Espinoza")</f>
        <v>Carolina Contreras Espinoza</v>
      </c>
      <c r="D347" s="9" t="str">
        <f>IFERROR(__xludf.DUMMYFUNCTION("""COMPUTED_VALUE"""),"car.contreras@sura.cl")</f>
        <v>car.contreras@sura.cl</v>
      </c>
      <c r="E347" s="9" t="str">
        <f>IFERROR(__xludf.DUMMYFUNCTION("""COMPUTED_VALUE"""),"Maipú")</f>
        <v>Maipú</v>
      </c>
      <c r="F347" s="9" t="str">
        <f>IFERROR(__xludf.DUMMYFUNCTION("""COMPUTED_VALUE"""),"Santiago")</f>
        <v>Santiago</v>
      </c>
      <c r="G347" s="9" t="str">
        <f>IFERROR(__xludf.DUMMYFUNCTION("""COMPUTED_VALUE"""),"Región Metropolitana")</f>
        <v>Región Metropolitana</v>
      </c>
      <c r="H347" s="10">
        <f>IFERROR(__xludf.DUMMYFUNCTION("""COMPUTED_VALUE"""),1680000.0)</f>
        <v>1680000</v>
      </c>
    </row>
    <row r="348">
      <c r="A348" s="9" t="str">
        <f>IFERROR(__xludf.DUMMYFUNCTION("""COMPUTED_VALUE"""),"CLI-0342")</f>
        <v>CLI-0342</v>
      </c>
      <c r="B348" s="9" t="str">
        <f>IFERROR(__xludf.DUMMYFUNCTION("""COMPUTED_VALUE"""),"19.595.950-5")</f>
        <v>19.595.950-5</v>
      </c>
      <c r="C348" s="9" t="str">
        <f>IFERROR(__xludf.DUMMYFUNCTION("""COMPUTED_VALUE"""),"Sebastián Muñoz Morales")</f>
        <v>Sebastián Muñoz Morales</v>
      </c>
      <c r="D348" s="9" t="str">
        <f>IFERROR(__xludf.DUMMYFUNCTION("""COMPUTED_VALUE"""),"seb.muñoz@empresa.cl")</f>
        <v>seb.muñoz@empresa.cl</v>
      </c>
      <c r="E348" s="9" t="str">
        <f>IFERROR(__xludf.DUMMYFUNCTION("""COMPUTED_VALUE"""),"Ñuñoa")</f>
        <v>Ñuñoa</v>
      </c>
      <c r="F348" s="9" t="str">
        <f>IFERROR(__xludf.DUMMYFUNCTION("""COMPUTED_VALUE"""),"Santiago")</f>
        <v>Santiago</v>
      </c>
      <c r="G348" s="9" t="str">
        <f>IFERROR(__xludf.DUMMYFUNCTION("""COMPUTED_VALUE"""),"Región Metropolitana")</f>
        <v>Región Metropolitana</v>
      </c>
      <c r="H348" s="10">
        <f>IFERROR(__xludf.DUMMYFUNCTION("""COMPUTED_VALUE"""),1610000.0)</f>
        <v>1610000</v>
      </c>
    </row>
    <row r="349">
      <c r="A349" s="9" t="str">
        <f>IFERROR(__xludf.DUMMYFUNCTION("""COMPUTED_VALUE"""),"CLI-0899")</f>
        <v>CLI-0899</v>
      </c>
      <c r="B349" s="9" t="str">
        <f>IFERROR(__xludf.DUMMYFUNCTION("""COMPUTED_VALUE"""),"17.304.268-1")</f>
        <v>17.304.268-1</v>
      </c>
      <c r="C349" s="9" t="str">
        <f>IFERROR(__xludf.DUMMYFUNCTION("""COMPUTED_VALUE"""),"Camila Vergara Valenzuela")</f>
        <v>Camila Vergara Valenzuela</v>
      </c>
      <c r="D349" s="9" t="str">
        <f>IFERROR(__xludf.DUMMYFUNCTION("""COMPUTED_VALUE"""),"cam.vergara@servicios.cl")</f>
        <v>cam.vergara@servicios.cl</v>
      </c>
      <c r="E349" s="9" t="str">
        <f>IFERROR(__xludf.DUMMYFUNCTION("""COMPUTED_VALUE"""),"Providencia")</f>
        <v>Providencia</v>
      </c>
      <c r="F349" s="9" t="str">
        <f>IFERROR(__xludf.DUMMYFUNCTION("""COMPUTED_VALUE"""),"Santiago")</f>
        <v>Santiago</v>
      </c>
      <c r="G349" s="9" t="str">
        <f>IFERROR(__xludf.DUMMYFUNCTION("""COMPUTED_VALUE"""),"Región Metropolitana")</f>
        <v>Región Metropolitana</v>
      </c>
      <c r="H349" s="10">
        <f>IFERROR(__xludf.DUMMYFUNCTION("""COMPUTED_VALUE"""),1580000.0)</f>
        <v>1580000</v>
      </c>
    </row>
    <row r="350">
      <c r="A350" s="9" t="str">
        <f>IFERROR(__xludf.DUMMYFUNCTION("""COMPUTED_VALUE"""),"CLI-0341")</f>
        <v>CLI-0341</v>
      </c>
      <c r="B350" s="9" t="str">
        <f>IFERROR(__xludf.DUMMYFUNCTION("""COMPUTED_VALUE"""),"19.868.589-5")</f>
        <v>19.868.589-5</v>
      </c>
      <c r="C350" s="9" t="str">
        <f>IFERROR(__xludf.DUMMYFUNCTION("""COMPUTED_VALUE"""),"Paula Silva Muñoz")</f>
        <v>Paula Silva Muñoz</v>
      </c>
      <c r="D350" s="9" t="str">
        <f>IFERROR(__xludf.DUMMYFUNCTION("""COMPUTED_VALUE"""),"pau.silva@empresa.cl")</f>
        <v>pau.silva@empresa.cl</v>
      </c>
      <c r="E350" s="9" t="str">
        <f>IFERROR(__xludf.DUMMYFUNCTION("""COMPUTED_VALUE"""),"Las Condes")</f>
        <v>Las Condes</v>
      </c>
      <c r="F350" s="9" t="str">
        <f>IFERROR(__xludf.DUMMYFUNCTION("""COMPUTED_VALUE"""),"Santiago")</f>
        <v>Santiago</v>
      </c>
      <c r="G350" s="9" t="str">
        <f>IFERROR(__xludf.DUMMYFUNCTION("""COMPUTED_VALUE"""),"Región Metropolitana")</f>
        <v>Región Metropolitana</v>
      </c>
      <c r="H350" s="10">
        <f>IFERROR(__xludf.DUMMYFUNCTION("""COMPUTED_VALUE"""),1500000.0)</f>
        <v>1500000</v>
      </c>
    </row>
    <row r="351">
      <c r="A351" s="9" t="str">
        <f>IFERROR(__xludf.DUMMYFUNCTION("""COMPUTED_VALUE"""),"CLI-0484")</f>
        <v>CLI-0484</v>
      </c>
      <c r="B351" s="9" t="str">
        <f>IFERROR(__xludf.DUMMYFUNCTION("""COMPUTED_VALUE"""),"17976596-0")</f>
        <v>17976596-0</v>
      </c>
      <c r="C351" s="9" t="str">
        <f>IFERROR(__xludf.DUMMYFUNCTION("""COMPUTED_VALUE"""),"Sebastián Fuentes Soto")</f>
        <v>Sebastián Fuentes Soto</v>
      </c>
      <c r="D351" s="9" t="str">
        <f>IFERROR(__xludf.DUMMYFUNCTION("""COMPUTED_VALUE"""),"seb.fuentes@sura.cl")</f>
        <v>seb.fuentes@sura.cl</v>
      </c>
      <c r="E351" s="9" t="str">
        <f>IFERROR(__xludf.DUMMYFUNCTION("""COMPUTED_VALUE"""),"Ñuñoa")</f>
        <v>Ñuñoa</v>
      </c>
      <c r="F351" s="9" t="str">
        <f>IFERROR(__xludf.DUMMYFUNCTION("""COMPUTED_VALUE"""),"Santiago")</f>
        <v>Santiago</v>
      </c>
      <c r="G351" s="9" t="str">
        <f>IFERROR(__xludf.DUMMYFUNCTION("""COMPUTED_VALUE"""),"Región Metropolitana")</f>
        <v>Región Metropolitana</v>
      </c>
      <c r="H351" s="10">
        <f>IFERROR(__xludf.DUMMYFUNCTION("""COMPUTED_VALUE"""),1500000.0)</f>
        <v>1500000</v>
      </c>
    </row>
    <row r="352">
      <c r="A352" s="9" t="str">
        <f>IFERROR(__xludf.DUMMYFUNCTION("""COMPUTED_VALUE"""),"CLI-0770")</f>
        <v>CLI-0770</v>
      </c>
      <c r="B352" s="9" t="str">
        <f>IFERROR(__xludf.DUMMYFUNCTION("""COMPUTED_VALUE"""),"18.344.489-0")</f>
        <v>18.344.489-0</v>
      </c>
      <c r="C352" s="9" t="str">
        <f>IFERROR(__xludf.DUMMYFUNCTION("""COMPUTED_VALUE"""),"Matías Rojas Araya")</f>
        <v>Matías Rojas Araya</v>
      </c>
      <c r="D352" s="9" t="str">
        <f>IFERROR(__xludf.DUMMYFUNCTION("""COMPUTED_VALUE"""),"mat.rojas@servicios.cl")</f>
        <v>mat.rojas@servicios.cl</v>
      </c>
      <c r="E352" s="9" t="str">
        <f>IFERROR(__xludf.DUMMYFUNCTION("""COMPUTED_VALUE"""),"Maipú")</f>
        <v>Maipú</v>
      </c>
      <c r="F352" s="9" t="str">
        <f>IFERROR(__xludf.DUMMYFUNCTION("""COMPUTED_VALUE"""),"Santiago")</f>
        <v>Santiago</v>
      </c>
      <c r="G352" s="9" t="str">
        <f>IFERROR(__xludf.DUMMYFUNCTION("""COMPUTED_VALUE"""),"Región Metropolitana")</f>
        <v>Región Metropolitana</v>
      </c>
      <c r="H352" s="10">
        <f>IFERROR(__xludf.DUMMYFUNCTION("""COMPUTED_VALUE"""),1410000.0)</f>
        <v>1410000</v>
      </c>
    </row>
    <row r="353">
      <c r="A353" s="9" t="str">
        <f>IFERROR(__xludf.DUMMYFUNCTION("""COMPUTED_VALUE"""),"CLI-0893")</f>
        <v>CLI-0893</v>
      </c>
      <c r="B353" s="9" t="str">
        <f>IFERROR(__xludf.DUMMYFUNCTION("""COMPUTED_VALUE"""),"21243426-0")</f>
        <v>21243426-0</v>
      </c>
      <c r="C353" s="9" t="str">
        <f>IFERROR(__xludf.DUMMYFUNCTION("""COMPUTED_VALUE"""),"Loreto Araya González")</f>
        <v>Loreto Araya González</v>
      </c>
      <c r="D353" s="9" t="str">
        <f>IFERROR(__xludf.DUMMYFUNCTION("""COMPUTED_VALUE"""),"lor.araya@sura.cl")</f>
        <v>lor.araya@sura.cl</v>
      </c>
      <c r="E353" s="9" t="str">
        <f>IFERROR(__xludf.DUMMYFUNCTION("""COMPUTED_VALUE"""),"Maipú")</f>
        <v>Maipú</v>
      </c>
      <c r="F353" s="9" t="str">
        <f>IFERROR(__xludf.DUMMYFUNCTION("""COMPUTED_VALUE"""),"Santiago")</f>
        <v>Santiago</v>
      </c>
      <c r="G353" s="9" t="str">
        <f>IFERROR(__xludf.DUMMYFUNCTION("""COMPUTED_VALUE"""),"Región Metropolitana")</f>
        <v>Región Metropolitana</v>
      </c>
      <c r="H353" s="10">
        <f>IFERROR(__xludf.DUMMYFUNCTION("""COMPUTED_VALUE"""),1240000.0)</f>
        <v>1240000</v>
      </c>
    </row>
    <row r="354">
      <c r="A354" s="9" t="str">
        <f>IFERROR(__xludf.DUMMYFUNCTION("""COMPUTED_VALUE"""),"CLI-0415")</f>
        <v>CLI-0415</v>
      </c>
      <c r="B354" s="9" t="str">
        <f>IFERROR(__xludf.DUMMYFUNCTION("""COMPUTED_VALUE"""),"13.265.380-1")</f>
        <v>13.265.380-1</v>
      </c>
      <c r="C354" s="9" t="str">
        <f>IFERROR(__xludf.DUMMYFUNCTION("""COMPUTED_VALUE"""),"Daniela López Silva")</f>
        <v>Daniela López Silva</v>
      </c>
      <c r="D354" s="9" t="str">
        <f>IFERROR(__xludf.DUMMYFUNCTION("""COMPUTED_VALUE"""),"dan.lópez@servicios.cl")</f>
        <v>dan.lópez@servicios.cl</v>
      </c>
      <c r="E354" s="9" t="str">
        <f>IFERROR(__xludf.DUMMYFUNCTION("""COMPUTED_VALUE"""),"Santiago Centro")</f>
        <v>Santiago Centro</v>
      </c>
      <c r="F354" s="9" t="str">
        <f>IFERROR(__xludf.DUMMYFUNCTION("""COMPUTED_VALUE"""),"Santiago")</f>
        <v>Santiago</v>
      </c>
      <c r="G354" s="9" t="str">
        <f>IFERROR(__xludf.DUMMYFUNCTION("""COMPUTED_VALUE"""),"Región Metropolitana")</f>
        <v>Región Metropolitana</v>
      </c>
      <c r="H354" s="10">
        <f>IFERROR(__xludf.DUMMYFUNCTION("""COMPUTED_VALUE"""),1130000.0)</f>
        <v>1130000</v>
      </c>
    </row>
    <row r="355">
      <c r="A355" s="9" t="str">
        <f>IFERROR(__xludf.DUMMYFUNCTION("""COMPUTED_VALUE"""),"CLI-0291")</f>
        <v>CLI-0291</v>
      </c>
      <c r="B355" s="9" t="str">
        <f>IFERROR(__xludf.DUMMYFUNCTION("""COMPUTED_VALUE"""),"20772777-8")</f>
        <v>20772777-8</v>
      </c>
      <c r="C355" s="9" t="str">
        <f>IFERROR(__xludf.DUMMYFUNCTION("""COMPUTED_VALUE"""),"Marcela Vergara Valenzuela")</f>
        <v>Marcela Vergara Valenzuela</v>
      </c>
      <c r="D355" s="9" t="str">
        <f>IFERROR(__xludf.DUMMYFUNCTION("""COMPUTED_VALUE"""),"mar.vergara@gmail.com")</f>
        <v>mar.vergara@gmail.com</v>
      </c>
      <c r="E355" s="9" t="str">
        <f>IFERROR(__xludf.DUMMYFUNCTION("""COMPUTED_VALUE"""),"Providencia")</f>
        <v>Providencia</v>
      </c>
      <c r="F355" s="9" t="str">
        <f>IFERROR(__xludf.DUMMYFUNCTION("""COMPUTED_VALUE"""),"Santiago")</f>
        <v>Santiago</v>
      </c>
      <c r="G355" s="9" t="str">
        <f>IFERROR(__xludf.DUMMYFUNCTION("""COMPUTED_VALUE"""),"Región Metropolitana")</f>
        <v>Región Metropolitana</v>
      </c>
      <c r="H355" s="10">
        <f>IFERROR(__xludf.DUMMYFUNCTION("""COMPUTED_VALUE"""),1130000.0)</f>
        <v>1130000</v>
      </c>
    </row>
    <row r="356">
      <c r="A356" s="9" t="str">
        <f>IFERROR(__xludf.DUMMYFUNCTION("""COMPUTED_VALUE"""),"CLI-0562")</f>
        <v>CLI-0562</v>
      </c>
      <c r="B356" s="9" t="str">
        <f>IFERROR(__xludf.DUMMYFUNCTION("""COMPUTED_VALUE"""),"17.564.282-1")</f>
        <v>17.564.282-1</v>
      </c>
      <c r="C356" s="9" t="str">
        <f>IFERROR(__xludf.DUMMYFUNCTION("""COMPUTED_VALUE"""),"Claudio Silva González")</f>
        <v>Claudio Silva González</v>
      </c>
      <c r="D356" s="9" t="str">
        <f>IFERROR(__xludf.DUMMYFUNCTION("""COMPUTED_VALUE"""),"cla.silva@sura.cl")</f>
        <v>cla.silva@sura.cl</v>
      </c>
      <c r="E356" s="9" t="str">
        <f>IFERROR(__xludf.DUMMYFUNCTION("""COMPUTED_VALUE"""),"Las Condes")</f>
        <v>Las Condes</v>
      </c>
      <c r="F356" s="9" t="str">
        <f>IFERROR(__xludf.DUMMYFUNCTION("""COMPUTED_VALUE"""),"Santiago")</f>
        <v>Santiago</v>
      </c>
      <c r="G356" s="9" t="str">
        <f>IFERROR(__xludf.DUMMYFUNCTION("""COMPUTED_VALUE"""),"Región Metropolitana")</f>
        <v>Región Metropolitana</v>
      </c>
      <c r="H356" s="10">
        <f>IFERROR(__xludf.DUMMYFUNCTION("""COMPUTED_VALUE"""),1090000.0)</f>
        <v>1090000</v>
      </c>
    </row>
    <row r="357">
      <c r="A357" s="9" t="str">
        <f>IFERROR(__xludf.DUMMYFUNCTION("""COMPUTED_VALUE"""),"CLI-0456")</f>
        <v>CLI-0456</v>
      </c>
      <c r="B357" s="9" t="str">
        <f>IFERROR(__xludf.DUMMYFUNCTION("""COMPUTED_VALUE"""),"19.321.865-5")</f>
        <v>19.321.865-5</v>
      </c>
      <c r="C357" s="9" t="str">
        <f>IFERROR(__xludf.DUMMYFUNCTION("""COMPUTED_VALUE"""),"Gonzalo Espinoza Rojas")</f>
        <v>Gonzalo Espinoza Rojas</v>
      </c>
      <c r="D357" s="9" t="str">
        <f>IFERROR(__xludf.DUMMYFUNCTION("""COMPUTED_VALUE"""),"gon.espinoza@empresa.cl")</f>
        <v>gon.espinoza@empresa.cl</v>
      </c>
      <c r="E357" s="9" t="str">
        <f>IFERROR(__xludf.DUMMYFUNCTION("""COMPUTED_VALUE"""),"Maipú")</f>
        <v>Maipú</v>
      </c>
      <c r="F357" s="9" t="str">
        <f>IFERROR(__xludf.DUMMYFUNCTION("""COMPUTED_VALUE"""),"Santiago")</f>
        <v>Santiago</v>
      </c>
      <c r="G357" s="9" t="str">
        <f>IFERROR(__xludf.DUMMYFUNCTION("""COMPUTED_VALUE"""),"Región Metropolitana")</f>
        <v>Región Metropolitana</v>
      </c>
      <c r="H357" s="10">
        <f>IFERROR(__xludf.DUMMYFUNCTION("""COMPUTED_VALUE"""),1090000.0)</f>
        <v>1090000</v>
      </c>
    </row>
    <row r="358">
      <c r="A358" s="9" t="str">
        <f>IFERROR(__xludf.DUMMYFUNCTION("""COMPUTED_VALUE"""),"CLI-0116")</f>
        <v>CLI-0116</v>
      </c>
      <c r="B358" s="9" t="str">
        <f>IFERROR(__xludf.DUMMYFUNCTION("""COMPUTED_VALUE"""),"20183945-2")</f>
        <v>20183945-2</v>
      </c>
      <c r="C358" s="9" t="str">
        <f>IFERROR(__xludf.DUMMYFUNCTION("""COMPUTED_VALUE"""),"Matías Sepúlveda Contreras")</f>
        <v>Matías Sepúlveda Contreras</v>
      </c>
      <c r="D358" s="9" t="str">
        <f>IFERROR(__xludf.DUMMYFUNCTION("""COMPUTED_VALUE"""),"mat.sepúlveda@consultora.cl")</f>
        <v>mat.sepúlveda@consultora.cl</v>
      </c>
      <c r="E358" s="9" t="str">
        <f>IFERROR(__xludf.DUMMYFUNCTION("""COMPUTED_VALUE"""),"Providencia")</f>
        <v>Providencia</v>
      </c>
      <c r="F358" s="9" t="str">
        <f>IFERROR(__xludf.DUMMYFUNCTION("""COMPUTED_VALUE"""),"Santiago")</f>
        <v>Santiago</v>
      </c>
      <c r="G358" s="9" t="str">
        <f>IFERROR(__xludf.DUMMYFUNCTION("""COMPUTED_VALUE"""),"Región Metropolitana")</f>
        <v>Región Metropolitana</v>
      </c>
      <c r="H358" s="10">
        <f>IFERROR(__xludf.DUMMYFUNCTION("""COMPUTED_VALUE"""),1090000.0)</f>
        <v>1090000</v>
      </c>
    </row>
    <row r="359">
      <c r="A359" s="9" t="str">
        <f>IFERROR(__xludf.DUMMYFUNCTION("""COMPUTED_VALUE"""),"CLI-0108")</f>
        <v>CLI-0108</v>
      </c>
      <c r="B359" s="9" t="str">
        <f>IFERROR(__xludf.DUMMYFUNCTION("""COMPUTED_VALUE"""),"11.267.000-7")</f>
        <v>11.267.000-7</v>
      </c>
      <c r="C359" s="9" t="str">
        <f>IFERROR(__xludf.DUMMYFUNCTION("""COMPUTED_VALUE"""),"Diego Muñoz Soto")</f>
        <v>Diego Muñoz Soto</v>
      </c>
      <c r="D359" s="9" t="str">
        <f>IFERROR(__xludf.DUMMYFUNCTION("""COMPUTED_VALUE"""),"die.muñoz@sura.cl")</f>
        <v>die.muñoz@sura.cl</v>
      </c>
      <c r="E359" s="9" t="str">
        <f>IFERROR(__xludf.DUMMYFUNCTION("""COMPUTED_VALUE"""),"Santiago Centro")</f>
        <v>Santiago Centro</v>
      </c>
      <c r="F359" s="9" t="str">
        <f>IFERROR(__xludf.DUMMYFUNCTION("""COMPUTED_VALUE"""),"Santiago")</f>
        <v>Santiago</v>
      </c>
      <c r="G359" s="9" t="str">
        <f>IFERROR(__xludf.DUMMYFUNCTION("""COMPUTED_VALUE"""),"Región Metropolitana")</f>
        <v>Región Metropolitana</v>
      </c>
      <c r="H359" s="10">
        <f>IFERROR(__xludf.DUMMYFUNCTION("""COMPUTED_VALUE"""),1070000.0)</f>
        <v>1070000</v>
      </c>
    </row>
    <row r="360">
      <c r="A360" s="9" t="str">
        <f>IFERROR(__xludf.DUMMYFUNCTION("""COMPUTED_VALUE"""),"CLI-0928")</f>
        <v>CLI-0928</v>
      </c>
      <c r="B360" s="9" t="str">
        <f>IFERROR(__xludf.DUMMYFUNCTION("""COMPUTED_VALUE"""),"18.203.480-4")</f>
        <v>18.203.480-4</v>
      </c>
      <c r="C360" s="9" t="str">
        <f>IFERROR(__xludf.DUMMYFUNCTION("""COMPUTED_VALUE"""),"Diego Silva Tapia")</f>
        <v>Diego Silva Tapia</v>
      </c>
      <c r="D360" s="9" t="str">
        <f>IFERROR(__xludf.DUMMYFUNCTION("""COMPUTED_VALUE"""),"die.silva@gmail.com")</f>
        <v>die.silva@gmail.com</v>
      </c>
      <c r="E360" s="9" t="str">
        <f>IFERROR(__xludf.DUMMYFUNCTION("""COMPUTED_VALUE"""),"Las Condes")</f>
        <v>Las Condes</v>
      </c>
      <c r="F360" s="9" t="str">
        <f>IFERROR(__xludf.DUMMYFUNCTION("""COMPUTED_VALUE"""),"Santiago")</f>
        <v>Santiago</v>
      </c>
      <c r="G360" s="9" t="str">
        <f>IFERROR(__xludf.DUMMYFUNCTION("""COMPUTED_VALUE"""),"Región Metropolitana")</f>
        <v>Región Metropolitana</v>
      </c>
      <c r="H360" s="10">
        <f>IFERROR(__xludf.DUMMYFUNCTION("""COMPUTED_VALUE"""),1050000.0)</f>
        <v>1050000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0.5"/>
  </cols>
  <sheetData>
    <row r="1">
      <c r="A1" s="16" t="s">
        <v>2848</v>
      </c>
      <c r="B1" s="17"/>
      <c r="C1" s="17"/>
      <c r="D1" s="17"/>
      <c r="E1" s="17"/>
      <c r="F1" s="17"/>
    </row>
    <row r="2">
      <c r="A2" s="18" t="s">
        <v>2861</v>
      </c>
      <c r="B2" s="18" t="s">
        <v>2862</v>
      </c>
    </row>
    <row r="3">
      <c r="A3" s="19" t="s">
        <v>2863</v>
      </c>
      <c r="B3" s="19" t="s">
        <v>2</v>
      </c>
    </row>
    <row r="4">
      <c r="A4" s="19" t="s">
        <v>2868</v>
      </c>
      <c r="B4" s="19" t="s">
        <v>1</v>
      </c>
    </row>
    <row r="5">
      <c r="A5" s="19" t="s">
        <v>2869</v>
      </c>
      <c r="B5" s="19" t="s">
        <v>2870</v>
      </c>
    </row>
    <row r="8">
      <c r="A8" s="1" t="s">
        <v>2871</v>
      </c>
    </row>
  </sheetData>
  <drawing r:id="rId1"/>
</worksheet>
</file>